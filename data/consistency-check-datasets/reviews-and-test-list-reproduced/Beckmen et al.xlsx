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Raw - 1" sheetId="2" r:id="rId6"/>
    <sheet state="visible" name="Raw - 2" sheetId="3" r:id="rId7"/>
    <sheet state="visible" name="Enriched - 1" sheetId="4" r:id="rId8"/>
    <sheet state="visible" name="Enriched - 2" sheetId="5" r:id="rId9"/>
    <sheet state="visible" name="Test List" sheetId="6" r:id="rId10"/>
    <sheet state="visible" name="Query" sheetId="7" r:id="rId11"/>
  </sheets>
  <definedNames>
    <definedName hidden="1" localSheetId="1" name="_xlnm._FilterDatabase">'Raw - 1'!$A$1:$C$116</definedName>
    <definedName hidden="1" localSheetId="3" name="_xlnm._FilterDatabase">'Enriched - 1'!$A$1:$D$116</definedName>
    <definedName hidden="1" localSheetId="5" name="_xlnm._FilterDatabase">'Test List'!$A$1:$BT$106</definedName>
  </definedNames>
  <calcPr/>
</workbook>
</file>

<file path=xl/sharedStrings.xml><?xml version="1.0" encoding="utf-8"?>
<sst xmlns="http://schemas.openxmlformats.org/spreadsheetml/2006/main" count="11175" uniqueCount="2467">
  <si>
    <t>Beckmen et al</t>
  </si>
  <si>
    <t>https://onlinelibrary.wiley.com/doi/10.1111/gcb.14606</t>
  </si>
  <si>
    <t>Particular</t>
  </si>
  <si>
    <t>Desc</t>
  </si>
  <si>
    <t>Raw - 1</t>
  </si>
  <si>
    <t>Raw data obtained from 115 references mentioned in text in the supplementary information. 
The data here is reproduced as table from given text references in section Appendix S12</t>
  </si>
  <si>
    <t>Raw - 2</t>
  </si>
  <si>
    <t>Raw data obtained from supplementary excel file. It may contain duplicates rows for each references because the grain is different species group here</t>
  </si>
  <si>
    <t>Enriched - 1</t>
  </si>
  <si>
    <t>Add Present in WOS Tag in raw 115 references obtained. 
Only 105 / 115 references are present in WOS</t>
  </si>
  <si>
    <t>Enriched - 2</t>
  </si>
  <si>
    <t>Remove columnes from Raw - 2</t>
  </si>
  <si>
    <t>Test List</t>
  </si>
  <si>
    <t>105 Records exported from WOS</t>
  </si>
  <si>
    <t>Query</t>
  </si>
  <si>
    <t xml:space="preserve">Query reproduced based on the 105 references present in WOS </t>
  </si>
  <si>
    <t>Authors</t>
  </si>
  <si>
    <t>Year</t>
  </si>
  <si>
    <t>Title</t>
  </si>
  <si>
    <t>Greenberg, C.H.; Harris, L.D.; Neary, D.G.</t>
  </si>
  <si>
    <t>A comparison of bird communities in burned and salvage-logged, clearcut, and forested Florida sand pine scrub</t>
  </si>
  <si>
    <t>Hedwall, P.-O.; Strengbom, J.; Nordin, A.</t>
  </si>
  <si>
    <t>Can thinning alleviate negative effects of fertilization on boreal forest floor vegetation?</t>
  </si>
  <si>
    <t>Higgins, S.I.; Shackleton, C.M.; Robinson, E.R.</t>
  </si>
  <si>
    <t>Changes in woody community structure and composition under contrasting land-use systems in a semi-arid savanna, South Africa</t>
  </si>
  <si>
    <t>Holbech, L.H.</t>
  </si>
  <si>
    <t>The implications of selective logging and forest fragmentation for conservation of avian diversity in evergreen forests of south-west Ghana</t>
  </si>
  <si>
    <t>Isselstein, J.; Griffith, B.A.; Pradel, P.; Venerus, S.</t>
  </si>
  <si>
    <t>Effects of livestock breed and grazing intensity on biodiversity and production in grazing systems: nutritive value of herbage and livestock performance</t>
  </si>
  <si>
    <t>Klaus, V.H.; Kleinebecker, T.; Prati, D.; Gossner, M.M.; Alt, F.; Boch, S.; et al.</t>
  </si>
  <si>
    <t>Does organic grassland farming benefit plant and arthropod diversity at the expense of yield and soil fertility?</t>
  </si>
  <si>
    <t>Laiolo, P.; Caprio, E.; Rolando, A.</t>
  </si>
  <si>
    <t>Can forest management have season-dependent effects on bird diversity?</t>
  </si>
  <si>
    <t>Rotenberg, J.A.; Stouffer, P.C.</t>
  </si>
  <si>
    <t>Ecological role of a Gmelina arborea plantation in Guatemala: an assessment of an alternative land use for tropical avian conservation</t>
  </si>
  <si>
    <t>Ruan, W.-B.; Ren, T.; Chen, Q.; Zhu, X.; Wang, J.-G.</t>
  </si>
  <si>
    <t>Effects of conventional and reduced nitrogen inputs on nematode communities and plant yield under intensive vegetable production</t>
  </si>
  <si>
    <t>Thompson, I.D.; Kirk, D.A.; Jastrebski, C.</t>
  </si>
  <si>
    <t>Does postharvest silviculture improve convergence of avian communities in managed and old-growth boreal forests?</t>
  </si>
  <si>
    <t>Toivanen, T.; Kotiaho, J.S.</t>
  </si>
  <si>
    <t>Mimicking natural disturbances of boreal forests: effects of controlled burning and creating dead wood on beetle diversity</t>
  </si>
  <si>
    <t>Clarke, F.M.; Pio, D.V.; Racey, P.A.</t>
  </si>
  <si>
    <t>A comparison of logging systems and bat diversity in the Neotropics</t>
  </si>
  <si>
    <t>Haeussler, S.; Kabzems, R.</t>
  </si>
  <si>
    <t>Aspen plant community response to organic matter removal and soil compaction</t>
  </si>
  <si>
    <t>Müller, J.; Engel, H.; Blaschke, M.</t>
  </si>
  <si>
    <t>Assemblages of wood-inhabiting fungi related to silvicultural management intensity in beech forests in southern Germany</t>
  </si>
  <si>
    <t>Sippola, A.-L.; Siitonen, J.; Punttila, P.</t>
  </si>
  <si>
    <t>Beetle diversity in timberline forests: a comparison between old-growth and regeneration areas in Finnish Lapland</t>
  </si>
  <si>
    <t>Slade, E.M.; Mann, D.J.; Lewis, O.T.</t>
  </si>
  <si>
    <t>Biodiversity and ecosystem function of tropical forest dung beetles under contrasting logging regimes</t>
  </si>
  <si>
    <t>Mosquera-Losada, M.R.; Rodríguez-Barreira, S.; López-Díaz, M.L.; Fernández-Núñez, E.; Rigueiro-Rodríguez, A.</t>
  </si>
  <si>
    <t>Biodiversity and silvopastoral system use change in very acid soils</t>
  </si>
  <si>
    <t>Philpott, S.M.; Bichier, P.; Rice, R.A.; Greenberg, R.</t>
  </si>
  <si>
    <t>Biodiversity conservation, yield, and alternative products in coffee agroecosystems in Sumatra, Indonesia</t>
  </si>
  <si>
    <t>Freemark, K.E.; Kirk, D.A.</t>
  </si>
  <si>
    <t>Birds on organic and conventional farms in Ontario: partitioning effects of habitat and practices on species composition and abundance</t>
  </si>
  <si>
    <t>Chizinski, C.J.; Peterson, A.; Hanowski, J.; Blinn, C.R.; Vondracek, B.; Niemi, G.</t>
  </si>
  <si>
    <t>Breeding bird response to partially harvested riparian management zones</t>
  </si>
  <si>
    <t>Wang, K.-H.; McSorley, R.; Bohlen, P.; Gathumbi, S.M.</t>
  </si>
  <si>
    <t>Cattle grazing increases microbial biomass and alters soil nematode communities in subtropical pastures</t>
  </si>
  <si>
    <t>Sebastià, M.-T.; Palero, N.; de Bello, F.</t>
  </si>
  <si>
    <t>Changes in management modify agro-diversity in sainfoin swards in the Eastern Pyrenees</t>
  </si>
  <si>
    <t>Sasaki, T.; Yoshihara, Y.; Suyama, Y.; Nakashizuka, T.</t>
  </si>
  <si>
    <t>Clipping stimulates productivity but not diversity in improved and semi-natural pastures in temperate Japan</t>
  </si>
  <si>
    <t>Murrieta-Galindo, R.; González-Romero, A.; López-Barrera, F.; Parra-Olea, G.</t>
  </si>
  <si>
    <t>Coffee agrosystems: an important refuge for amphibians in central Veracruz, Mexico</t>
  </si>
  <si>
    <t>Peeters, L.Y.; Soto-Pinto, L.; Perales, H.; Montoya, G.; Ishiki, M.</t>
  </si>
  <si>
    <t>Coffee production, timber, and firewood in traditional and Inga-shaded plantations in Southern Mexico</t>
  </si>
  <si>
    <t>Solomou, A.; Sfougaris, A.</t>
  </si>
  <si>
    <t>Comparing conventional and organic olive groves in central Greece: plant and bird diversity and abundance</t>
  </si>
  <si>
    <t>Jenkins, M.A.; Parker, G.R.</t>
  </si>
  <si>
    <t>Composition and diversity of woody vegetation in silvicultural openings of southern Indiana forests</t>
  </si>
  <si>
    <t>Haysom, K.A.; McCracken, D.I.; Foster, G.N.; Sotherton, N.W.</t>
  </si>
  <si>
    <t>Developing grassland conservation headlands: response of carabid assemblage to different cutting regimes in a silage field edge</t>
  </si>
  <si>
    <t>Wardle, D.A.; Nicholson, K.S.; Bonner, K.I.; Yeates, G.W.</t>
  </si>
  <si>
    <t>Effects of agricultural intensification on soil-associated arthropod population dynamics, community structure, diversity and temporal variability over a seven-year period</t>
  </si>
  <si>
    <t>Hylander, K.; Nilsson, C.; Göthner, T.</t>
  </si>
  <si>
    <t>Effects of buffer-strip retention and clearcutting on land snails in boreal riparian forests</t>
  </si>
  <si>
    <t>Nagaike, T.; Kamitani, T.; Nakashizuka, T.</t>
  </si>
  <si>
    <t>Effects of different forest management systems on plant species diversity in a Fagus crenata forested landscape of central Japan</t>
  </si>
  <si>
    <t>Sekercioglu, C.H.</t>
  </si>
  <si>
    <t>Effects of forestry practices on vegetation structure and bird community of Kibale National Park, Uganda</t>
  </si>
  <si>
    <t>Mayer, R.; Kaufmann, R.; Vorhauser, K.; Erschbamer, B.</t>
  </si>
  <si>
    <t>Effects of grazing exclusion on species composition in high-altitude grasslands of the Central Alps</t>
  </si>
  <si>
    <t>Gross, N.; Bloor, J.M.; Louault, F.; Maire, V.; Soussana, J.-F.</t>
  </si>
  <si>
    <t>Effects of land-use change on productivity depend on small-scale plant species diversity</t>
  </si>
  <si>
    <t>Crow, T.R.; Buckley, D.S.; Nauertz, E.A.; Zasada, J.C.</t>
  </si>
  <si>
    <t>Effects of management on the composition and structure of northern hardwood forests in Upper Michigan</t>
  </si>
  <si>
    <t>Krogmann, U.; Rogers, B.F.; Kumudini, S.</t>
  </si>
  <si>
    <t>Effects of mulching blueberry plants with cranberry fruits and leaves on yield, nutrient uptake and weed suppression</t>
  </si>
  <si>
    <t>Lomba, A.; Vicente, J.; Moreira, F.; Honrado, J.</t>
  </si>
  <si>
    <t>Effects of multiple factors on plant diversity of forest fragments in intensive farmland of Northern Portugal</t>
  </si>
  <si>
    <t>Lanta, V.; Doležal, J.; Lantová, P.; Kelíšek, J.; Mudrák, O.</t>
  </si>
  <si>
    <t>Effects of pasture management and fertilizer regimes on botanical changes in species-rich mountain calcareous grassland in Central Europe</t>
  </si>
  <si>
    <t>Vasseur, L.; Cloutier, C.; Ansseau, C.</t>
  </si>
  <si>
    <t>Effects of repeated sewage sludge application on plant community diversity and structure under agricultural field conditions on Podzolic soils in eastern Quebec</t>
  </si>
  <si>
    <t>Imai, N.; Seino, T.; Aiba, S.; Takyu, M.; Titin, J.; Kitayama, K.</t>
  </si>
  <si>
    <t>Effects of selective logging on tree species diversity and composition of Bornean tropical rain forests at different spatial scales</t>
  </si>
  <si>
    <t>Boncina, A.; Kadunc, A.; Robic, D.</t>
  </si>
  <si>
    <t>Effects of selective thinning on growth and development of beech (Fagus sylvatica L.) forest stands in south-eastern Slovenia</t>
  </si>
  <si>
    <t>Seiwa, K.; Eto, Y.; Hishita, M.; Masaka, K.</t>
  </si>
  <si>
    <t>Effects of thinning intensity on species diversity and timber production in a conifer (Cryptomeria japonica) plantation in Japan</t>
  </si>
  <si>
    <t>Otto, R.; García-del-Rey, E.; Méndez, J.; Fernández-Palacios, J.M.</t>
  </si>
  <si>
    <t>Effects of thinning on seed rain, regeneration and understory vegetation in a Pinus canariensis plantation (Tenerife, Canary Islands)</t>
  </si>
  <si>
    <t>Summerville, K.S.; Crist, T.O.</t>
  </si>
  <si>
    <t>Effects of timber harvest on forest Lepidoptera: community, guild, and species responses</t>
  </si>
  <si>
    <t>Hautier, Y.; Seabloom, E.W.; Borer, E.T.; Adler, P.B.; Harpole, W.S.; Hillebrand, H.; et al.</t>
  </si>
  <si>
    <t>Eutrophication weakens stabilizing effects of diversity in natural grasslands</t>
  </si>
  <si>
    <t>Beltman, B.; Willems, J.H.; Güsewell, S.</t>
  </si>
  <si>
    <t>Flood events overrule fertiliser effects on biomass production and species richness in riverine grasslands</t>
  </si>
  <si>
    <t>Gabriel, D.; Sait, S.M.; Kunin, W.E.; Benton, T.G.</t>
  </si>
  <si>
    <t>Food production vs. biodiversity: comparing organic and conventional agriculture</t>
  </si>
  <si>
    <t>Annand, E.M.; Thompson III, F.R.</t>
  </si>
  <si>
    <t>Forest bird response to regeneration practices in central hardwood forests</t>
  </si>
  <si>
    <t>Drinkwater, L.E.; Letourneau, D.K.; Workneh, F.; Van Bruggen, A.H.C.; Shennan, C.</t>
  </si>
  <si>
    <t>Fundamental differences between conventional and organic tomato agroecosystems in California</t>
  </si>
  <si>
    <t>Scursoni, J.A.; Satorre, E.H.</t>
  </si>
  <si>
    <t>Glyphosate management strategies, weed diversity and soybean yield in Argentina</t>
  </si>
  <si>
    <t>Gamoun, M.</t>
  </si>
  <si>
    <t>Grazing intensity effects on the vegetation in desert rangelands of Southern Tunisia</t>
  </si>
  <si>
    <t>Kern, C.C.; Palik, B.J.; Strong, T.F.</t>
  </si>
  <si>
    <t>Ground-layer plant community responses to even-age and uneven-age silvicultural treatments in Wisconsin northern hardwood forests</t>
  </si>
  <si>
    <t>Parrotta, J.A.; Francis, J.K.; Knowles, O.H.</t>
  </si>
  <si>
    <t>Harvesting intensity affects forest structure and composition in an upland Amazonian forest</t>
  </si>
  <si>
    <t>Boch, S.; Prati, D.; Müller, J.; Socher, S.; Baumbach, H.; Buscot, F.; et al.</t>
  </si>
  <si>
    <t>2013b</t>
  </si>
  <si>
    <t>High plant species richness indicates management-related disturbances rather than the conservation status of forests</t>
  </si>
  <si>
    <t>Müller, J.; Klaus, V.H.; Kleinebecker, T.; Prati, D.; Hölzel, N.; Fischer, M.</t>
  </si>
  <si>
    <t>Impact of land-use intensity and productivity on bryophyte diversity in agricultural grasslands</t>
  </si>
  <si>
    <t>Ghazoul, J.</t>
  </si>
  <si>
    <t>Impact of logging on the richness and diversity of forest butterflies in a tropical dry forest in Thailand</t>
  </si>
  <si>
    <t>Norvez, O.; Hébert, C.; Bélanger, L.</t>
  </si>
  <si>
    <t>Impact of salvage logging on stand structure and beetle diversity in boreal balsam fir forest, 20 years after a spruce budworm outbreak</t>
  </si>
  <si>
    <t>Maeto, K.; Sato, S.</t>
  </si>
  <si>
    <t>Impacts of forestry on ant species richness and composition in warm-temperate forests of Japan</t>
  </si>
  <si>
    <t>Sirrine, J.R.; Letourneau, D.K.; Shennan, C.; Sirrine, D.; Fouch, R.; Jackson, L.; et al.</t>
  </si>
  <si>
    <t>Impacts of groundcover management systems on yield, leaf nutrients, weeds, and arthropods of tart cherry in Michigan, USA</t>
  </si>
  <si>
    <t>Sullivan, T.P.; Sullivan, D.S.; Lindgren, P.M.; Boateng, J.O.</t>
  </si>
  <si>
    <t>Influence of conventional and chemical thinning on stand structure and diversity of plant and mammal communities in young lodgepole pine forest</t>
  </si>
  <si>
    <t>Čop, J.; Vidrih, M.; Hacin, J.</t>
  </si>
  <si>
    <t>Influence of cutting regime and fertilizer application on the botanical composition, yield and nutritive value of herbage of wet grasslands in Central Europe</t>
  </si>
  <si>
    <t>Schon, N.L.; Mackay, A.D.; Gray, R.A.J.; Minor, M.A.</t>
  </si>
  <si>
    <t>Influence of phosphorus inputs and sheep treading on soil macrofauna and mesofauna in hill pastures</t>
  </si>
  <si>
    <t>Sullivan, T.P.; Sullivan, D.S.; Lindgren, P.M.</t>
  </si>
  <si>
    <t>Influence of variable retention harvests on forest ecosystems: plant and mammal responses up to 8 years post-harvest</t>
  </si>
  <si>
    <t>Wan, K.; Tao, Y.; Li, R.; Pan, J.; Tang, L.; Chen, F.</t>
  </si>
  <si>
    <t>Influences of long-term different types of fertilization on weed community biodiversity in rice paddy fields</t>
  </si>
  <si>
    <t>Boreux, V.; Kushalappa, C.G.; Vaast, P.; Ghazoul, J.</t>
  </si>
  <si>
    <t>Interactive effects among ecosystem services and management practices on crop production: pollination in coffee agroforestry systems</t>
  </si>
  <si>
    <t>Geiger, F.; de Snoo, G.R.; Berendse, F.; Guerrero, I.; Morales, M.B.; Onate, J.J.; et al.</t>
  </si>
  <si>
    <t>Landscape composition influences farm management effects on farmland birds in winter: a pan-European approach</t>
  </si>
  <si>
    <t>Boström, U.; Fogelfors, H.</t>
  </si>
  <si>
    <t>Long-term effects of herbicide-application strategies on weeds and yield in spring-sown cereals</t>
  </si>
  <si>
    <t>Cole, H.A.; Newmaster, S.G.; Lanteigne, L.; Pitt, D.</t>
  </si>
  <si>
    <t>Long-term outcome of precommercial thinning on floristic diversity in north western New Brunswick, Canada</t>
  </si>
  <si>
    <t>Wampler, C.R.; Frey, J.K.; VanLeeuwen, D.M.; Boren, J.C.; Baker, T.T.</t>
  </si>
  <si>
    <t>Mammals in mechanically thinned and non-thinned mixed-coniferous forest in the Sacramento Mountains, New Mexico</t>
  </si>
  <si>
    <t>Summerville, K.S.</t>
  </si>
  <si>
    <t>Managing the forest for more than the trees: effects of experimental timber harvest on forest Lepidoptera</t>
  </si>
  <si>
    <t>Batáry, P.; Sutcliffe, L.; Dormann, C.F.; Tscharntke, T.</t>
  </si>
  <si>
    <t>Organic farming favours insect-pollinated over non-insect pollinated forbs in meadows and wheat fields</t>
  </si>
  <si>
    <t>Clough, Y.; Kruess, A.; Tscharntke, T.</t>
  </si>
  <si>
    <t>Organic versus conventional arable farming systems: functional grouping helps understand staphylinid response</t>
  </si>
  <si>
    <t>Paradis, S.; Work, T.T.</t>
  </si>
  <si>
    <t>Partial cutting does not maintain spider assemblages within the observed range of natural variability in eastern Canadian black spruce forests</t>
  </si>
  <si>
    <t>Kaur, K.; Jalota, R.K.; Midmore, D.J.; Rolfe, J.</t>
  </si>
  <si>
    <t>Pasture production in cleared and uncleared grazing systems of central Queensland, Australia</t>
  </si>
  <si>
    <t>Vidal, S.; others</t>
  </si>
  <si>
    <t>Plant biodiversity and vegetation structure in traditional cocoa forest gardens in southern Cameroon under different management</t>
  </si>
  <si>
    <t>Dickson, T.L.; Gross, K.L.</t>
  </si>
  <si>
    <t>Plant community responses to long-term fertilization: changes in functional group abundance drive changes in species richness</t>
  </si>
  <si>
    <t>Decocq, G.; Aubert, M.; Dupont, F.; Alard, D.; Saguez, R.; Wattez-Franger, A.; et al.</t>
  </si>
  <si>
    <t>Plant diversity in a managed temperate deciduous forest: understorey response to two silvicultural systems</t>
  </si>
  <si>
    <t>Mudrák, O.; Doležal, J.; Hájek, M.; Dančák, M.; Klimeš, L.; Klimešová, J.</t>
  </si>
  <si>
    <t>Plant seedlings in a species-rich meadow: effect of management, vegetation type and functional traits</t>
  </si>
  <si>
    <t>Penttilä, R.; Siitonen, J.; Kuusinen, M.</t>
  </si>
  <si>
    <t>Polypore diversity in managed and old-growth boreal Picea abies forests in southern Finland</t>
  </si>
  <si>
    <t>Van Gemerden, B.S.; Shu, G.N.; Olff, H.</t>
  </si>
  <si>
    <t>Recovery of conservation values in Central African rain forest after logging and shifting cultivation</t>
  </si>
  <si>
    <t>Edwards, D.P.; Woodcock, P.; Edwards, F.A.; Larsen, T.H.; Hsu, W.W.; Benedick, S.; et al.</t>
  </si>
  <si>
    <t>Reduced-impact logging and biodiversity conservation: a case study from Borneo</t>
  </si>
  <si>
    <t>Yan, X.L.; Bao, W.K.; Pang, X.Y.; Zhang, N.X.; Chen, J.</t>
  </si>
  <si>
    <t>Regeneration strategies influence ground bryophyte composition and diversity after forest clearcutting</t>
  </si>
  <si>
    <t>Sircely, J.; Naeem, S.</t>
  </si>
  <si>
    <t>Relationships of overstory trees and shrubs with forage species portray ecosystem service interactions in smallholder fallows</t>
  </si>
  <si>
    <t>Etcheverry, P.; Ouellet, J.-P.; Crête, M.</t>
  </si>
  <si>
    <t>Response of small mammals to clear-cutting and precommercial thinning in mixed forests of southeastern Quebec</t>
  </si>
  <si>
    <t>Grimbacher, P.S.; Catterall, C.P.; Kanowski, J.; Proctor, H.C.</t>
  </si>
  <si>
    <t>Responses of ground-active beetle assemblages to different styles of reforestation on cleared rainforest land</t>
  </si>
  <si>
    <t>Oomes, M.J.M.; Van der Werf, A.</t>
  </si>
  <si>
    <t>Restoration of species diversity in grasslands: the effect of grassland management and changes in ground water level</t>
  </si>
  <si>
    <t>Boch, S.; Prati, D.; Hessenmöller, D.; Schulze, E.-D.; Fischer, M.</t>
  </si>
  <si>
    <t>2013a</t>
  </si>
  <si>
    <t>Richness of lichen species, especially of threatened ones, is promoted by management methods furthering stand continuity</t>
  </si>
  <si>
    <t>Müller, J.; Bußler, H.; Kneib, T.</t>
  </si>
  <si>
    <t>Saproxylic beetle assemblages related to silvicultural management intensity and stand structures in a beech forest in Southern Germany</t>
  </si>
  <si>
    <t>Kramberger, B.; Kaligaric, M.</t>
  </si>
  <si>
    <t>Semi-natural grasslands: the effects of cutting frequency on long-term changes of floristic composition</t>
  </si>
  <si>
    <t>Baker, M.D.; Lacki, M.J.</t>
  </si>
  <si>
    <t>Short-term changes in bird communities in response to silvicultural prescriptions</t>
  </si>
  <si>
    <t>Tozer, D.C.; Burke, D.M.; Nol, E.; Elliott, K.A.</t>
  </si>
  <si>
    <t>Short-term effects of group-selection harvesting on breeding birds in a northern hardwood forest</t>
  </si>
  <si>
    <t>Chen, J.; Yamamura, Y.; Hori, Y.; Shiyomi, M.; Yasuda, T.; Zhou, H.; et al.</t>
  </si>
  <si>
    <t>Small-scale species richness and its spatial variation in an alpine meadow on the Qinghai-Tibet Plateau</t>
  </si>
  <si>
    <t>van Eekeren, N.; de Boer, H.; Bloem, J.; Schouten, T.; Rutgers, M.; de Goede, R.; et al.</t>
  </si>
  <si>
    <t>Soil biological quality of grassland fertilized with adjusted cattle manure slurries in comparison with organic and inorganic fertilizers</t>
  </si>
  <si>
    <t>Sullivan, T.P.; Sullivan, D.S.; Lindgren, P.M.F.</t>
  </si>
  <si>
    <t>Stand structure and small mammals in young lodgepole pine forest: 10-year results after thinning</t>
  </si>
  <si>
    <t>Jones, D.T.; Susilo, F.X.; Bignell, D.E.; Hardiwinoto, S.; Gillison, A.N.; Eggleton, P.</t>
  </si>
  <si>
    <t>Termite assemblage collapse along a land-use intensification gradient in lowland central Sumatra, Indonesia</t>
  </si>
  <si>
    <t>Battles, J.J.; Shlisky, A.J.; Barrett, R.H.; Heald, R.C.; Allen-Diaz, B.H.</t>
  </si>
  <si>
    <t>The effects of forest management on plant species diversity in a Sierran conifer forest</t>
  </si>
  <si>
    <t>Dolanc, C.R.; Gorchov, D.L.; Cornejo, F.</t>
  </si>
  <si>
    <t>The effects of silvicultural thinning on trees regenerating in strip clear-cuts in the Peruvian Amazon</t>
  </si>
  <si>
    <t>Smith, R.S.; Shiel, R.S.; Millward, D.; Corkhill, P.</t>
  </si>
  <si>
    <t>The interactive effects of management on the productivity and plant community structure of an upland meadow: an 8-year field trial</t>
  </si>
  <si>
    <t>Hejcman, M.; Češková, M.; Schellberg, J.; Pätzold, S.</t>
  </si>
  <si>
    <t>The Rengen Grassland Experiment: effect of soil chemical properties on biomass production, plant species composition and species richness</t>
  </si>
  <si>
    <t>Adekunle, V.A.J.; Olagoke, A.O.; Ogundare, L.F.</t>
  </si>
  <si>
    <t>Timber exploitation rate in tropical rainforest ecosystem of southwest Nigeria and its implications on sustainable forest management</t>
  </si>
  <si>
    <t>Mastrangelo, M.E.; Gavin, M.C.</t>
  </si>
  <si>
    <t>Trade-offs between cattle production and bird conservation in an agricultural frontier of the Gran Chaco of Argentina</t>
  </si>
  <si>
    <t>Parthasarathy, N.</t>
  </si>
  <si>
    <t>Tree diversity and distribution in undisturbed and human-impacted sites of tropical wet evergreen forest in southern Western Ghats, India</t>
  </si>
  <si>
    <t>Campiglia, E.; Radicetti, E.; Mancinelli, R.</t>
  </si>
  <si>
    <t>Weed control strategies and yield response in a pepper crop (Capsicum annuum L.) mulched with hairy vetch (Vicia villosa Roth.) and oat (Avena sativa L.) residues</t>
  </si>
  <si>
    <t>Schmitt, C.B.; Senbeta, F.; Denich, M.; Preisinger, H.; Boehmer, H.J.</t>
  </si>
  <si>
    <t>Wild coffee management and plant diversity in the montane rainforest of southwestern Ethiopia</t>
  </si>
  <si>
    <t>Klein, A.-M.; Brittain, C.; Hendrix, S.D.; Thorp, R.; Williams, N.; Kremen, C.</t>
  </si>
  <si>
    <t>Wild pollination services to California almond rely on semi-natural habitat</t>
  </si>
  <si>
    <t>Type and time of autumn tillage with and without herbicides at reduced rates in southern Sweden: 2. Weed flora and diversity</t>
  </si>
  <si>
    <t>Edenius, L.; Mikusiński, G.; Witzell, J.; Bergh, J.</t>
  </si>
  <si>
    <t>Effects of repeated fertilization of young Norway spruce on foliar phenolics and arthropods: implications for insectivorous birds’ food resources</t>
  </si>
  <si>
    <t>González-Alday, J.; Martínez-Ruiz, C.; Bravo, F.</t>
  </si>
  <si>
    <t>Evaluating different harvest intensities over understory plant diversity and pine seedlings in a Pinus pinaster Ait. natural stand of Spain</t>
  </si>
  <si>
    <t>Gourlet-Fleury, S.; Mortier, F.; Fayolle, A.; Baya, F.; Ouédraogo, D.; Bénédet, F.; et al.</t>
  </si>
  <si>
    <t>Tropical forest recovery from logging: a 24-year silvicultural experiment from Central Africa</t>
  </si>
  <si>
    <t>Greenberg, C.H.; Thomas, M.C.</t>
  </si>
  <si>
    <t>Effects of forest management practices on terrestrial coleopteran assemblages in sand pine scrub</t>
  </si>
  <si>
    <t>Lei, X.; Lu, Y.; Peng, C.; Zhang, X.; Chang, J.; Hong, L.</t>
  </si>
  <si>
    <t>Growth and structure development of semi-natural larch–spruce–fir (Larix olgensis – Picea jezoensis – Abies nephrolepis) forests in northeast China: 12-year results after thinning</t>
  </si>
  <si>
    <t>Økland, T.; Rydgren, K.; Økland, R.H.; Storaunet, K.O.; Rolstad, J.</t>
  </si>
  <si>
    <t>Variation in environmental conditions, understorey species number, abundance and composition among natural and managed Picea abies forest stands</t>
  </si>
  <si>
    <t>Pérez-Ramos, I.M.; Zavala, M.A.; Marañón, T.; Díaz-Villa, M.D.; Valladares, F.</t>
  </si>
  <si>
    <t>Dynamics of understorey herbaceous plant diversity following shrub clearing of cork oak forests: a five-year study</t>
  </si>
  <si>
    <t>Smith, R.S.; Rushton, S.P.</t>
  </si>
  <si>
    <t>The effects of grazing management on the vegetation of mesotrophic meadow grassland in Northern England</t>
  </si>
  <si>
    <t>Vintu, V.; Samuil, C.; Sirbu, C.; Popovici, C.I.; Stavarache, M.</t>
  </si>
  <si>
    <t>Sustainable management of Nardus stricta L. grasslands in Romania’s Carpathians</t>
  </si>
  <si>
    <t>Study.Case</t>
  </si>
  <si>
    <t>Longitude</t>
  </si>
  <si>
    <t>Latitude</t>
  </si>
  <si>
    <t>LUI.range.level</t>
  </si>
  <si>
    <t>Species.Group</t>
  </si>
  <si>
    <t>Product</t>
  </si>
  <si>
    <t>main_climate</t>
  </si>
  <si>
    <t>landuse_history</t>
  </si>
  <si>
    <t>ES.and.BD</t>
  </si>
  <si>
    <t>Richness.Plot.Size</t>
  </si>
  <si>
    <t>Log.RR</t>
  </si>
  <si>
    <t>Log.RR.Var</t>
  </si>
  <si>
    <t>Mean.Low</t>
  </si>
  <si>
    <t>SD.Low</t>
  </si>
  <si>
    <t>N.Low</t>
  </si>
  <si>
    <t>Mean.High</t>
  </si>
  <si>
    <t>SD.High</t>
  </si>
  <si>
    <t>N.High</t>
  </si>
  <si>
    <t>SD.is.imputed.Low</t>
  </si>
  <si>
    <t>SD.is.imputed.High</t>
  </si>
  <si>
    <t>1002-Sullivan2001-1</t>
  </si>
  <si>
    <t>medium-medium</t>
  </si>
  <si>
    <t>plants</t>
  </si>
  <si>
    <t>wood</t>
  </si>
  <si>
    <t>Cold (Continental)</t>
  </si>
  <si>
    <t>after 1950</t>
  </si>
  <si>
    <t>linked</t>
  </si>
  <si>
    <t>no</t>
  </si>
  <si>
    <t>low-medium</t>
  </si>
  <si>
    <t>medium-high</t>
  </si>
  <si>
    <t>1002-Sullivan2001-2</t>
  </si>
  <si>
    <t>1018-Freemark2001-1</t>
  </si>
  <si>
    <t>vertebrates</t>
  </si>
  <si>
    <t>crop</t>
  </si>
  <si>
    <t>independent</t>
  </si>
  <si>
    <t>yes</t>
  </si>
  <si>
    <t>1152-Crow2002-1</t>
  </si>
  <si>
    <t>1182-Sippola2002-1</t>
  </si>
  <si>
    <t>high-high</t>
  </si>
  <si>
    <t>invertebrates</t>
  </si>
  <si>
    <t>1182-Sippola2002-2</t>
  </si>
  <si>
    <t>1184-Ghazoul2002-1</t>
  </si>
  <si>
    <t>low-low</t>
  </si>
  <si>
    <t>Tropical</t>
  </si>
  <si>
    <t>1197-Bostrom2002-1</t>
  </si>
  <si>
    <t>Temperate</t>
  </si>
  <si>
    <t>5950 BC</t>
  </si>
  <si>
    <t>1247-Summerville2002-1</t>
  </si>
  <si>
    <t>low-high</t>
  </si>
  <si>
    <t>1247-Summerville2002-2</t>
  </si>
  <si>
    <t>1247-Summerville2002-3</t>
  </si>
  <si>
    <t>1247-Summerville2002-4</t>
  </si>
  <si>
    <t>1247-Summerville2002-5</t>
  </si>
  <si>
    <t>1299-Sekercioglu2002-1</t>
  </si>
  <si>
    <t>1299-Sekercioglu2002-2</t>
  </si>
  <si>
    <t>1299-Sekercioglu2002-3</t>
  </si>
  <si>
    <t>1340-Parrotta2002-1</t>
  </si>
  <si>
    <t>1340-Parrotta2002-2</t>
  </si>
  <si>
    <t>1340-Parrotta2002-3</t>
  </si>
  <si>
    <t>1340-Parrotta2002-4</t>
  </si>
  <si>
    <t>1385-Sullivan2002-1</t>
  </si>
  <si>
    <t>50 BC</t>
  </si>
  <si>
    <t>1385-Sullivan2002-2</t>
  </si>
  <si>
    <t>1549-Okland2003-1</t>
  </si>
  <si>
    <t>1549-Okland2003-2</t>
  </si>
  <si>
    <t>1549-Okland2003-3</t>
  </si>
  <si>
    <t>1549-Okland2003-4</t>
  </si>
  <si>
    <t>1549-Okland2003-5</t>
  </si>
  <si>
    <t>1558-Jones2003-1</t>
  </si>
  <si>
    <t>1566-Peeters2003-1</t>
  </si>
  <si>
    <t>1566-Peeters2003-2</t>
  </si>
  <si>
    <t>1579-Van Gemerden2003-1</t>
  </si>
  <si>
    <t>1704-Dolanc2003-1</t>
  </si>
  <si>
    <t>1819-Maeto2004-1</t>
  </si>
  <si>
    <t>1819-Maeto2004-2</t>
  </si>
  <si>
    <t>2016-Haysom2004-2</t>
  </si>
  <si>
    <t>green fodder</t>
  </si>
  <si>
    <t>2135-Laiolo2004-1</t>
  </si>
  <si>
    <t>2135-Laiolo2004-2</t>
  </si>
  <si>
    <t>2138-Hylander2004-1</t>
  </si>
  <si>
    <t>2270-Decocq2004-1</t>
  </si>
  <si>
    <t>2270-Decocq2004-2</t>
  </si>
  <si>
    <t>2270-Decocq2004-3</t>
  </si>
  <si>
    <t>2457-Holbech2005-1</t>
  </si>
  <si>
    <t>2457-Holbech2005-2</t>
  </si>
  <si>
    <t>2559-Clarke2005-1</t>
  </si>
  <si>
    <t>2559-Clarke2005-2</t>
  </si>
  <si>
    <t>2638-Haeussler2005-1</t>
  </si>
  <si>
    <t>2678-Kaur2005-1</t>
  </si>
  <si>
    <t>Arid</t>
  </si>
  <si>
    <t>274-Jenkins1999-1</t>
  </si>
  <si>
    <t>2774-Etcheverry2005-1</t>
  </si>
  <si>
    <t>2775-Nagaike2005-1</t>
  </si>
  <si>
    <t>2997-Kern2006-1</t>
  </si>
  <si>
    <t>2997-Kern2006-2</t>
  </si>
  <si>
    <t>3062-Wang2006-1</t>
  </si>
  <si>
    <t>3062-Wang2006-2</t>
  </si>
  <si>
    <t>3273-Boncina2007-1</t>
  </si>
  <si>
    <t>3280-Clough2007-1</t>
  </si>
  <si>
    <t>3299-Rotenberg2007-1</t>
  </si>
  <si>
    <t>3299-Rotenberg2007-2</t>
  </si>
  <si>
    <t>3370-Lei2007-1</t>
  </si>
  <si>
    <t>3370-Lei2007-2</t>
  </si>
  <si>
    <t>3514-Grimbacher2007-1</t>
  </si>
  <si>
    <t>3514-Grimbacher2007-2</t>
  </si>
  <si>
    <t>3528-Isselstein2007-1</t>
  </si>
  <si>
    <t>3528-Isselstein2007-2</t>
  </si>
  <si>
    <t>3528-Isselstein2007-3</t>
  </si>
  <si>
    <t>3528-Isselstein2007-4</t>
  </si>
  <si>
    <t>3528-Isselstein2007-5</t>
  </si>
  <si>
    <t>3528-Isselstein2007-6</t>
  </si>
  <si>
    <t>3528-Isselstein2007-7</t>
  </si>
  <si>
    <t>3528-Isselstein2007-8</t>
  </si>
  <si>
    <t>3603-Beltman2007-1</t>
  </si>
  <si>
    <t>3640-Tero2007-1</t>
  </si>
  <si>
    <t>3640-Tero2007-2</t>
  </si>
  <si>
    <t>4033-Sullivan2008-1</t>
  </si>
  <si>
    <t>4033-Sullivan2008-2</t>
  </si>
  <si>
    <t>4108-Mueller2008-1</t>
  </si>
  <si>
    <t>4165-Kramberger2008-1</t>
  </si>
  <si>
    <t>417-Bostrom1999-1</t>
  </si>
  <si>
    <t>4301-Sirrine2008-1</t>
  </si>
  <si>
    <t>4457-Perez-Ramos2008-1</t>
  </si>
  <si>
    <t>4677-Gonzalez-Alday2009-1</t>
  </si>
  <si>
    <t>4677-Gonzalez-Alday2009-2</t>
  </si>
  <si>
    <t>4677-Gonzalez-Alday2009-3</t>
  </si>
  <si>
    <t>472-Wardle1999-1</t>
  </si>
  <si>
    <t>NA</t>
  </si>
  <si>
    <t>472-Wardle1999-2</t>
  </si>
  <si>
    <t>4788-Mosquera-Losada2009-1</t>
  </si>
  <si>
    <t>4788-Mosquera-Losada2009-2</t>
  </si>
  <si>
    <t>509-Parthasarathy1999-1</t>
  </si>
  <si>
    <t>509-Parthasarathy1999-2</t>
  </si>
  <si>
    <t>5112-Lanta2009-1</t>
  </si>
  <si>
    <t>5112-Lanta2009-2</t>
  </si>
  <si>
    <t>5113-Cop2009-1</t>
  </si>
  <si>
    <t>5113-Cop2009-2</t>
  </si>
  <si>
    <t>5113-Cop2009-3</t>
  </si>
  <si>
    <t>516-Higgins1999-1</t>
  </si>
  <si>
    <t>5242-Schmitt2010-1</t>
  </si>
  <si>
    <t>5242-Schmitt2010-2</t>
  </si>
  <si>
    <t>5242-Schmitt2010-3</t>
  </si>
  <si>
    <t>5242-Schmitt2010-4</t>
  </si>
  <si>
    <t>5242-Schmitt2010-5</t>
  </si>
  <si>
    <t>5242-Schmitt2010-6</t>
  </si>
  <si>
    <t>5242-Schmitt2010-7</t>
  </si>
  <si>
    <t>5345-Tozer2010-1</t>
  </si>
  <si>
    <t>5648-Scursoni2010-1</t>
  </si>
  <si>
    <t>5972-Geiger2010-1</t>
  </si>
  <si>
    <t>5972-Geiger2010-2</t>
  </si>
  <si>
    <t>5972-Geiger2010-3</t>
  </si>
  <si>
    <t>5972-Geiger2010-4</t>
  </si>
  <si>
    <t>6216-Summerville2011-1</t>
  </si>
  <si>
    <t>6231-Schon2011-1</t>
  </si>
  <si>
    <t>6231-Schon2011-3</t>
  </si>
  <si>
    <t>6242-Chizinski2011-1</t>
  </si>
  <si>
    <t>6298-Sebastia2011-1</t>
  </si>
  <si>
    <t>6298-Sebastia2011-2</t>
  </si>
  <si>
    <t>6528-Sasaki2011-1</t>
  </si>
  <si>
    <t>6668-Solomou2011-1</t>
  </si>
  <si>
    <t>6668-Solomou2011-2</t>
  </si>
  <si>
    <t>6668-Solomou2011-3</t>
  </si>
  <si>
    <t>6668-Solomou2011-4</t>
  </si>
  <si>
    <t>6668-Solomou2011-5</t>
  </si>
  <si>
    <t>6668-Solomou2011-6</t>
  </si>
  <si>
    <t>6668-Solomou2011-7</t>
  </si>
  <si>
    <t>6668-Solomou2011-8</t>
  </si>
  <si>
    <t>6668-Solomou2011-9</t>
  </si>
  <si>
    <t>6668-Solomou2011-10</t>
  </si>
  <si>
    <t>6684-Vintu2011-1</t>
  </si>
  <si>
    <t>6690-Lomba2011-1</t>
  </si>
  <si>
    <t>6858-Campiglia2012-1</t>
  </si>
  <si>
    <t>6962-Wan2012-1</t>
  </si>
  <si>
    <t>7034-Edwards2012-1</t>
  </si>
  <si>
    <t>7034-Edwards2012-2</t>
  </si>
  <si>
    <t>7034-Edwards2012-3</t>
  </si>
  <si>
    <t>7169-Klein2012-1</t>
  </si>
  <si>
    <t>7250-Edenius2012-1</t>
  </si>
  <si>
    <t>7387-Otto2012-1</t>
  </si>
  <si>
    <t>7392-Imai2012-1</t>
  </si>
  <si>
    <t>7577-Mastrangelo2012-1</t>
  </si>
  <si>
    <t>7577-Mastrangelo2012-2</t>
  </si>
  <si>
    <t>7577-Mastrangelo2012-3</t>
  </si>
  <si>
    <t>7577-Mastrangelo2012-4</t>
  </si>
  <si>
    <t>7577-Mastrangelo2012-5</t>
  </si>
  <si>
    <t>7592-Seiwa2012-1</t>
  </si>
  <si>
    <t>7715-Mueller2012-1</t>
  </si>
  <si>
    <t>7833-Batary2013-1</t>
  </si>
  <si>
    <t>7833-Batary2013-2</t>
  </si>
  <si>
    <t>7833-Batary2013-3</t>
  </si>
  <si>
    <t>7833-Batary2013-4</t>
  </si>
  <si>
    <t>7833-Batary2013-5</t>
  </si>
  <si>
    <t>7833-Batary2013-6</t>
  </si>
  <si>
    <t>7856-Boch2013-1</t>
  </si>
  <si>
    <t>7856-Boch2013-2</t>
  </si>
  <si>
    <t>7875-Mudrak2013-1</t>
  </si>
  <si>
    <t>7887-Sircely2013-1</t>
  </si>
  <si>
    <t>789-Vasseur2000-1</t>
  </si>
  <si>
    <t>7965-Gabriel2013-1</t>
  </si>
  <si>
    <t>7965-Gabriel2013-2</t>
  </si>
  <si>
    <t>7965-Gabriel2013-3</t>
  </si>
  <si>
    <t>7965-Gabriel2013-4</t>
  </si>
  <si>
    <t>7965-Gabriel2013-5</t>
  </si>
  <si>
    <t>7965-Gabriel2013-6</t>
  </si>
  <si>
    <t>7965-Gabriel2013-7</t>
  </si>
  <si>
    <t>8084-Ruan2013-1</t>
  </si>
  <si>
    <t>8207-Boreux2013-1</t>
  </si>
  <si>
    <t>8235-Norvez2013-1</t>
  </si>
  <si>
    <t>8235-Norvez2013-2</t>
  </si>
  <si>
    <t>8235-Norvez2013-3</t>
  </si>
  <si>
    <t>8250-Adekunle2013-1</t>
  </si>
  <si>
    <t>8293-Murrieta-Galindo2013-1</t>
  </si>
  <si>
    <t>8428-Boch2013-1</t>
  </si>
  <si>
    <t>8428-Boch2013-2</t>
  </si>
  <si>
    <t>8428-Boch2013-4</t>
  </si>
  <si>
    <t>8428-Boch2013-5</t>
  </si>
  <si>
    <t>8428-Boch2013-6</t>
  </si>
  <si>
    <t>8428-Boch2013-7</t>
  </si>
  <si>
    <t>8428-Boch2013-8</t>
  </si>
  <si>
    <t>8428-Boch2013-9</t>
  </si>
  <si>
    <t>8449-Gourlet-Fleury2013-1</t>
  </si>
  <si>
    <t>8496-Klaus2013-1</t>
  </si>
  <si>
    <t>8496-Klaus2013-2</t>
  </si>
  <si>
    <t>8496-Klaus2013-3</t>
  </si>
  <si>
    <t>8496-Klaus2013-4</t>
  </si>
  <si>
    <t>8496-Klaus2013-8</t>
  </si>
  <si>
    <t>8496-Klaus2013-6</t>
  </si>
  <si>
    <t>8496-Klaus2013-7</t>
  </si>
  <si>
    <t>8568-Yan2013-1</t>
  </si>
  <si>
    <t>8568-Yan2013-2</t>
  </si>
  <si>
    <t>8568-Yan2013-3</t>
  </si>
  <si>
    <t>8593-Thompson2013-1</t>
  </si>
  <si>
    <t>8593-Thompson2013-2</t>
  </si>
  <si>
    <t>862-Smith2000-1</t>
  </si>
  <si>
    <t>8660-Dickson2013-1</t>
  </si>
  <si>
    <t>8799-Gamoun2014-1</t>
  </si>
  <si>
    <t>8822-Hedwall2013-1</t>
  </si>
  <si>
    <t>8822-Hedwall2013-2</t>
  </si>
  <si>
    <t>9078-Hautier2014-2</t>
  </si>
  <si>
    <t>9078-Hautier2014-5</t>
  </si>
  <si>
    <t>9078-Hautier2014-1</t>
  </si>
  <si>
    <t>9078-Hautier2014-3</t>
  </si>
  <si>
    <t>9078-Hautier2014-4</t>
  </si>
  <si>
    <t>9078-Hautier2014-6</t>
  </si>
  <si>
    <t>9078-Hautier2014-7</t>
  </si>
  <si>
    <t>9078-Hautier2014-8</t>
  </si>
  <si>
    <t>924-Battles2001-1</t>
  </si>
  <si>
    <t>9373-SMITH1994-1</t>
  </si>
  <si>
    <t>9473-GREENBERG1995-1</t>
  </si>
  <si>
    <t>9503-GREENBERG1995-2</t>
  </si>
  <si>
    <t>9555-DRINKWATER1995-1</t>
  </si>
  <si>
    <t>9555-DRINKWATER1995-2</t>
  </si>
  <si>
    <t>9742-Oomes1996-1</t>
  </si>
  <si>
    <t>9742-Oomes1996-2</t>
  </si>
  <si>
    <t>9762-Annand1997-1</t>
  </si>
  <si>
    <t>9868-Baker1997-1</t>
  </si>
  <si>
    <t>30479-HerveB2008-1</t>
  </si>
  <si>
    <t>30479-HerveB2008-2</t>
  </si>
  <si>
    <t>30347-Krogmann2008-1</t>
  </si>
  <si>
    <t>30362-Hejcman2010-1</t>
  </si>
  <si>
    <t>30111-Gross2009-1</t>
  </si>
  <si>
    <t>30376-Cole2008-1</t>
  </si>
  <si>
    <t>30376-Cole2008-2</t>
  </si>
  <si>
    <t>30487-Chen2008-1</t>
  </si>
  <si>
    <t>Polar</t>
  </si>
  <si>
    <t>30106-Mayer2009-1</t>
  </si>
  <si>
    <t>30478-Philpott2008-1</t>
  </si>
  <si>
    <t>30478-Philpott2008-2</t>
  </si>
  <si>
    <t>30478-Philpott2008-3</t>
  </si>
  <si>
    <t>30279-Wampler2008-1</t>
  </si>
  <si>
    <t>Present in WOS</t>
  </si>
  <si>
    <t>No</t>
  </si>
  <si>
    <t>Yes</t>
  </si>
  <si>
    <t>x</t>
  </si>
  <si>
    <t>Removed cols</t>
  </si>
  <si>
    <t>Publication Type</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</si>
  <si>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</si>
  <si>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</si>
  <si>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</si>
  <si>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</si>
  <si>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</si>
  <si>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</si>
  <si>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</si>
  <si>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</si>
  <si>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</si>
  <si>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</si>
  <si>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</si>
  <si>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</si>
  <si>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</si>
  <si>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</si>
  <si>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</si>
  <si>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</si>
  <si>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</si>
  <si>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</si>
  <si>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</si>
  <si>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</si>
  <si>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</si>
  <si>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</si>
  <si>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</si>
  <si>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</si>
  <si>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</si>
  <si>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</si>
  <si>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</si>
  <si>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</si>
  <si>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</si>
  <si>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</si>
  <si>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</si>
  <si>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</si>
  <si>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</si>
  <si>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</si>
  <si>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</si>
  <si>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</si>
  <si>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</si>
  <si>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</si>
  <si>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</si>
  <si>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</si>
  <si>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</si>
  <si>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</si>
  <si>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</si>
  <si>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</si>
  <si>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</si>
  <si>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</si>
  <si>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</si>
  <si>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</si>
  <si>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</si>
  <si>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</si>
  <si>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</si>
  <si>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</si>
  <si>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</si>
  <si>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</si>
  <si>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</si>
  <si>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</si>
  <si>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</si>
  <si>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</si>
  <si>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</si>
  <si>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</si>
  <si>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</si>
  <si>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</si>
  <si>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</si>
  <si>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</si>
  <si>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</si>
  <si>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</si>
  <si>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</si>
  <si>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</si>
  <si>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</si>
  <si>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</si>
  <si>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</si>
  <si>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Jenkins, MA; Parker, GR</t>
  </si>
  <si>
    <t/>
  </si>
  <si>
    <t>FOREST ECOLOGY AND MANAGEMENT</t>
  </si>
  <si>
    <t>English</t>
  </si>
  <si>
    <t>Article</t>
  </si>
  <si>
    <t>forest succession; uneven-aged management; clear-cutting; regeneration; temperate deciduous forest</t>
  </si>
  <si>
    <t>HARDWOOD FOREST; CLEAR-CUT; CLASSIFICATION; SUCCESSION; ECOSYSTEMS; MICHIGAN; AREA</t>
  </si>
  <si>
    <t>Between 1993 and 1995 we sampled woody vegetation (seedling, sapling, and overstory) on 150 plots in Fagus-Acer-sacchanrm/Arisaema Mesic Slope and Quercus alba-Acer saccharum/Parthenocissus Dry-Mesic Slope forests to determine how species composition and diversity of these forests responded to management. We sampled four different treatments, clearcuts, group selections, single tree selections and uncut 80-100 year-old reference stands. Results suggest that clear-cut and group selection openings greatly increase the importance of Liridodendron tulpifera L. (tulip popular) on both Ecological Landtype Phases (ELTP's, dry and mesic slopes). Single tree selection has accelerated succession by greatly increasing the importance of Acer saccharum Marsh (sugar maple), Quercus sp. were more important in clear-cuts and group selections on dry-mesic slopes than on mesic slopes. The seedling and sapling layers of clear-cuts, group selections and single tree selections on both ELTP's were dominated by A. saccharum, suggesting this species will eventually dominate both ELTP's in the absence of disturbance. Single tree selection openings on both ELTP's had much lower overstory species richness and diversity than clear-cuts, group selections, or reference stands. This suggests that the predominant use of single tree selection harvest will greatly reduce woody species richness and diversity across a forest landscape. A mixture of selection and larger clear-cut openings may be needed to maintain the woody species diversity of forest landscapes in the Central Hardwood Region by creating condition that allow regeneration of both tolerant and intolerant species. (C) 1998 Elsevier Science B.V.</t>
  </si>
  <si>
    <t>Purdue Univ, Dept Forestry &amp; Nat Resources, W Lafayette, IN 47907 USA</t>
  </si>
  <si>
    <t>Purdue University System; Purdue University</t>
  </si>
  <si>
    <t>Jenkins, MA (corresponding author), Purdue Univ, Dept Forestry &amp; Nat Resources, 1159 Forestry Bldg, W Lafayette, IN 47907 USA.</t>
  </si>
  <si>
    <t>ELSEVIER SCIENCE BV</t>
  </si>
  <si>
    <t>AMSTERDAM</t>
  </si>
  <si>
    <t>PO BOX 211, 1000 AE AMSTERDAM, NETHERLANDS</t>
  </si>
  <si>
    <t>0378-1127</t>
  </si>
  <si>
    <t>FOREST ECOL MANAG</t>
  </si>
  <si>
    <t>For. Ecol. Manage.</t>
  </si>
  <si>
    <t>SEP 16</t>
  </si>
  <si>
    <t>1-3</t>
  </si>
  <si>
    <t>10.1016/S0378-1127(98)00256-4</t>
  </si>
  <si>
    <t>Forestry</t>
  </si>
  <si>
    <t>Science Citation Index Expanded (SCI-EXPANDED)</t>
  </si>
  <si>
    <t>131TX</t>
  </si>
  <si>
    <t>2025-12-20</t>
  </si>
  <si>
    <t>WOS:000076592300006</t>
  </si>
  <si>
    <t>Boström, U; Fogelfors, H</t>
  </si>
  <si>
    <t>Type and time of autumn tillage with and without herbicides at reduced rates in southern Sweden: 2.: Weed flora and diversity</t>
  </si>
  <si>
    <t>SOIL &amp; TILLAGE RESEARCH</t>
  </si>
  <si>
    <t>ploughing; stubble cultivation; timing; weeds; reduced herbicide dose; diversity</t>
  </si>
  <si>
    <t>SEEDLING EMERGENCE; CULTIVATION; SOIL; SYSTEMS; CROPS; WHEAT</t>
  </si>
  <si>
    <t>The design of integrated weed management (IWM) systems is essential in order to reduce the use of herbicides for crop production. By combining different weed management practices, herbicides may be used at lower doses than normally recommended, while still maintaining acceptable weed population levels. The purpose of this study was to develop tillage strategies. with and without herbicides at reduced rates, appropriate for different weed populations. The influences of type and time of stubble cultivation, harrowing and mouldboard ploughing on the weed flora were followed during 1988-1994 in eight long-term field trials situated in southern Sweden, Spring-sown barley (Hordeum distichon L.) and oats (Avena sativa L.) dominated the crop rotations. Herbicides were either omitted or used at ca. 50% of a full dose. The perennial species Sonchus arvensis L. was favoured by omittance of ploughing but was better controlled by late ploughing not preceded by stubble cultivation; the reduction in the latter treatment being 74%. Stubble cultivation succeeded by ploughing reduced biomass of Elymus repens (L,) Gould. by 90% compared with ploughing solely. Early ploughing reduced the biomass of the species by 50% compared with late ploughing. The species Cirsium arvense (L.) Scop. was highly favoured by early ploughing followed by late autumn harrowing, the biomass of the species being six-fold higher than in other treatments. Compared with other treatments, stubble cultivation favoured four annuals but efficiently controlled three others, while omittance of ploughing favoured six annual and two perennial weed species. Late ploughing not preceded by stubble cultivation favoured four annual and one perennial species, while early ploughing was more efficient than late ploughing in controlling two of the annual species, influences of treatments on weed species were frequently moderated by interspecific competition resulting in inconsistent response at different sites. Herbicides reduced the number of species by three, from 11 to eight species, averaged across sites and tillage systems, influences of treatments on diversity were not consistent, since weed floras differed between sites and since some of the species responded inconsistently to tillage and herbicides. This study shows that by utilizing appropriate tillage strategies it is possible at many sites to maintain acceptable weed population levels, although herbicides are used at 50% lower doses than is normally recommended. The timing and type of tillage have to be chosen for being as efficient as possible to the most troublesome weed species at a site, (C) 1999 Elsevier Science B.V. All rights reserved.</t>
  </si>
  <si>
    <t>Swedish Univ Agr Sci, Dept Crop Prod Sci, S-75007 Uppsala, Sweden</t>
  </si>
  <si>
    <t>Swedish University of Agricultural Sciences</t>
  </si>
  <si>
    <t>Boström, U (corresponding author), Swedish Univ Agr Sci, Dept Crop Prod Sci, Box 7043, S-75007 Uppsala, Sweden.</t>
  </si>
  <si>
    <t>0167-1987</t>
  </si>
  <si>
    <t>SOIL TILL RES</t>
  </si>
  <si>
    <t>Soil Tillage Res.</t>
  </si>
  <si>
    <t>MAY</t>
  </si>
  <si>
    <t>3-4</t>
  </si>
  <si>
    <t>10.1016/S0167-1987(99)00017-3</t>
  </si>
  <si>
    <t>Soil Science</t>
  </si>
  <si>
    <t>Agriculture</t>
  </si>
  <si>
    <t>206RK</t>
  </si>
  <si>
    <t>WOS:000080892900009</t>
  </si>
  <si>
    <t>Wardle, DA; Nicholson, KS; Bonner, KI; Yeates, GW</t>
  </si>
  <si>
    <t>SOIL BIOLOGY &amp; BIOCHEMISTRY</t>
  </si>
  <si>
    <t>agricultural intensification; asparagus; community structure; diversity; maize; soil arthropods; temporal variation</t>
  </si>
  <si>
    <t>NO-TILLAGE AGROECOSYSTEMS; WHEAT-STRAW; FOOD WEBS; DECOMPOSITION; BIODIVERSITY; LITTER; MANAGEMENT; COLEOPTERA; NITROGEN; HABITAT</t>
  </si>
  <si>
    <t>While most studies focusing on the effects of agricultural intensification on soil biota are inherently short-term in nature, longterm (multiyear) studies are essential in assessing long-term temporal responses of soil biota to agronomic practices. We investigated the effects of three components of agricultural intensification, i.e. cultivation (disturbance), herbicide addition (modification of floristic composition) and mulching (resource addition) on soil-associated arthropods in an annual (maize) and a perennial (asparagus) cropping system over a 7 yr period. An additional treatment (hand-hoeing of weeds during the crop growing season) was used to represent minimal intensification. Many taxa of arthropods responded positively to mulching and to treatments which allowed high weed biomass in the non crop-production period, e.g, the hand-hoeing and cultivation treatments in the perennial crop. Herbicide treatments also facilitated high numbers of many taxa in the annual crop when this coincided with plot invasion by herbicide-tolerant weeds. Generally, arthropod taxa were positively correlated with weed biomass and negatively with crop plant biomass, probably because of the superior resource (litter) quality produced by the former. Ordination analyses indicated that arthropod community structure was often correlated with weed community structure. Mulching and allowing high weed biomass also promoted a high species richness of soil-associated Coleoptera, but coleopteran diversity was not related to weed species diversity. Analyses of temporal variability (inversely related to stability) of arthropod taxa across years revealed few treatment effects in the annual crop, but showed destabilising effects of weed reduction in the perennial crop. In the perennial crop, temporal variability was also positively correlated with crop biomass and negatively with weed biomass across plots. Our study shows that agricultural intensification is not consistently harmful to the soil fauna, that soil-associated arthropods are most responsive to management practices which affect the nature and quality of resource input, and that long-term experiments are essential for answering questions about how agricultural practices affect soil organisms against the natural backdrop of temporal variation. (C) 1999 Elsevier Science Ltd. All rights reserved.</t>
  </si>
  <si>
    <t>Ruakura Agr Res Ctr, AgRes, Hamilton, New Zealand; Landcare Res, Palmerston, New Zealand</t>
  </si>
  <si>
    <t>AgResearch - New Zealand; Landcare Research - New Zealand</t>
  </si>
  <si>
    <t>Wardle, DA (corresponding author), Landcare Res, POB 69, Lincoln, NE USA.</t>
  </si>
  <si>
    <t>Wardle, David/F-6031-2011</t>
  </si>
  <si>
    <t>Wardle, David/0000-0002-0476-7335</t>
  </si>
  <si>
    <t>PERGAMON-ELSEVIER SCIENCE LTD</t>
  </si>
  <si>
    <t>OXFORD</t>
  </si>
  <si>
    <t>THE BOULEVARD, LANGFORD LANE, KIDLINGTON, OXFORD OX5 1GB, ENGLAND</t>
  </si>
  <si>
    <t>0038-0717</t>
  </si>
  <si>
    <t>SOIL BIOL BIOCHEM</t>
  </si>
  <si>
    <t>Soil Biol. Biochem.</t>
  </si>
  <si>
    <t>OCT</t>
  </si>
  <si>
    <t>10.1016/S0038-0717(99)00089-9</t>
  </si>
  <si>
    <t>234NU</t>
  </si>
  <si>
    <t>WOS:000082491400009</t>
  </si>
  <si>
    <t>Parthasarathy, N</t>
  </si>
  <si>
    <t>BIODIVERSITY AND CONSERVATION</t>
  </si>
  <si>
    <t>biodiversity; conservation; human interference; species abundance; tropical forest; Western Ghats</t>
  </si>
  <si>
    <t>FLORISTIC COMPOSITION; PLANT BIODIVERSITY; BRAZILIAN AMAZON; RAIN-FOREST; DYNAMICS; CONSERVATION; INVENTORY; RESERVE</t>
  </si>
  <si>
    <t>The composition, abundance, population structure and distribution patterns of all woody species (greater than or equal to 30 cm gbh) were investigated in an undisturbed and two adjacent human-impacted sites of a tropical wet evergreen forest in Kalakad National Park, Western Ghats, south India. Three 1-ha plots were established, one each in (i) an undisturbed site (named site UD), (ii) in a site selectively felled 35 years ago (site SF - small stems felled leaving the large trees (as shade) for developing it into a cardamom estate, on the failure of which the site was abandoned) and (iii) a frequently disturbed site (site FD - round woods logged for use in ovens for curing cardamom). These sites are 1 to 3 km apart in the same wet evergreen forest. In the three study plots a total of 2150 stems (mean density 716 ha(-1)) covering 122 species in 89 genera and 41 families were enumerated. Species richness was greatest (85 species ha(-)1) in the undisturbed site UD, intermediate (83) in SF and lowest (80) in FD. Tree density was greatest (855 stems ha(-)1) in site SF, intermediate (720) in UD and lowest (575) in FD. The forest stand was exceptionally voluminous in site UD (basal area 94.64 m(2) ha(-1)), intermediate (66.9 m(2)) in SF and least (61.7 m(2)) in FD, due to tree removal for fuel in the latter sites. Species composition and abundance patterns markedly varied between the three sites. In UD and SF, primary forest species (Cryptocarya bourdillonii , Cullenia exarillata Myristica dactyloides etc.) occurred in greater density. In FD heliophilic secondary forest species (Elaeocarpus venustus, Litsea wightiana, Viburnum punctatum and Vitex altissima) were abundant, while these were absent in UD and SF. The species-area curve did not reach an asymptote in any of the sites on the 1-ha scale. The stand population structure was clearly reverse 'J' shaped in UD and SF, while small stems were 2- to 3-fold fewer in FD. Most trees exhibited clumped distribution of individuals on the 1-ha scale. Variation in the kind and richness of species and their abundance is related to human interference and the need for forest conservation is emphasized.</t>
  </si>
  <si>
    <t>Pondicherry Univ, Salim Ali Sch Ecol &amp; Environm Sci, Pondicherry 605014, India</t>
  </si>
  <si>
    <t>Pondicherry University</t>
  </si>
  <si>
    <t>Parthasarathy, N (corresponding author), Pondicherry Univ, Salim Ali Sch Ecol &amp; Environm Sci, Pondicherry 605014, India.</t>
  </si>
  <si>
    <t>bioinpu@iitm.ernet.in</t>
  </si>
  <si>
    <t>SPRINGER</t>
  </si>
  <si>
    <t>DORDRECHT</t>
  </si>
  <si>
    <t>VAN GODEWIJCKSTRAAT 30, 3311 GZ DORDRECHT, NETHERLANDS</t>
  </si>
  <si>
    <t>0960-3115</t>
  </si>
  <si>
    <t>1572-9710</t>
  </si>
  <si>
    <t>BIODIVERS CONSERV</t>
  </si>
  <si>
    <t>Biodivers. Conserv.</t>
  </si>
  <si>
    <t>10.1023/A:1008949407385</t>
  </si>
  <si>
    <t>Biodiversity Conservation; Ecology; Environmental Sciences</t>
  </si>
  <si>
    <t>Biodiversity &amp; Conservation; Environmental Sciences &amp; Ecology</t>
  </si>
  <si>
    <t>250WT</t>
  </si>
  <si>
    <t>WOS:000083412800004</t>
  </si>
  <si>
    <t>Vasseur, L; Cloutier, C; Ansseau, C</t>
  </si>
  <si>
    <t>AGRICULTURE ECOSYSTEMS &amp; ENVIRONMENT</t>
  </si>
  <si>
    <t>environmental monitoring; sewage sludge; weeds; diversity; productivity</t>
  </si>
  <si>
    <t>HEAVY-METALS; YIELD; ACCUMULATION</t>
  </si>
  <si>
    <t>In Quebec, municipal sewage sludge application on agricultural lands is relatively recent and there are many concerns related to potential contamination and loss of plant productivity. This study aimed at monitoring the impacts of repeated, long-term application of sewage sludge on agricultural lands under operating field conditions. Eight paired study sites (treated and control) in three regions of the Eastern Townships (Que., Canada) were selected. Vegetation surveys were carried out twice a season for 2 years and soil samples were collected. Diversity index (D), yield production and percentage of weeds were measured in each field. The average number of species per site and treatment varied from 10 to 36 but the differences between control and treated plots for all sites were not significant. The diversity indices significantly varied between sites due to original soil composition differences between locations. In some cases, significant differences in diversity existed between paired treated and control fields. However, weed percentage did not necessarily vary in those same fields suggesting that change in diversity did not lead to changes in number of weeds. Soil chemical composition showed that significant variation existed between sites but not between paired fields. Correlation performed between diversity, production, weed frequency and soil parameters showed that variation in D was negatively correlated with Mg and positively with pH. At the same time, the percentage of weeds was negatively associated with K, Ca and pH (P&lt;0.05). Although sewage sludge produced little direct effect on the ecological parameters, analyses suggest that some soil chemical factors may affect plant diversity and percentage of weeds. These results indicate that plant community ecology may be affected by changes in environmental conditions but in a complex manner. Monitoring programs should be developed to evaluate the long-term impacts of repetitive sludge application on agricultural lands. (C) 2000 Elsevier Science B.V. All rights reserved.</t>
  </si>
  <si>
    <t>Univ Sherbrooke, Fac Sci, Dept Biol, Sherbrooke, PQ J1K 2R1, Canada</t>
  </si>
  <si>
    <t>University of Sherbrooke</t>
  </si>
  <si>
    <t>Vasseur, L (corresponding author), St Marys Univ, Dept Biol, Halifax, NS B3H 3C3, Canada.</t>
  </si>
  <si>
    <t>0167-8809</t>
  </si>
  <si>
    <t>AGR ECOSYST ENVIRON</t>
  </si>
  <si>
    <t>Agric. Ecosyst. Environ.</t>
  </si>
  <si>
    <t>NOV</t>
  </si>
  <si>
    <t>10.1016/S0167-8809(00)00158-4</t>
  </si>
  <si>
    <t>Agriculture, Multidisciplinary; Ecology; Environmental Sciences</t>
  </si>
  <si>
    <t>Agriculture; Environmental Sciences &amp; Ecology</t>
  </si>
  <si>
    <t>365QD</t>
  </si>
  <si>
    <t>WOS:000089961200005</t>
  </si>
  <si>
    <t>Smith, RS; Shiel, RS; Millward, D; Corkhill, P</t>
  </si>
  <si>
    <t>JOURNAL OF APPLIED ECOLOGY</t>
  </si>
  <si>
    <t>cut date; Environmentally Sensitive Areas; fertilizer; grazing; plant species diversity; restoration</t>
  </si>
  <si>
    <t>RHINANTHUS-MINOR; NORTHERN ENGLAND; CUTTING DATE; CONSERVATION MANAGEMENT; SPECIES-DIVERSITY; HAY MEADOWS; SEED BANKS; GRASSLAND; VEGETATION; RESTORATION</t>
  </si>
  <si>
    <t>1. Agricultural policy in the Pennine Dales Environmentally Sensitive Area in northern England aims to enhance plant species diversity in agriculturally improved meadows and return them to a 'traditional' species composition. The interacting effects of management on vegetation and productivity were tested in a split-split-split plot experiment. Three grazing treatments (autumn grazing with cattle and sheep, spring grazing with sheep. both regimes) were applied between 1990 and 98. Two fertilizer treatments (25 kg ha(-1) N plus 12.5 kg ha(-1) P2O5 and K2O, no fertilizer): three hay cut date treatments (14 June, 21 July, 1 September) and two seed addition treatments (no seed, seed of many species) were used within the grazing treatments. 2. By 1998, all the main treatments had produced small but significant changes to plant species diversity. A particularly large increase in diversity occurred with the combination of autumn and spring grazing. 21 July hay cut date and seed addition treatments. This change was achieved by an episodic rather than a regular increase in species over time. 3. Rhinanthus minor spread to most plots after its introduction as a constituent of the seed treatment. By 1996 it was particularly abundant in all treatment combinations that included autumn grazing, no mineral fertilizer and a July haycut. Populations of &gt; 40 plants m(-2) were associated with the lowest yields of hay. 4. 'Unimproved-traditional' plant communities, mainly Festuca ovina-Agrostis capillaris-Galium saxatile grassland, occupied more than 66% of the trial area. Anthoxanthum odoratuam-Gerantium sylvaticum grasslands were most abundant in 1996, being primarily associated with the combination of autumn and spring grazing, 21 July and September hay cut dates and seed addition treatments, over both fertilizer treatments. 5. Yields of herbage biomass initially declined over time in all treatment combinations. Lowest yields in most years were associated with the autumn and spring grazing, 14 June cutting date and no fertilizer treatments. 6. Management to increase the number of plant species in agriculturally improved mesotrophic grassland requires the joint implementation of appropriate cut date and grazing regimes, probably to provide regeneration niches, and the application of seed to provide species to fill these niches. The small amount of mineral fertilizer used in this experiment had a measurable effect, but was of lesser importance.</t>
  </si>
  <si>
    <t>Newcastle Univ, Dept Agr &amp; Environm Sci, Newcastle Upon Tyne NE1 7RU, Tyne &amp; Wear, England; Newcastle Univ, Dept Agr, Newcastle Upon Tyne NE1 7RU, Tyne &amp; Wear, England; Manor House, Leyburn DL8 3AN, N Yorkshire, England; English Nat, Leyburn DL8 5ST, N Yorkshire, England</t>
  </si>
  <si>
    <t>Newcastle University - UK; Newcastle University - UK</t>
  </si>
  <si>
    <t>Smith, RS (corresponding author), Newcastle Univ, Dept Agr &amp; Environm Sci, Newcastle Upon Tyne NE1 7RU, Tyne &amp; Wear, England.</t>
  </si>
  <si>
    <t>r.s.smith@ncl.nc.uk</t>
  </si>
  <si>
    <t>WILEY</t>
  </si>
  <si>
    <t>HOBOKEN</t>
  </si>
  <si>
    <t>111 RIVER ST, HOBOKEN 07030-5774, NJ USA</t>
  </si>
  <si>
    <t>0021-8901</t>
  </si>
  <si>
    <t>1365-2664</t>
  </si>
  <si>
    <t>J APPL ECOL</t>
  </si>
  <si>
    <t>J. Appl. Ecol.</t>
  </si>
  <si>
    <t>DEC</t>
  </si>
  <si>
    <t>10.1046/j.1365-2664.2000.00566.x</t>
  </si>
  <si>
    <t>Biodiversity Conservation; Ecology</t>
  </si>
  <si>
    <t>402HC</t>
  </si>
  <si>
    <t>Bronze</t>
  </si>
  <si>
    <t>WOS:000166979900012</t>
  </si>
  <si>
    <t>Battles, JJ; Shlisky, AJ; Barrett, RH; Heald, RC; Allen-Diaz, BH</t>
  </si>
  <si>
    <t>species richness; temperate conifer forest; Blodgett Forest Research Station</t>
  </si>
  <si>
    <t>COMMUNITY RESPONSES; LAYER VEGETATION; HERBACEOUS-LAYER; GROWTH; BIODIVERSITY; 2ND-GROWTH; OLD</t>
  </si>
  <si>
    <t>We used a large data set collected as part of a wildlife habitat study at the Blodgett Forest Research Station in the Sierra Nevada of California to assess the influence of management practices on vascular plant diversity in the mixed conifer forest. In addition to the existing data, we conducted botanical inventories in 32 plots (0.28 ha in size) from five different silvicultural regimes in 1997. Based on these inventories, understory species richness normalized to a total area sampled of 1.13 ha was significantly greater in plots under plantation (80 species) and shelterwood (77 species) management compared to plots in reserve sites (i.e., approximately 80 year with no active management, 48 species). This pattern in species richness was consistent in the larger data set. Based on 372 plots sampled between 1977 and 1996, plantations and shelterwoods routinely had the highest species richness and the reserve units routinely were the least rich. Stands under single-tree selection had species richness values closer to those of the reserve stands. The relative diversity observed in group selection plots varied from year to year. Based on the 1997 data, canopy closure and seedbed were significantly correlated to understory plant diversity. Plots that were more open and had more bare ground tended to have higher species richness. This result supports the suggestion that in addition to the total amount of biomass removed, post-harvest practices also affect plant diversity. There were considerable differences in the composition of the understory communities among silvicultural treatments. Plots under a group selection, single tree selection or reserve management regime had a greater proportion of late-seral vs. early-seral species and a lower proportion of introduced exotic species compared to plantations and shelterwoods. In this forest, more intensive management maximized species richness,but the lower intensity practices better conserved understory plants typical of late-seral stands. (C) 2001 Elsevier Science B.V. All rights reserved.</t>
  </si>
  <si>
    <t>Univ Calif Berkeley, Dept Environm Sci Policy &amp; Management, Berkeley, CA 94720 USA; Univ Calif, Blodgett Forest Res Stn, Georgetown, CA 95634 USA</t>
  </si>
  <si>
    <t>University of California System; University of California Berkeley</t>
  </si>
  <si>
    <t>Battles, JJ (corresponding author), Univ Calif Berkeley, Dept Environm Sci Policy &amp; Management, 151 Hilgard Hall, Berkeley, CA 94720 USA.</t>
  </si>
  <si>
    <t>jbattles@nature.berkeley.edu</t>
  </si>
  <si>
    <t>Barrett, Reginald/AAC-2608-2020; Battles, John/G-8233-2012; Battles, John J/G-8233-2012</t>
  </si>
  <si>
    <t>Battles, John J/0000-0001-7124-7893</t>
  </si>
  <si>
    <t>ELSEVIER</t>
  </si>
  <si>
    <t>RADARWEG 29, 1043 NX AMSTERDAM, NETHERLANDS</t>
  </si>
  <si>
    <t>1872-7042</t>
  </si>
  <si>
    <t>JUN 1</t>
  </si>
  <si>
    <t>10.1016/S0378-1127(00)00463-1</t>
  </si>
  <si>
    <t>431NE</t>
  </si>
  <si>
    <t>WOS:000168636800017</t>
  </si>
  <si>
    <t>Sullivan, TP; Sullivan, DS; Lindgren, PMF</t>
  </si>
  <si>
    <t>ECOLOGICAL APPLICATIONS</t>
  </si>
  <si>
    <t>biodiversity; crop trees; old-growth forest; Pinus contorta; precommercial thinning; silviculture; small mammals; species richness and diversity; stand density; stand structure; tree growth; wildlife habitat</t>
  </si>
  <si>
    <t>DOUGLAS-FIR PLANTATIONS; OLD-GROWTH; MANAGED FORESTS; FLUCTUATING POPULATIONS; UNDERSTORY VEGETATION; DEMOGRAPHIC-CHANGES; SNOWSHOE HARES; FEEDING DAMAGE; RED SQUIRRELS; DIVERSITY</t>
  </si>
  <si>
    <t>Management of forested landscapes for biological diversity is a major objective across North America. Perhaps the greatest potential to diversify future forests lies in the vast areas of young second-growth stands which may be managed silviculturally to accelerate ecosystem development. This study was designed to test the hypotheses that large-scale precommercial thinning, at ages 17-27 yr, to various stand densities would, over the 10-yr period since treatment, enhance: (1) productivity of lodgepole pine (Pinus contorta) crop trees, (2) stand structure attributes, and (3) species richness and diversity of forest floor small-mammal communities. Study areas were located near Penticton, Kamloops, and Prince George in south-central British Columbia, Canada, in three forest ecological zones. Each study area had three stands thinned to densities of similar to 500 (low), similar to 1000 (medium), and similar to 2000 (high) stems/ha, with an unthinned juvenile pine and old-growth pine stand for comparison. Understory vegetation was measured in all stands in 1990, 1993, and 1998, and coniferous tree layers were measured in 1998. Small-mammal populations were sampled intensively in 1990, 1991, and 1998. Mean diameter increments of trees in the low-density stands were significantly higher than those in the medium- and high-density stands at all study areas. Mean height increments of trees were similar in the medium- and high-density stands and significantly higher than that in the low-density stands at Penticton and Prince George. Crown volume index (biomass) of herbs was highest in the thinned stands by 1998, but there was no difference among stands for shrubs and trees; volume of mosses was highest in the old-growth stands. Mean species richness and diversity of herbs, shrubs, and trees were similar among stands at 2, 5, and 10 yr after thinning. However, mean species diversity and structural diversity of coniferous trees were significantly higher in the low- and medium-density stands than in the high-density and unthinned stands 10 yr after thinning. Total structural diversity of all vegetation in the low-density stands was significantly greater than that of the medium-density, unthinned, and old-growth stands in 1998. Mean total abundance of all small mammals was similar among stands in 1990-1991, but the low-density and old-growth stands had the most mammals in 1998. Mean abundance of southern red-backed voles (Clethrionomys gapperi) was consistently higher (2.1-3.3 times) in the old-growth stands than in unthinned stands. In seven of nine cases, mean abundance of red-backed voles was similar among old-growth and thinned stands. Mean species richness and species diversity of small mammals were highest in the low-density and medium-density stands. Heavily thinned lodgepole pine stands developed structural attributes such as large diameter trees, large crowns, and structurally diverse vegetative understories. Forest floor small-mammal communities reflected the compositional and structural diversity of these managed stands.</t>
  </si>
  <si>
    <t>Appl Mammal Res Inst, Summerland, BC V0H 1Z0, Canada</t>
  </si>
  <si>
    <t>Sullivan, TP (corresponding author), Appl Mammal Res Inst, 11010 Mitchell Ave,RR 3,Site 46,Compartment 18, Summerland, BC V0H 1Z0, Canada.</t>
  </si>
  <si>
    <t>sullivan@telus.net</t>
  </si>
  <si>
    <t>1051-0761</t>
  </si>
  <si>
    <t>1939-5582</t>
  </si>
  <si>
    <t>ECOL APPL</t>
  </si>
  <si>
    <t>Ecol. Appl.</t>
  </si>
  <si>
    <t>AUG</t>
  </si>
  <si>
    <t>10.1890/1051-0761(2001)011[1151:SSASMI]2.0.CO;2</t>
  </si>
  <si>
    <t>Ecology; Environmental Sciences</t>
  </si>
  <si>
    <t>Environmental Sciences &amp; Ecology</t>
  </si>
  <si>
    <t>458RW</t>
  </si>
  <si>
    <t>WOS:000170209200017</t>
  </si>
  <si>
    <t>Freemark, KE; Kirk, DA</t>
  </si>
  <si>
    <t>BIOLOGICAL CONSERVATION</t>
  </si>
  <si>
    <t>farmland birds; organic farms; habitat and practices; canonical correspondence analysis; variation partitioning; bird population eclines; Ontario; Canada</t>
  </si>
  <si>
    <t>CANONICAL CORRESPONDENCE-ANALYSIS; FARMLAND BIRDS; AGRICULTURAL LANDSCAPES; BREEDING SUCCESS; TERRESTRIAL WILDLIFE; POPULATION TRENDS; SOUTHERN ONTARIO; LOWLAND FARMLAND; NORTH-AMERICA; FIELD USE</t>
  </si>
  <si>
    <t>Population declines of farmland birds over recent decades in Europe, Canada and the USA have been attributed to more intensive agricultural management. We counted birds during the 1990 breeding season on 72 field sites in southern Ontario, Canada, paired between 10 organic and 10 conventional farms for local habitat to enhance our ability to detect effects of agricultural practices. Of 68 species recorded, 58 were on organic sites, 59 on conventional. Species richness and total abundance were significantly greater on organic than conventional sites based on log-linear regression. Of 43 species analyzed with log-linear regression, eight (18.6%) were significantly (P &lt;0.05) more abundant on organic than conventional sites and four (9.3%) approached significance (0.05 &lt;0.10). Eight of these 12 species had negative population trends for 1967-1998 Breeding Bird Surveys (BBS) in this region. Two of the 43 species analyzed (4.7%) were significantly more abundant on conventional than organic sites and three (7.0%) approached significance. Two of these five species had negative BBS population trends. A canonical correspondence analysis (CCA) of 13 practices and 13 habitat variables explained 44% of total variation (TV) accounted for in a detrended correspondence analysis of bird species composition and abundance. Practices contributed 23.7% of TV, habitat 26%; habitat and practices shared 5.7% with each other and 12% with farm ownership (i.e. clustering of field sites within farms). CCA ordinations indicated considerable mixing of organic and conventional sites across a gradient from sites with many birds species associated with greater habitat heterogeneity and more pasture, winter grain, farmstead and other non-crop habitats (hedgerow, woodland) to sites with few bird species associated with larger fields, more rowcrop and spring grain, more passes and tilling, and use of herbicides and chemical fertilizers. Our results re-emphasize the importance of non-crop habitats, more permanent crop cover, and less intensive management practices to the conservation of avian biodiversity on farmland. Canadian Crown Copyright (C) 2001 Published by Elsevier Science Ltd. All rights reserved.</t>
  </si>
  <si>
    <t>Environm Canada, Natl Wildlife Res Ctr, Ottawa, ON K1A OH3, Canada; Aquila Appl Ecologists, Carlsbad Springs, ON K0A 1K0, Canada</t>
  </si>
  <si>
    <t>Environment &amp; Climate Change Canada; Canadian Wildlife Service; National Wildlife Research Centre - Canada</t>
  </si>
  <si>
    <t>Freemark, KE (corresponding author), Environm Canada, Natl Wildlife Res Ctr, 100 Gamelin Blvd, Ottawa, ON K1A OH3, Canada.</t>
  </si>
  <si>
    <t>Kirk, David/AAA-7465-2021</t>
  </si>
  <si>
    <t>ELSEVIER SCI LTD</t>
  </si>
  <si>
    <t>THE BOULEVARD, LANGFORD LANE, KIDLINGTON, OXFORD OX5 1GB, OXON, ENGLAND</t>
  </si>
  <si>
    <t>0006-3207</t>
  </si>
  <si>
    <t>BIOL CONSERV</t>
  </si>
  <si>
    <t>Biol. Conserv.</t>
  </si>
  <si>
    <t>10.1016/S0006-3207(01)00079-9</t>
  </si>
  <si>
    <t>467UP</t>
  </si>
  <si>
    <t>WOS:000170722400007</t>
  </si>
  <si>
    <t>Crow, TR; Buckley, DS; Nauertz, EA; Zasada, JC</t>
  </si>
  <si>
    <t>FOREST SCIENCE</t>
  </si>
  <si>
    <t>plant diversity; stand structure; northern hardwoods; Acer saccharum; silviculture; Michigan; forest management; old-growth</t>
  </si>
  <si>
    <t>OLD-GROWTH; BIOLOGICAL DIVERSITY; PLANT DIVERSITY; BIODIVERSITY; ECOSYSTEMS; WOOD</t>
  </si>
  <si>
    <t>To improve our understanding of how management affects the composition and structure of northern hardwood forests, we compared managed with unmanaged sugar maple (Acer saccharum Marsh.) dominated forests. Unmanaged old-growth and unmanaged second-growth forests provided baselines for comparing the effects of even-aged and uneven-aged forest management on selected aspects of biological diversity. Three replications of each condition were located on the Winegar Moraine in Michigan's Upper Peninsula. Old-growth forests were multistoried, dominated by a few, large trees with well-developed crowns extending over a subcanopy stratum 10-15 m in height and an abundance of woody vegetation (mostly sugar maple seedlings) at 2-3 m. This complex stand structure contrasts with the relatively uniform structure of unmanaged second-growth forests with a closed overstory canopy and limited understory development. Forest management, both even- and uneven-aged, created forest structures that were more complex than their unmanaged second-growth baselines, yet managed forests lacked some of the structural complexity characteristic of old-growth. Managed forests had fewer large trees (stem diameter at 1.37 m &gt; 50 cm) and considerably less basal area in dead trees when compared with old-growth. There were fewer tree species in managed forests because commercially important tree species were favored for retention and, when present, early successional species (e.g., Populus grandidentata Michx., Populus tremuloides Michx.) were harvested. A subcanopy comprised of large shrubs and small trees characteristic of old growth was absent in managed forests, but this structural element may develop with time under management. As expected, thinning the overstory and disturbing the forest floor through tree harvesting promoted understory development in managed forests, Most of the added species, however, were common in the landscape and thus added little to overall species richness.</t>
  </si>
  <si>
    <t>USDA, Forest Serv, N Cent Res Stn, Grand Rapids, MN 55744 USA; Univ Tennessee, Dept Forest Wildlife &amp; Fisheries, Knoxville, TN 37901 USA; USDA, Forest Serv, N Cent Res Stn, Rhinelander, WI 54501 USA</t>
  </si>
  <si>
    <t>United States Department of Agriculture (USDA); United States Forest Service; University of Tennessee System; University of Tennessee Knoxville; United States Department of Agriculture (USDA); United States Forest Service</t>
  </si>
  <si>
    <t>Crow, TR (corresponding author), USDA, Forest Serv, N Cent Res Stn, Grand Rapids, MN 55744 USA.</t>
  </si>
  <si>
    <t>tcrow@fs.fed.us</t>
  </si>
  <si>
    <t>SPRINGERNATURE</t>
  </si>
  <si>
    <t>LONDON</t>
  </si>
  <si>
    <t>CAMPUS, 4 CRINAN ST, LONDON, N1 9XW, ENGLAND</t>
  </si>
  <si>
    <t>0015-749X</t>
  </si>
  <si>
    <t>1938-3738</t>
  </si>
  <si>
    <t>FOREST SCI</t>
  </si>
  <si>
    <t>For. Sci.</t>
  </si>
  <si>
    <t>FEB</t>
  </si>
  <si>
    <t>521NH</t>
  </si>
  <si>
    <t>WOS:000173846700015</t>
  </si>
  <si>
    <t>Sippola, AL; Siitonen, J; Punttila, P</t>
  </si>
  <si>
    <t>ANNALES ZOOLOGICI FENNICI</t>
  </si>
  <si>
    <t>COARSE WOODY DEBRIS; BOREAL FORESTS; SAPROXYLIC BEETLES; CONIFEROUS FOREST; SOUTHERN FINLAND; CARABID BEETLES; RUSSIAN KARELIA; BARK BEETLES; COLEOPTERA; INVERTEBRATES</t>
  </si>
  <si>
    <t>We compared beetle fauna among six types of forests: (1) old-growth pine, (2) old-growth spruce and (3) old-growth mixed forests; (4) 1-year-old and (5) 15-year-old seed-tree cut pine forests, and (6) 15-year-old clear-cut spruce forests using window trapping. In the old-growth forests, species richness was explained by site productivity, amount and quality of coarse woody debris (CWD), and tree species composition. Many of the explaining variables, e.g., site productivity, volume of living timber and volume of CWD were intercorrelated. Beetle assemblages varied according to the site fertility and successional stage. The species compositions of non-saproxylic species were rather similar in the seed-tree-cut areas and in the old-growth pine forests, but the species composition of saproxylics differed between the two forest types. On the contrary, the species compositions of both saproxylics and non-saproxylics differed distinctly between the old-growth spruce forest and clear-cut sites. Species colonising recently died trees, soil-dwelling open-habitat species and some polypore-living cisids were more abundant in regeneration areas than in old-growth forests, whereas species of many other mycetophagous beetle fan-dlies were practically absent from the logged sites. Compared with old-growth forests, the proportion of nationally rare saproxylic species was high at the recently cut sites, but clearly lower at the old regeneration sites. This indicates that in the long run the changes in the amount and quality of CWD may have detrimental effects to rare saproxylic species in the regeneration areas.</t>
  </si>
  <si>
    <t>Univ Lapland, Arctic Ctr, FIN-96101 Rovaniemi, Finland; Finnish Forest Res Inst, Vantaa Res Ctr, FIN-01301 Vantaa, Finland; Finnish Environm Inst, Nat &amp; Land Use Div, FIN-00251 Helsinki, Finland</t>
  </si>
  <si>
    <t>University of Lapland; Natural Resources Institute Finland (Luke); Finnish Environment Institute</t>
  </si>
  <si>
    <t>Sippola, AL (corresponding author), Univ Lapland, Arctic Ctr, POB 122, FIN-96101 Rovaniemi, Finland.</t>
  </si>
  <si>
    <t>Ylisirniö, Anna-Liisa/L-4444-2013; Punttila, Pekka/ABH-1138-2020; Siitonen, Juha/D-7117-2017</t>
  </si>
  <si>
    <t>Punttila, Pekka/0000-0002-0076-9499;</t>
  </si>
  <si>
    <t>FINNISH ZOOLOGICAL BOTANICAL PUBLISHING BOARD</t>
  </si>
  <si>
    <t>UNIV HELSINKI</t>
  </si>
  <si>
    <t>P O BOX 17, FIN-00014 UNIV HELSINKI, FINLAND</t>
  </si>
  <si>
    <t>0003-455X</t>
  </si>
  <si>
    <t>ANN ZOOL FENN</t>
  </si>
  <si>
    <t>Ann. Zool. Fenn.</t>
  </si>
  <si>
    <t>Ecology; Zoology</t>
  </si>
  <si>
    <t>Environmental Sciences &amp; Ecology; Zoology</t>
  </si>
  <si>
    <t>532MP</t>
  </si>
  <si>
    <t>WOS:000174479300009</t>
  </si>
  <si>
    <t>Ghazoul, J</t>
  </si>
  <si>
    <t>community structure; deciduous dipterocarp forest; disturbance; Lepidoptera; range size</t>
  </si>
  <si>
    <t>HABITAT DISTURBANCE; SPECIES-DIVERSITY; RAIN-FOREST; PAPILIONOIDEA; CONSERVATION; LEPIDOPTERA; COMMUNITIES; INDICATORS; ABUNDANCE</t>
  </si>
  <si>
    <t>Studies on the impact of logging on tropical forest butterflies have been almost exclusively conducted in moist forest habitats. This study considers the impacts of small-scale logging on butterfly communities at three sites of varying disturbance intensity in a tropical dry forest in western Thailand. Butterfly species richness was similar at all sites, but the abundance of butterflies and diversity of the butterfly community decreased with increased logging disturbance. The recorded decrease in diversity at the relatively large sampling scale used lends further support to the hypothesis that disturbance effects are scale dependent. Species abundance data for butterflies fitted a log-normal distribution at all sites, but also a log-series distribution at the two disturbed sites. These analyses suggest a more complex butterfly community at the undisturbed site, but also that log-series and log-normal distributions may not to be sufficiently sensitive to be useful indicators of community changes following logging. Community ordination separates both the butterfly species and transect samples into three distinct regions corresponding to the three study locations. Ordination axes are correlated with tree density, understorey cover and understorey plant richness. Species with the smallest geographic ranges tend to be the least abundant and occurred most frequently in the undisturbed site. The observed diverging responses to disturbance among butterfly families diminishes the value of butterfly communities as biodiversity indicators, and forest managers should perhaps focus on restricted range species or of groups of recognized sensitive species for this purpose.</t>
  </si>
  <si>
    <t>Univ London Imperial Coll Sci Technol &amp; Med, TH Huxley Sch Environm Earth Sci &amp; Engn, Ascot SL5 7PY, Berks, England</t>
  </si>
  <si>
    <t>Imperial College London</t>
  </si>
  <si>
    <t>Ghazoul, J (corresponding author), Univ London Imperial Coll Sci Technol &amp; Med, TH Huxley Sch Environm Earth Sci &amp; Engn, Silwood Pk, Ascot SL5 7PY, Berks, England.</t>
  </si>
  <si>
    <t>j.ghazoul@ic.ac.uk</t>
  </si>
  <si>
    <t>; Ghazoul, Jaboury/B-2121-2018</t>
  </si>
  <si>
    <t>Ghazoul, Jaboury/0000-0002-8319-1636;</t>
  </si>
  <si>
    <t>MAR</t>
  </si>
  <si>
    <t>10.1023/A:1014812701423</t>
  </si>
  <si>
    <t>534UL</t>
  </si>
  <si>
    <t>WOS:000174605900009</t>
  </si>
  <si>
    <t>WEED SCIENCE</t>
  </si>
  <si>
    <t>spring barley; Hordeum distichon L.; oats (Avena sativa L.); wheat (Triticum aestivum L.); efficacy; reduced rates; crop yield; bromoxynil; dichlorprop-P; ioxynil; MCPA; tribenuron-methyl; integrated weed management; IWM; seedbank</t>
  </si>
  <si>
    <t>SOUTHERN SWEDEN; SEED PRODUCTION; AUTUMN TILLAGE; REDUCED RATES; CROP; COMPETITION; REDUCTION; WHEAT; LONGEVITY; DIVERSITY</t>
  </si>
  <si>
    <t>Different herbicide-applications stratigies may serve as part of an integrated weed management (IWM) system. In 1987 and 1988, ten field trials were initiated in the south-central part of Sweden, with the objective of studying the long-term effects herbicide-application strategies on the development of weed populations and productivity of spring-sown cereals. Each year until 1997, herbicides were applied at 25, 50, 75, or 100% of the full recommended dose. Treatments included herbicide exclusion every second year and herbicide application at 25 or 50% of a full dose during two out of three years, with a full dose applied in the third year. An untreated control was included. In 1998, weed densities in 25, 50, 75, and 100% of a full dose were reduced 43, 58, 64, and 67% compared with the control. At seven sites, the exclusion of herbicides every second year resulted in 43 to 178% higher weed densities than in 50% of a full dose, although tire same amount of herbicide was applied when summarized over 2 yr. At four sites, herbicide application each year at 50, 75, or 100% of a full dose increased the density of difficult-to-control species by 24% compared with the untreated control. Averaged over sites, the untreated control contained 30% more weed species than herbicide application at 75 or 100% of a full dose. At three sites in 1996, the full dose resulted in 520 kg ha(-1) (pooled over sites) higher barley yields than in tire control. Neither in 1996 nor in 1997, was there any difference in crop yield between herbicide application at 25 and 100% of a full dose. This study demonstrates the potential of reducing the input of agrochemicals for weed control by using herbicides at reduced rates in competitive crops.</t>
  </si>
  <si>
    <t>SLU, Dept Ecol &amp; Crop Prod Sci, SE-75007 Uppsala, Sweden</t>
  </si>
  <si>
    <t>Boström, U (corresponding author), SLU, Dept Ecol &amp; Crop Prod Sci, POB 7043, SE-75007 Uppsala, Sweden.</t>
  </si>
  <si>
    <t>WEED SCI SOC AMER</t>
  </si>
  <si>
    <t>LAWRENCE</t>
  </si>
  <si>
    <t>810 EAST 10TH ST, LAWRENCE, KS 66044-8897 USA</t>
  </si>
  <si>
    <t>0043-1745</t>
  </si>
  <si>
    <t>WEED SCI</t>
  </si>
  <si>
    <t>Weed Sci.</t>
  </si>
  <si>
    <t>MAR-APR</t>
  </si>
  <si>
    <t>10.1614/0043-1745(2002)050[0196:LTEOHA]2.0.CO;2</t>
  </si>
  <si>
    <t>Agronomy; Plant Sciences</t>
  </si>
  <si>
    <t>Agriculture; Plant Sciences</t>
  </si>
  <si>
    <t>540HY</t>
  </si>
  <si>
    <t>WOS:000174924500010</t>
  </si>
  <si>
    <t>Summerville, KS; Crist, TO</t>
  </si>
  <si>
    <t>Effects of timber harvest on forest Lepidoptera: Community, guild, and species responses</t>
  </si>
  <si>
    <t>biodiversity; canonical correspondence analysis (CCA); clear-cutting; community; composition; disturbance; landscape; Lepidoptera; logging; Ohio; species richness</t>
  </si>
  <si>
    <t>INSECT HERBIVORE; BIRD COMMUNITIES; DIVERSITY; MOTHS; PLANT; DISTURBANCE; RICHNESS; SCALE; CONSERVATION; BUTTERFLIES</t>
  </si>
  <si>
    <t>Two pressing questions for forestry and conservation biology are whether periodic logging in forest ecosystems significantly changes biodiversity and whether the changes can be mitigated through appropriate harvest methods. Such questions of timber resource management, however, are rarely applied to nonpest insect species, particularly in temperate forest systems. We studied the effects of timber harvest on species richness, abundance, and community composition of forest Lepidoptera (moths). Moths were sampled in 16 forest stands occurring in two watersheds (managed and wilderness) in southeastern Ohio during summer 2000. Stands were chosen from one of four management categories: clear-cut, selectively logged, unlogged, and wilderness. Specifically, we tested the following predictions: (1) shifts in moth community composition would be affected by postharvest changes in stand structure and floristic composition, (2) variation in species richness would be determined by the magnitude of the logging disturbance, and (3) unlogged stands within managed landscapes would contain different species assemblages compared to wilderness stands. Canonical correspondence analysis (CCA) revealed significant compositional differences among moth communities sampled from forest stands differing in harvest regime. Variation among moth communities was mainly attributable to postharvest changes in stand floristic composition rather than stand structure. Postdisturbance shifts in moth community composition were related to the magnitude of displacement of a given forest stand to earlier successional stages. We also found that both species richness of the overall moth community and several feeding guilds were significantly lower in clear-cut stands, but species richness did not differ between selectively logged and unlogged stands. Thus, selective logging appears to be a better strategy for timber harvest when concern is for maintaining species richness of Lepidoptera within stands. Finally, although no differences were detected in overall species richness or abundance of moths sampled from stands in managed or wilderness watersheds, the CCA suggested that the surrounding landscape influenced the variation in community composition within and among forest stands. Therefore, we suggest that the long-term maintenance of lepidopteran species diversity and community composition within temperate deciduous forests managed for timber tray ultimately depend on successful regeneration of harvested stands to precut floristic composition as well as the preservation of larger areas of unlogged forests.</t>
  </si>
  <si>
    <t>Miami Univ, Dept Zool, Oxford, OH 45056 USA</t>
  </si>
  <si>
    <t>University System of Ohio; Miami University</t>
  </si>
  <si>
    <t>Summerville, KS (corresponding author), Miami Univ, Dept Zool, Oxford, OH 45056 USA.</t>
  </si>
  <si>
    <t>summerks@muohio.edu</t>
  </si>
  <si>
    <t>JUN</t>
  </si>
  <si>
    <t>10.1890/1051-0761(2002)012[0820:EOTHOF]2.0.CO;2</t>
  </si>
  <si>
    <t>553UL</t>
  </si>
  <si>
    <t>WOS:000175693800023</t>
  </si>
  <si>
    <t>Sekercioglu, CH</t>
  </si>
  <si>
    <t>Uganda; tropical forestry; selective logging; vegetation structure; bird communities</t>
  </si>
  <si>
    <t>RAIN-FOREST; REGENERATION; BIODIVERSITY; CONSERVATION; ECOLOGY</t>
  </si>
  <si>
    <t>I examined the lingering effects of past timber management practices on the vegetation structure and bird community of Kibale National Park, Uganda. I compared four forest treatments: unlogged native forest (UL), two that were selectively logged Lit low (LL) and high (HL) intensities in the 1960s, and a conifer plantation (PL). Forest-dependent birds were best represented at UL. LL was similar to UL in both vegetation structure and bird community cornposition, although some forest-dependent bird species were missing from the former. HL had significantly less canopy closure and lower tree density than other plots as a result of the combination of extensive secondary damage and natural disturbance patterns that prevented the reclosure of the forest canopy. Thirty-one percent of the forest-dependent bird species observed during the study were not detected Lit HL. At PL, bird species richness and bird abundance were about a third of those observed in other plots. There were significant correlations between heterogeneity of tree distribution (horizontal heterogeneity) and abundance and species richness of birds across plots. Abundance and species richness of all, forest-dependent, and forest generalist birds were highest in plots with intermediate measures of horizontal heterogeneity, which were mostly unlogged or lightly logged. If reduced-impact logging practices are not implemented during selective logging operations in tropical forests, consequent long-term changes in vegetation structure may result ill significant declines in the populations of some forest-dependent species, as was observed in Kibale National Park. (C) 2002 Fisevier Science Ltd. All rights reserved.</t>
  </si>
  <si>
    <t>Stanford Univ, Ctr Conservat Biol, Dept Biol Sci, Stanford, CA 94305 USA</t>
  </si>
  <si>
    <t>Stanford University</t>
  </si>
  <si>
    <t>Sekercioglu, CH (corresponding author), Stanford Univ, Ctr Conservat Biol, Dept Biol Sci, Stanford, CA 94305 USA.</t>
  </si>
  <si>
    <t>cagan@stanford.edu</t>
  </si>
  <si>
    <t>Sekercioglu, Cagan/A-2331-2013; Şekercioğlu, Çağan H/A-1273-2007</t>
  </si>
  <si>
    <t>Şekercioğlu, Çağan H/0000-0003-3193-0377</t>
  </si>
  <si>
    <t>London</t>
  </si>
  <si>
    <t>125 London Wall, London, ENGLAND</t>
  </si>
  <si>
    <t>1873-2917</t>
  </si>
  <si>
    <t>PII S0006-3207(02)00097-6</t>
  </si>
  <si>
    <t>10.1016/S0006-3207(02)00097-6</t>
  </si>
  <si>
    <t>573WE</t>
  </si>
  <si>
    <t>WOS:000176854200010</t>
  </si>
  <si>
    <t>Parrotta, JA; Francis, JK; Knowles, OH</t>
  </si>
  <si>
    <t>Brazil; floristic diversity; forest management; productivity; regeneration</t>
  </si>
  <si>
    <t>TREE SPECIES-DIVERSITY; RICAN RAIN-FOREST; BRAZILIAN AMAZON; BURN AGRICULTURE; MANAGEMENT; REGENERATION; DISTURBANCE; RECOVERY; GROWTH</t>
  </si>
  <si>
    <t>Forest structure and floristic composition were studied in a series of 0.5 ha natural forest plots at four sites near Porto Trombetas in Pard State, Brazil, 11-12 years after being subjected to differing levels of above-ground biomass harvest and removal. In addition to undisturbed control plots, experimental treatments included: removal of most trees greater than or equal to45 cm DBH (low intensity harvest); removal of trees &lt;20 and greater than or equal to60 cm DBH (moderate intensity harvest); clear-cutting (100% above-ground biomass removal). Post-harvest basal area growth generally increased with harvest intensity, and total basal areas for trees greater than or equal to5 cm DBH were, at the time of our study, 60% (in the clear-cut) to about 80% of those in the control plots. Biomass harvests stimulated recruitment and growth of residual trees, particularly in the smaller diameter classes, but had little effect on species richness for small trees, seedlings, vine, herbs, and grasses. Species richness for trees greater than or equal to15 cm DBH was greater in the control and low-intensity (74-75 species) than in the moderate intensity (47 species) and clear-cut (26 species) treatment plots. While the tree flora within all harvest treatments was broadly similar to the undisturbed (control) plots and included similar numbers of species of the major plant families typical of the surrounding forests, the more intensive harvest treatments, especially the clear-cut, were dominated by a higher proportion of short-lived, early successional tree species. (C) 2002 Elsevier Science B.V. All rights reserved.</t>
  </si>
  <si>
    <t>USDA, Forest Serv, Int Inst Trop Forestry, Rio Piedras, PR 00928 USA</t>
  </si>
  <si>
    <t>United States Department of Agriculture (USDA); United States Forest Service</t>
  </si>
  <si>
    <t>Parrotta, JA (corresponding author), USDA, Forest Serv, Res &amp; Dev, SPPII RPC, 4th Floor,POB 96090, Washington, DC 20090 USA.</t>
  </si>
  <si>
    <t>Parrotta, John/0000-0002-9283-6037</t>
  </si>
  <si>
    <t>OCT 1</t>
  </si>
  <si>
    <t>PII S0378-1127(01)00758-7</t>
  </si>
  <si>
    <t>10.1016/S0378-1127(01)00758-7</t>
  </si>
  <si>
    <t>590QW</t>
  </si>
  <si>
    <t>WOS:000177834400006</t>
  </si>
  <si>
    <t>Sullivan, TP; Sullivan, DS; Lindgren, PMF; Boateng, JO</t>
  </si>
  <si>
    <t>pre-commercial thinning; stand structure; understory vegetation; lodgepole pine; small mammal communities; species diversity; glyphosate herbicide</t>
  </si>
  <si>
    <t>PELLET-GROUP; FLUCTUATING POPULATIONS; UNDERSTORY VEGETATION; DEMOGRAPHIC-CHANGES; SNOWSHOE HARES; DYNAMICS; WILDLIFE; BIOLOGY</t>
  </si>
  <si>
    <t>Silvicultural practices that provide a wide variety of vegetative composition and structure (habitats) in young stands should help manage for biological diversity across forested landscapes. This study was designed to test the hypotheses that: (i) abundance and diversity of stand structure attributes (species diversity and structural diversity of herb, shrub and tree layers) and forest floor small mammal communities, and (ii) relative habitat use by large herbivores, will increase from unthinned to conventionally thinned to chemically thinned stands of young lodgepole pine (Pinus contorta) forest. Replicate study areas were located near Summerland, Kelowna and Williams Lake in south-central British Columbia, Canada. Each study area had three treatments: a conventionally thinned, a chemically thinned and an unthinned stand. Pre-commercial thinning was conducted in 1993. Coniferous stand structure and understory vegetation were measured prior to thinning in 1993 and 5 years later in 1998. Small mammal populations were sampled intensively from 1993 to 1998. Relative habitat use by large herbivores was sampled in 1998. Our results indicate that chemical thinning of young lodgepole pine stands produced an aggregated pattern of crop trees compared with stands subjected to conventional thinning. Diameter growth of crop trees in the chemically thinned stands was similar to that in the conventionally thinned, but also to that in unthinned stands. Although horizontal stratification (aggregates of trees) was enhanced, vertical stratification (structural diversity of vegetation) was less in the chemically than conventionally thinned stands. Abundance and diversity of understory vegetation and small mammal communities were generally unaffected by stand thinning in these particular installations. Relative habitat use by mule deer (Odocoileus hemionus) occurred in a gradient from highest in the conventionally thinned stand to lowest in the unthinned stand. Habitat use by snowshoe hares (Lepus americanus) tended to have the opposite trend. Moose (Alces alces) exhibited no difference in habitat use among stands. Thus, although there were few differences among treatment stands, chemical thinning could be used to develop an aggregated pattern of crop trees in pre-commercially thinned stands to maintain habitat for herbivores such as snowshoe hares and mule deer. Understory plant and forest floor small mammal communities would be maintained in these stands as well. (C) 2002 Elsevier Science B.V. All rights reserved.</t>
  </si>
  <si>
    <t>Appl Mammal Res Inst, Summerland, BC V0H 1Z0, Canada; Minist Forests, Forest Practices Branch, Victoria, BC V8W 9C2, Canada</t>
  </si>
  <si>
    <t>Natural Resources Canada; Canadian Forest Service</t>
  </si>
  <si>
    <t>Sullivan, TP (corresponding author), Appl Mammal Res Inst, RR 3,Site 46,Comp 18,11010 Mitchell Ave, Summerland, BC V0H 1Z0, Canada.</t>
  </si>
  <si>
    <t>OCT 15</t>
  </si>
  <si>
    <t>PII S0378-1127(01)00775-7</t>
  </si>
  <si>
    <t>10.1016/S0378-1127(01)00775-7</t>
  </si>
  <si>
    <t>603NY</t>
  </si>
  <si>
    <t>WOS:000178567000013</t>
  </si>
  <si>
    <t>Okland, T; Rydgren, K; Okland, RH; Storaunet, KO; Rolstad, J</t>
  </si>
  <si>
    <t>Variation in environmental conditions, understorey species number, abundance and composition among natural and managed Picea-abies forest stands</t>
  </si>
  <si>
    <t>environmental factors; forest management; old-growth; ordination; species abundance; species composition; species number; spruce forest; tree structure; vegetation</t>
  </si>
  <si>
    <t>BOREAL FOREST; CONIFEROUS FORESTS; VEGETATION; REGENERATION; DISTURBANCE; INTENSITY; NORWAY; PLANT; WOOD; AGE</t>
  </si>
  <si>
    <t>We studied four south-facing and three north-facing boreal spruce forest stands (ca. 0.1 ha each) in SE Norway with the aim of testing the hypothesis that former logging has long-term effects on boreal forest-floor vegetation. The stand series comprised unlogged natural forests and forests that were selectively or clear cut 60-70 years prior to our study. Each stand was described with respect to history of forestry impact and tree-stand structure. Environmental, species number, species abundance and species composition (vegetation gradients obtained as ordination axes) variables obtained for 25 m x 1 m plots in each stand were tested for among-stand differences. Significant among-stand differences were found, partly related to former forest management and partly,due to among-stand differences in topography. Differences among stands related,to management were found for tree stand density, highest in managed stands, and for Dryopteris expansa agg. and Luzula pilosa abundances, peaking in formerly clear-cut stands. Species number (at plot or stand scales) was weakly related to former management. On southerly as well as northerly aspects, gradients in species composition were found that separated plots according to former management. Differences among stand conditioned on topography resulted in opposite patterns in the two series of stands because among southerly stands the clear cut was the least while among northerly the clear cut was the most strongly sloping. Low-inclination sites tended more strongly to be paludified and to have high Sphagnum cover, and to have low abundance of specific microsites with small mosses and hepatics. Vegetation gradients related to soil moisture and microtopography were found for both aspects. A strong gradient in species composition related to tree influence at within-stand scales was found, with variation in species number. Existence of such a gradient should provide for significant biotic effects (of short or long duration) of the environmental changes that take place during forest re-growth: (1) the immediate creation of small or large tree-layer gaps by tree felling; and (2) the closing of the tree layer during the regeneration phase. Most notably, the phases at which the tree layer reaches minimum and maximum cover, respectively, may act as 'bottlenecks' for survival of forest-floor species. We conclude that forestry impacts understorey vegetation by way of changes. in tree-layer structure and, to a lesser extent, substrate availability and the local environment, during forest regrowth. The extent and duration of this impact will depend on a complex set of factors. Our results are consistent with the view that if maintenance of species diversity is aimed at, environmental considerations should be built into forest management practices, preferably by mimicking the natural structural dynamics of the tree layer. (C) 2002 Elsevier Science B.V. All rights reserved.</t>
  </si>
  <si>
    <t>Norwegian Inst Land Inventory, N-1430 As, Norway; Univ Oslo, Bot Museum, N-0318 Oslo, Norway; Norwegian Forest Res Inst, N-1432 As, Norway</t>
  </si>
  <si>
    <t>University of Oslo</t>
  </si>
  <si>
    <t>Okland, T (corresponding author), Norwegian Inst Land Inventory, Box 115, N-1430 As, Norway.</t>
  </si>
  <si>
    <t>tonje.okland@nijos.no</t>
  </si>
  <si>
    <t>Storaunet, Ken Olaf/A-7037-2008; Storaunet, Ken/A-7037-2008; Økland, Tonje/R-1763-2019</t>
  </si>
  <si>
    <t>Storaunet, Ken Olaf/0000-0002-7258-5592;</t>
  </si>
  <si>
    <t>APR 7</t>
  </si>
  <si>
    <t>PII S0378-1127(02)00331-6</t>
  </si>
  <si>
    <t>10.1016/S0378-1127(02)00331-6</t>
  </si>
  <si>
    <t>664BL</t>
  </si>
  <si>
    <t>WOS:000182041800003</t>
  </si>
  <si>
    <t>Jones, DT; Susilo, FX; Bignell, DE; Hardiwinoto, S; Gillison, AN; Eggleton, P</t>
  </si>
  <si>
    <t>canopy cover; disturbance; Isoptera; rain forest; selective logging; soil communities; species richness</t>
  </si>
  <si>
    <t>MBALMAYO-FOREST-RESERVE; TROPICAL FOREST; RAIN-FOREST; AGRICULTURAL INTENSIFICATION; AGROFORESTRY SYSTEMS; DIFFERING LEVELS; SOIL MACROFAUNA; ISOPTERA; ECOSYSTEM; BIODIVERSITY</t>
  </si>
  <si>
    <t>1. Termites are major decomposers in tropical regions and play an important role in soil processes. This study measured the impact of land-use intensification on the termite assemblage of lowland rain forest in Jambi Province, on the Indonesian island of Sumatra. Termite composition was assessed in seven land-use types along a disturbance gradient, from primary forest, through different silvicultural systems, to grassland and cultivated land without trees. A range of environmental variables was also measured. 2. Termite species richness and relative abundance declined as follows: primary forest &gt; selectively logged forest &gt; mature 'jungle rubber' (a diverse agro-forest dominated by rubber trees) &gt; mature rubber plantation &gt; young Paraserianthes falcataria plantation (a softwood tree) &gt; Imperata cylindrica grassland &gt; cassava garden. Termite richness fell from 34 species in the primary forest to one species in the cassava garden. The relative abundance of soil-feeding termites showed a significantly greater decline along the gradient than did wood-feeding termites. 3. Of the environmental variables, woody plant basal area was most strongly correlated with termite species richness (r = 0.973) and relative abundance (r = 0.980). This reflects the response of forest-adapted termites to progressive simplification of the physical structure of the habitat, resulting in the reduction of canopy cover and alteration in microclimate, and the loss of feeding and nesting sites. 4. Synthesis and applications . Comparisons with other studies show that the decline in termite species richness and relative abundance seen at Jambi is a general trend that occurs elsewhere when forests are converted to other land uses. To help mitigate the loss of termites when forests are disturbed, we recommend the following management practices: the use of reduced-impact logging techniques, maximizing forest patch size and connectivity, minimizing length of forest edges, and leaving dead wood to decay in situ .</t>
  </si>
  <si>
    <t>Nat Hist Museum, Dept Entomol, Termite Res Grp, London SW7 5BD, England; Univ Lampung, Jurusan Proteksi Tanaman, Bandar Lampung 35145, Indonesia; Univ Malaysia Sabah, Inst Trop Biol &amp; Conservat, Kota Kinabalu 88999, Sabah, Malaysia; Gadjah Mada Univ, Dept Silviculture, Fac Forestry, Yogyakarta, Indonesia; Ctr Biodivers Management, Yungaburra, Qld 4972, Australia</t>
  </si>
  <si>
    <t>Natural History Museum London; Universitas Lampung; Universiti Malaysia Sabah; Gadjah Mada University</t>
  </si>
  <si>
    <t>Jones, DT (corresponding author), Nat Hist Museum, Dept Entomol, Termite Res Grp, Cromwell Rd, London SW7 5BD, England.</t>
  </si>
  <si>
    <t>dtj@nhm.ac.uk</t>
  </si>
  <si>
    <t>Eggleton, Paul/A-3155-2015; Susilo, FX/JZD-9268-2024</t>
  </si>
  <si>
    <t>Eggleton, Paul/0000-0002-1420-7518; Susilo, Franciscus Xaverius/0000-0002-3401-7148</t>
  </si>
  <si>
    <t>APR</t>
  </si>
  <si>
    <t>10.1046/j.1365-2664.2003.00794.x</t>
  </si>
  <si>
    <t>665KG</t>
  </si>
  <si>
    <t>WOS:000182118700016</t>
  </si>
  <si>
    <t>Peeters, LYK; Soto-Pinto, L; Perales, H; Montoya, G; Ishiki, M</t>
  </si>
  <si>
    <t>Inga; coffee shade vegetation; traditional agroforestry systems; monetary value; secondary production; shade trees</t>
  </si>
  <si>
    <t>Traditional Mexican coffee plantations, with a diverse shade vegetation of native tree species, are being replaced by coffee monocultures shaded by trees of the genus Inga, resulting in loss of biodiversity and ecological services. Coffee production is said to benefit from Inga shade, but few on-field experiments have been done to support this hypothesis. Secondary production (timber, firewood, fruits, medicines, etc.) is probably lower in Inga-shaded coffee plantations, and that loss could outweigh benefits from increased coffee production. Coffee yields, present stock of timber, and aboveground tree biomass as an indicator of firewood production were measured and compared for plots in traditional and in Inga-shaded plantations in Plan Paredon, Chiapas, Mexico. Coffee production was similar in both plantation types. Timber production was significantly higher in traditional plantations, and amounted to ten times the timber production in Inga-shaded plantations. Total tree biomass was significantly higher in traditional coffee plantations, but not biomass of tree species apt for firewood. However, firewood production could be higher in traditional plantations. There seems to be no reason to replace traditional plantations by Inga-shaded ones in order to increase production in the plantations studied. (C) 2002 Elsevier Science B.V. All rights reserved.</t>
  </si>
  <si>
    <t>Carretera Panamericana &amp; Periferico Sur S N, Chiapas 29290, Mexico</t>
  </si>
  <si>
    <t>Soto-Pinto, L (corresponding author), Carretera Panamericana &amp; Periferico Sur S N, Apartado Postal 63, Chiapas 29290, Mexico.</t>
  </si>
  <si>
    <t>lizaykpeeters@hotmail.com; lsoto@sclc.ecosur.mx</t>
  </si>
  <si>
    <t>Perales, Hugo/F-6193-2010</t>
  </si>
  <si>
    <t>Perales, Hugo/0000-0003-3431-5759</t>
  </si>
  <si>
    <t>1873-2305</t>
  </si>
  <si>
    <t>2-3</t>
  </si>
  <si>
    <t>PII S0167-8809(02)00204-9</t>
  </si>
  <si>
    <t>10.1016/S0167-8809(02)00204-9</t>
  </si>
  <si>
    <t>669AK</t>
  </si>
  <si>
    <t>WOS:000182329600007</t>
  </si>
  <si>
    <t>Van Gemerden, BS; Shu, GN; Olff, H</t>
  </si>
  <si>
    <t>biodiversity conservation; Cameroon; endemism; logging; lowland rain forest; plants; rarity; secondary forest; shifting cultivation; species diversity</t>
  </si>
  <si>
    <t>UPPER RIO NEGRO; ABANDONED PASTURES; SUCCESSION; CHRONOSEQUENCE; RESTORATION; DIVERSITY; RESERVE</t>
  </si>
  <si>
    <t>Secondary forests in Central Africa are increasing in importance for biodiversity conservation as old growth forests outside the few protected areas are disappearing rapidly. We examined vegetation recovery in a lowland rain forest area in Cameroon based on a detailed botanical survey of old growth forest and different-aged logging gaps (5-27 years) and shifting cultivation fields (10-60 years). Our analysis focuses on the long-term recovery of botanical conservation values by analysing trends in vegetation structure, species composition, species diversity and levels of endemism and rarity. In the total survey (4.25 ha), we recorded 834 species of which 23% were endemic to the Lower Guinea forest region. The proportion of endemic species was high in shrubs and low in herbs. Geographic range and (local) rarity were not significantly associated. The proportion of rare species (relative frequency &lt;10%) was high in woody climbers and low in trees. In logging gaps, recovery of all vegetation characteristics was relatively quick (5-14 years). Recovery in shifting cultivation sites took longer (30-60 years). Endemic species were found to be highly sensitive to shifting cultivation practices and even after 50-60 years the level of endemism was still significantly lower compared to old growth forest. The proportion of rare species was not significantly different between disturbed sites and old growth forest. We conclude that secondary forests can contribute to biodiversity conservation, e. g. as buffer zones around protected areas. However, this contribution should be assessed differently between land use types and widespread versus endemic species.</t>
  </si>
  <si>
    <t>Univ Wageningen &amp; Res Ctr, Trop Nat Conservat, NL-6708 PD Wageningen, Netherlands; Univ Wageningen &amp; Res Ctr, Vertebrate Ecol Grp, NL-6708 PD Wageningen, Netherlands; Univ Wageningen &amp; Res Ctr, Wageningen Univ Branch, Natl Herbarium Nederland, Biosystemat Grp, NL-6703 BL Wageningen, Netherlands; Tropenbos Cameroon Programme, Kribi, Cameroon</t>
  </si>
  <si>
    <t>Wageningen University &amp; Research; Wageningen University &amp; Research; Wageningen University &amp; Research</t>
  </si>
  <si>
    <t>Van Gemerden, BS (corresponding author), Univ Wageningen &amp; Res Ctr, Trop Nat Conservat, Bornsesteeg 69, NL-6708 PD Wageningen, Netherlands.</t>
  </si>
  <si>
    <t>barend.vangemerden@wur.nl</t>
  </si>
  <si>
    <t>; Olff, Han/A-8516-2008</t>
  </si>
  <si>
    <t>Olff, Han/0000-0003-2154-3576;</t>
  </si>
  <si>
    <t>10.1023/A:1023603813163</t>
  </si>
  <si>
    <t>673LT</t>
  </si>
  <si>
    <t>Green Submitted</t>
  </si>
  <si>
    <t>WOS:000182583000001</t>
  </si>
  <si>
    <t>Dolanc, CR; Gorchov, DL; Cornejo, F</t>
  </si>
  <si>
    <t>sustainable management; tropical rainforest; annual growth increment; recruitment; sapling survival; deferment-cut</t>
  </si>
  <si>
    <t>TROPICAL RAIN-FOREST; BRAZILIAN AMAZON; COSTA-RICA; GROWTH; MANAGEMENT; ENVIRONMENTS; DYNAMICS; LIGHT</t>
  </si>
  <si>
    <t>Common logging practices in tropical rainforest are often not sustainable and can degrade the forest. The Palcazu Forest Management system (strip clear-cutting) has been proposed as one sustainable alternative. However, low growth rates of commercial tree species during early regeneration indicate that strip-cutting may not be sustainable. To test whether a silvicultural treatment enhances the growth, survival, recruitment or richness of regenerating trees, we carried out an experimental thinning in 1996 within two strips cleared in 1989 at Jenaro Herrera, Peru, then censussed and remeasured trees on thinned and control plots in 2000. In addition, for strip 2, we compared tree regeneration on two felling treatments, clear-cutting and deferment-cutting. Thinning significantly enhanced annual growth increment (AGI) for stems of all regeneration categories (recruits, stump sprouts, and advance regeneration) of commercial species in strip 1, and for all categories of recruits and stump sprouts in strip 2. In most cases, mean increment in the thinned treatment was approximately twice that of the control. Recruitment, survival and richness, however, demonstrated little response to thinning. Although growth tended to be higher in clear-cut portions, significant differences in increment for felling treatment were detected for only two of seven categories on strip 2, and there was no effect of felling treatment on survival, recruitment or richness. Thinning is likely to raise the value of the second harvest on the strips by enhancing the growth rates of regenerating trees, so thinning should be included in the strip clear-cutting system. This system should not, however, be considered sustainable unless growth rates are sufficient to ensure the value of successive harvests. Crown Copyright (C) 2003 Published by Elsevier Science B.V. All rights reserved.</t>
  </si>
  <si>
    <t>Miami Univ, Dept Bot, Oxford, OH 45056 USA; Proyecto Castanales, Puerto Maldonado, Peru</t>
  </si>
  <si>
    <t>Dolanc, CR (corresponding author), Forest Serv, USDA, 2081 E Sierra Ave, Fresno, CA 93710 USA.</t>
  </si>
  <si>
    <t>SEP 3</t>
  </si>
  <si>
    <t>10.1016/S0378-1127(03)00012-4</t>
  </si>
  <si>
    <t>716XL</t>
  </si>
  <si>
    <t>WOS:000185054900008</t>
  </si>
  <si>
    <t>Maeto, K; Sato, S</t>
  </si>
  <si>
    <t>chronosequence; conifer plantations; forest management; arthropod biodiversity; fragmentation; old-growth native forests</t>
  </si>
  <si>
    <t>DISTURBANCE; INDICATORS; MANAGEMENT; DIVERSITY; BEETLES</t>
  </si>
  <si>
    <t>To understand the long-term impacts of forestry, i.e., the conversion of old-growth native forests to second-growth native forests or conifer plantations, on ant species richness (i.e., the number of species) and species composition, ant assemblages from five old-growth forests (more than 120 years), four second-growth forests (30-70 years) and three conifer plantations (30-40 years) were compared in the Shimanto River Basin, Shikoku, southwest Japan. The number of ant species collected totaled 39. The number of ant species from the old-growth native forests, second-growth native forests and conifer plantations was 10-20, 15-20 and 11-15, respectively. The overall ant species richness had not been affected by forest conversion. However, correspondence analysis (CA) showed that the ant species composition was markedly different between old-growth forests and converted forests (second-growth forests and conifer plantations). The species richness of woodland specialists was greater in the old-growth forests, and open-habitat specialists and habitat generalists dominated the converted forests. The impacts of forestry on ant assemblages were of a long duration. Ant assemblages of the second-growth forests under regeneration for 40-70 years after logging were still distinct from those of old-growth forests. Careful management of second-growth forests bordering old-growth remnants would be essential to prevent the invasion of open-habitat species of ants into the interior of old-growth forests. (C) 2003 Elsevier B.V. All rights reserved.</t>
  </si>
  <si>
    <t>Kobe Univ, Fac Agr, Lab Insect Sci, Nada Ku, Kobe, Hyogo 6578501, Japan; Forestry &amp; Forest Prod Res Inst, Shikoku Res Ctr, Kochi 7808077, Japan</t>
  </si>
  <si>
    <t>Kobe University; Forestry &amp; Forest Products Research Institute - Japan</t>
  </si>
  <si>
    <t>Maeto, K (corresponding author), Kobe Univ, Fac Agr, Lab Insect Sci, Nada Ku, Rokkodai 1-1, Kobe, Hyogo 6578501, Japan.</t>
  </si>
  <si>
    <t>maeto@kobe-u.ac.jp</t>
  </si>
  <si>
    <t>Maeto, Kaoru/AAB-7318-2019</t>
  </si>
  <si>
    <t>JAN 23</t>
  </si>
  <si>
    <t>10.1016/S0378-1127(03)00333-5</t>
  </si>
  <si>
    <t>761NM</t>
  </si>
  <si>
    <t>WOS:000187914900007</t>
  </si>
  <si>
    <t>Cole, HA; Newmaster, SG; Lanteigne, L; Pitt, D</t>
  </si>
  <si>
    <t>Cole, H. A.; Newmaster, S. G.; Lanteigne, L.; Pitt, D.</t>
  </si>
  <si>
    <t>IFOREST-BIOGEOSCIENCES AND FORESTRY</t>
  </si>
  <si>
    <t>biodiversity; forest ecology; precommercial thinning; silviculture; tree spacing; plant diversity</t>
  </si>
  <si>
    <t>PLANT-SPECIES DIVERSITY; DOUGLAS-FIR FORESTS; UNDERSTORY VEGETATION; MANAGED FORESTS; DECIDUOUS FOREST; HERBACEOUS-LAYER; STAND STRUCTURE; CLEAR-CUT; RESPONSES; GROWTH</t>
  </si>
  <si>
    <t>The Green River spacing trials were established between 1959 and 1961 to study the long-term growth and development of balsam fir (Abies balsamea (L.) Mill.) and red spruce (Picea rubens Sarg. in response to precommercial thinning (PCT). Three nominal spacings (1.2 m, 1.8 m, 2.4 m) and an unthinned control were applied in a randomized complete block design with 5 replicates to regenerating stands, an average of 8 years after harvest. Our study examines floristic diversity associated with these treatments approximately four decades later. Floristic diversity was assessed with several alpha diversity indices as well as multivariate analysis to compare community composition. Specific a-priori contrasts compared plant diversity among a) control and average of the wider spacings (1.8 m and 2.4 m), b) control and the narrowest spacing (1.2 m), and c) the narrowest spacing and the widest spacing. Our results indicate that there were no appreciable differences among the treatments across all measures of plant diversity investigated. As such, we conclude that the forest understory, as represented by the unthinned plots, was analogous in the thinned plots at time of stand maturity. Vegetation response to PCT treatments is inconsistent in the published literature, but this can be attributed to differences in thinning intensities, recovery age or the type of forest ecosystem studied. We conclude that PCT is a variable silvicultural tool that could be used to attain both economic productivity and biodiversity conservation goals.</t>
  </si>
  <si>
    <t>[Cole, H. A.] Swiss Fed Res Inst WSL Biodivers &amp; Conservat Biol, CH-8903 Birmensdorf, Switzerland; [Newmaster, S. G.] Univ Guelph, Florist Div Res Grp, OAC Herbarium, Guelph, ON N1G 2W1, Canada; [Lanteigne, L.] Hugh John Fleming Forestry Ctr, Canadian Forest Serv, Atlantic Forestry Ctr, Fredericton, NB E3B 5P7, Canada; [Pitt, D.] Great Lakes Forestry Ctr, Canadian Forest Serv, Sault Ste Marie, ON P6A 5M7, Canada</t>
  </si>
  <si>
    <t>University of Guelph; Natural Resources Canada; Canadian Forest Service; Natural Resources Canada; Canadian Forest Service; Great Lakes Forestry Centre</t>
  </si>
  <si>
    <t>Cole, HA (corresponding author), Swiss Fed Res Inst WSL Biodivers &amp; Conservat Biol, Zurcherstr 111, CH-8903 Birmensdorf, Switzerland.</t>
  </si>
  <si>
    <t>heather.cole@wsl.ch</t>
  </si>
  <si>
    <t>Cole, Heather/0000-0002-8890-1748</t>
  </si>
  <si>
    <t>Canadian Forest Service, Canadian Ecology Centre - Forestry Research Partnership; New Brunswick Growth and Yield Committee</t>
  </si>
  <si>
    <t>Canadian Forest Service, Canadian Ecology Centre - Forestry Research Partnership(Natural Resources CanadaCanadian Forest Service); New Brunswick Growth and Yield Committee</t>
  </si>
  <si>
    <t>We are greatly indebted to Dr. Gordon Baskerville for his foresight and early efforts in the sound establishment of the Green River thinning trials. The long and continued efforts of a number of field and office personnel over the years have kept this study alive. At the risk of missing some of these folks, they include B.J. Akerly, Rodney Foster, Mike Ker, Mike Lavigne, Wayne Malloy, Gerrit van Raalte, and Ben Weale. To the credit of Nexfor Fraser Papers Inc., now Acadian Timber, (Kevin Topolniski, Luc Ouellette, and Gordon Whitmore) and N.B. Department of Natural Resources and Energy, these plots have been carefully protected through the years and remain relatively undisturbed. We would also like to thank Tara Stephens, Chris Roosenboom, and Trevor Wilson for their assistance in the field and at the herbarium. Aron Fazekas and Candice Newmaster provided editorial support for which we a grateful. Funding for the 2004 measurements and analysis was provided by the Canadian Forest Service, Canadian Ecology Centre - Forestry Research Partnership, and the New Brunswick Growth and Yield Committee.</t>
  </si>
  <si>
    <t>SISEF-SOC ITALIANA SELVICOLTURA ECOL FORESTALE</t>
  </si>
  <si>
    <t>POTENZA</t>
  </si>
  <si>
    <t>DEPT PROD VEGETALE, VIA ATENEO LUCANO 10, POTENZA, 85100, ITALY</t>
  </si>
  <si>
    <t>1971-7458</t>
  </si>
  <si>
    <t>IFOREST</t>
  </si>
  <si>
    <t>iForest</t>
  </si>
  <si>
    <t>NOV 25</t>
  </si>
  <si>
    <t>10.3832/ifor0470-0010145</t>
  </si>
  <si>
    <t>V17DH</t>
  </si>
  <si>
    <t>Green Submitted, gold</t>
  </si>
  <si>
    <t>WOS:000207917400003</t>
  </si>
  <si>
    <t>Penttilä, R; Siitonen, J; Kuusinen, M</t>
  </si>
  <si>
    <t>biodiversity; dead wood; forest management; stand structure; threatened species; wood-decaying fungi</t>
  </si>
  <si>
    <t>WOOD-INHABITING FUNGI; SPECIES RICHNESS; POPULUS-TREMULA; SPRUCE FORESTS; NORWAY SPRUCE; HABITAT; BIODIVERSITY; CONSERVATION; SWEDEN; DEBRIS</t>
  </si>
  <si>
    <t>Polypore communities were compared between mature managed, overmature managed, and old-growth spruce-dominated forests in southern Finland. A total of 85 polypore species, with 6000 records, were found in 16 sample plots, each 4 ha in size. Old-growth stands had on average 80% more species than mature stands, and 38% more species than overmature managed stands. Variation in polypore species richness was best explained by diversity of dead wood and the number and volume of dead trees. The best predictor for the number of threatened polypore species was the number of cut stumps. Threatened species were practically confined to old-growth forests and to stands in which the amount of dead wood exceeded 20 m(3)/ha. This figure appears to represent a stand-level threshold value for the amount of dead wood, below which the persistence of threatened species becomes unlikely. Our results suggest that a significant increase in the amount of dead wood (e.g. by leaving large retention trees and even by killing trees) is needed in managed forests before they become suitable habitats for threatened polypores. (C) 2004 Elsevier Ltd. All rights reserved.</t>
  </si>
  <si>
    <t>Univ Helsinki, Dept Ecol &amp; Systemat, FIN-00014 Helsinki, Finland; Vantaa Res Ctr, Finnish Forest Res Inst, FIN-01301 Vantaa, Finland</t>
  </si>
  <si>
    <t>University of Helsinki; Natural Resources Institute Finland (Luke)</t>
  </si>
  <si>
    <t>Penttilä, R (corresponding author), Finnish Environm Inst, POB 140, FIN-00251 Helsinki, Finland.</t>
  </si>
  <si>
    <t>reijo.penttila@ymparisto.fi</t>
  </si>
  <si>
    <t>Siitonen, Juha/D-7117-2017</t>
  </si>
  <si>
    <t>10.1016/j.biocon.2003.12.007</t>
  </si>
  <si>
    <t>810KJ</t>
  </si>
  <si>
    <t>WOS:000220702900006</t>
  </si>
  <si>
    <t>Haysom, KA; McCracken, DI; Foster, GN; Sotherton, NW</t>
  </si>
  <si>
    <t>carabid; conservation headland; cutting; diversity; field margin; grassland management</t>
  </si>
  <si>
    <t>BEETLE PTEROSTICHUS-MELANARIUS; GROUND BEETLES; BENEFICIAL ARTHROPODS; MANAGEMENT; DENSITIES; ABUNDANCE; HABITATS; FARMLAND; INVERTEBRATES; COLEOPTERA</t>
  </si>
  <si>
    <t>Prescriptions for the management of arable field edges are an established component of many agri-environment schemes that aim to enhance the wildlife value of farmed land, yet there are few analogous recommendations for the margins of intensively managed grassland. An experiment examined the response of a carabid beetle assemblage to three cutting regimes (uncut, one cut, three cuts per annum) applied in the headland area of a silage field. In the third year of management, diversity in the uncut plots was significantly greater than in the one and three cuts plots. Ordinations showed distance from field edge and cutting regime effects in species composition. Relaxation of cutting management increased the effective area of the inter-crop habitat and species that responded positively were those that preferred shaded or moist conditions. Results are discussed in the context of individual species requirements and in relation to management options for agricultural grassland. (C) 2003 Elsevier B.V All rights reserved.</t>
  </si>
  <si>
    <t>Scottish Agr Coll, Auchincruive KA6 5HW, Ayr, Scotland; Game Conservancy Trust, Fordingbridge SP6 1EF, Hants, England</t>
  </si>
  <si>
    <t>Scottish Agricultural College</t>
  </si>
  <si>
    <t>Haysom, KA (corresponding author), CABI Biosci UK Ctr Egham, Bakeham Lane, Egham TW20 9TY, Surrey, England.</t>
  </si>
  <si>
    <t>k.haysom@cabi.org</t>
  </si>
  <si>
    <t>McCracken, Davy/G-6869-2012; McCracken, David/G-6869-2012</t>
  </si>
  <si>
    <t>McCracken, Davy/0000-0001-5057-0448;</t>
  </si>
  <si>
    <t>10.1016/j.agee.2003.09.014</t>
  </si>
  <si>
    <t>812XZ</t>
  </si>
  <si>
    <t>WOS:000220873500003</t>
  </si>
  <si>
    <t>Hylander, K; Nilsson, C; Gothner, T</t>
  </si>
  <si>
    <t>CONSERVATION BIOLOGY</t>
  </si>
  <si>
    <t>buffer strip; clearcutling; green tree retention; land snails; riparian reserves; terrestrial gastropods</t>
  </si>
  <si>
    <t>CLEAR-CUT; SOIL; CONSERVATION; COMMUNITIES; DISTURBANCE; DIVERSITY; ABUNDANCE; STREAMS; FIRE</t>
  </si>
  <si>
    <t>We investigated the short-term effects of forest clearcutting on land snails (terrestrial gastropods) in 15 forest stands along small streams in Sweden. Two different silvicultural treatments were applied at each site: clearcutting across the stream channel and buffer strips 10 m wide on each side of the stream. Additionally, we studied 10 reference sites in unlogged riparian forests along similar-sized streams. All sites were studied before logging and then 2.5 years after logging. After clearcutting the number of individuals in a 0.5-m(2) sample from each site decreased on average from 107 to 87, and the mean number of species per sample decreased from 9.9 to 7.7. Most species were negatively affected, but there were also clear differences in sensitivity. There were correlations between species survival and ground moisture. At the wettest clearcut sites with an almost intact bryophyte cover, the land snails were unaffected by clearcutting. This result suggests that wet or moist forest floors can serve as refugia even at very small spatial scales (e.g., shallow hollows, crevices). If this is an important mechanism, the spatial distribution of small habitats could be important for the long-term survival of the snail fauna or other small, dispersal-limited organisms at clearcut sites. In the buffer strips, the number of individuals decreased but not the number of species, indicating that buffer-strip retention is a good practice for protecting land snails in riparian forests. The varying effectiveness of the buffer strip could partly be explained by the proportion of the remaining basal area, emphasizing that buffer strips could be even more effective if efforts are made to avoid heavy damage by windthrows.</t>
  </si>
  <si>
    <t>Umea Univ, Landscape Ecol Grp, Dept Ecol &amp; Environm Sci, SE-90187 Umea, Sweden; Mid Sweden Univ, Dept Nat &amp; Environm Sci, SE-85170 Sundsvall, Sweden</t>
  </si>
  <si>
    <t>Umea University; Mid-Sweden University</t>
  </si>
  <si>
    <t>Hylander, K (corresponding author), Umea Univ, Landscape Ecol Grp, Dept Ecol &amp; Environm Sci, Uminova Sci Pk, SE-90187 Umea, Sweden.</t>
  </si>
  <si>
    <t>kristoffer.hylander@eg.umu.se</t>
  </si>
  <si>
    <t>Nilsson, Christer/AAI-1354-2019</t>
  </si>
  <si>
    <t>0888-8892</t>
  </si>
  <si>
    <t>1523-1739</t>
  </si>
  <si>
    <t>CONSERV BIOL</t>
  </si>
  <si>
    <t>Conserv. Biol.</t>
  </si>
  <si>
    <t>10.1111/j.1523-1739.2004.00199.x</t>
  </si>
  <si>
    <t>842CD</t>
  </si>
  <si>
    <t>WOS:000222979400026</t>
  </si>
  <si>
    <t>Decocq, G; Aubert, M; Dupont, F; Alard, D; Saguez, R; Wattez-Franger, A; De Foucault, B; Delelis-Dusollier, A; Bardat, J</t>
  </si>
  <si>
    <t>biodiversity; disturbance regime; forest management; plant functional types; redundancy; resource availability; true forest species</t>
  </si>
  <si>
    <t>ECOSYSTEM FUNCTION; SPECIES DIVERSITY; VEGETATION; BIODIVERSITY; DISTURBANCE; COMMUNITIES; SUCCESSION; DOMINANCE; DYNAMICS; COVER</t>
  </si>
  <si>
    <t>1. Disturbances and resource availability are key factors affecting plant diversity in managed forests. As disturbance regimes vary among silvicultural systems and may simultaneously affect different types of resources, effects on biodiversity can be unpredictable. 2. We compared the effects of two silvicultural systems on understorey plant diversity, including species composition, structural attributes and functional organization. One hundred and thirty-five phytosociological releves were sampled from 27 forest stands managed under either a traditional coppice-with-standards (CWS, n = 12) or a 'close-to-nature' selective cutting system (SC, n = 15), over similar edaphic conditions. Important environmental factors affecting vegetation were deduced using Ellenberg indicator values. Structural diversity was described using traditional indices of alpha and beta diversity. Guilds were defined within the local pool of species using a set of 14 traits and their relationship with silviculture was assessed using correspondence analysis. 3. Post-logged CWS stands share some compositional and structural characteristics with selectively cut stands, including high species richness and a dominance of early successional species. However the species pool for all coppicing areas was higher than for selectively cut areas, suggesting that the high disturbance frequency occurring in the latter may progressively eliminate the most sensitive species. 4. Functional diversity strongly differs between the two systems. Although it is conserved through the silvicultural cycle in the coppice-with-standards system, some guilds were lacking in selectively cut stands. The most negatively impacted guilds were tree and shrub saplings, prostrated ruderals, shade-tolerant perennials and vernal geophytes. The latter two comprise 'true forest species' which may also be considered as 'coppicing-maintained species'. To reach the same values of guild richness (i.e. number of guilds) or redundancy (i.e. proportion of the maximal species richness within each guild), larger areas were required in SC compared with CWS systems. 5. In the SC system, the high proportion of light reaching the forest floor induced a spectacular spread of blackberries Rubus fruticosus agg., which decreased species richness. It also caused shifts in guild composition: graminoids and ferns grew strongly to the detriment of true forest species. 6. Synthesis and applications. Our results suggest long-term negative effects of selective cutting on both structural and functional plant diversity, compared with coppice-with-standards. Cutting intervals are shorter than recovery times, so that early successional species-dominated communities are maintained. Vernal geophytes and shade-tolerant perennials seem to be limited by the frequency of disturbance rather than by the severity of disturbance. We conclude that, from a biodiversity point of view, this 'close-to-nature' system does not cope with the objective of sustainable forest management. The rotations currently in use do not match natural disturbances very closely and are applied to a managed system rather than a natural forest. Retaining remnants of old coppice woods and extending rotations to at least 50 years are recommended where biodiversity conservation is a goal of forest management.</t>
  </si>
  <si>
    <t>Univ Picardie, Dept Bot, 1 Rue Louvels, F-80037 Amiens, France; Univ Rouen, UPRES EA 1293, Ecol Lab, F-76821 Mont St Aignan, France; Univ Lille 2, Dept Bot, F-59006 Lille, France; INRA, Ctr Toulouse, UMR 1201, DYNAFLOR, F-31326 Castanet Tolosan, France; Museum Natl Hist Nat, Serv Patrimoine Nat, Inst Ecol &amp; Gest Biodivers, F-75231 Paris 5, France</t>
  </si>
  <si>
    <t>Universite de Picardie Jules Verne (UPJV); Universite de Rouen Normandie; Universite de Lille; INRAE; Museum National d'Histoire Naturelle (MNHN)</t>
  </si>
  <si>
    <t>Decocq, G (corresponding author), Univ Picardie, Dept Bot, 1 Rue Louvels, F-80037 Amiens, France.</t>
  </si>
  <si>
    <t>guillaume.decocq@u-picardie.fr</t>
  </si>
  <si>
    <t>Aubert, Michaël/C-8724-2012; Alard, Didier/KHZ-7866-2024</t>
  </si>
  <si>
    <t>Aubert, Michaël/0000-0003-4846-1159; Alard, Didier/0000-0003-2703-908X;</t>
  </si>
  <si>
    <t>10.1111/j.0021-8901.2004.00960.x</t>
  </si>
  <si>
    <t>878FT</t>
  </si>
  <si>
    <t>WOS:000225632800006</t>
  </si>
  <si>
    <t>Clarke, FM; Pio, DV; Racey, PA</t>
  </si>
  <si>
    <t>biodiversity; Chiroptera; community ecology; forest disturbance; moist tropical forest; Trinidad</t>
  </si>
  <si>
    <t>FORESTS; BIODIVERSITY; CHIROPTERA; PHYLLOSTOMIDAE; COMMUNITIES; DISTURBANCE; INDICATORS; TRINIDAD</t>
  </si>
  <si>
    <t>Evaluating logging systems to determine which are most compatible with the maintenance of biodiversity is of prime importance if tropical forests are to be managed in a sustainable way. Bats are model taxa for this purpose. Two different logging systems are used in the natural forest of the Victoria-Mayaro Forest Reserve in Trinidad: open range and periodic block. Open range is a continuous harvesting system and, in common with most methods used to log tropical forests worldwide, has few harvest controls other than girth limits for selected species. Periodic block is a polycyclic system, with felling based on ecological criteria assumed to be compatible with the maintenance of biodiversity. To compare the effects of periodic block and open-range systems on biodiversity, we determined bat species richness and abundance in each system and in primary forest. We caught bats in mist nets set at ground level and in the canopy and in harp traps. In total 1959 individuals representing 38 species were captured Species richness was similar among primary forest and logged forest habitats, although bat diversity was lower in logged forest. The distributions of bat species abundance did not differ significantly between logged forest and primary forest. We found, however, that both logging systems lead to a decrease in gleaning animalivores and an increase in frugivores. The increase in frugivores was likely the result of an increase in the abundance of bat-dispersed pioneer fruiting plants in logged forest. Bats of periodic-block-managed forest were more similar to those of primary forest than those of forest logged using the open-range system, indicating that the periodic-block system is more compatible with the maintenance of bat diversity. Our results support the suggestion that the measured use of tropical forests can largely be compatible with biodiversity conservation.</t>
  </si>
  <si>
    <t>Univ Aberdeen, Sch Biol Sci, Aberdeen AB24 2TZ, Scotland</t>
  </si>
  <si>
    <t>University of Aberdeen</t>
  </si>
  <si>
    <t>Clarke, FM (corresponding author), Univ Aberdeen, Sch Biol Sci, Aberdeen AB24 2TZ, Scotland.</t>
  </si>
  <si>
    <t>f.clarke@abdn.ac.uk</t>
  </si>
  <si>
    <t>Racey, Paul/I-4541-2019</t>
  </si>
  <si>
    <t>10.1111/j.1523-1739.2005.00170.x</t>
  </si>
  <si>
    <t>953XL</t>
  </si>
  <si>
    <t>WOS:000231118600025</t>
  </si>
  <si>
    <t>Haeussler, S; Kabzems, R</t>
  </si>
  <si>
    <t>CANADIAN JOURNAL OF FOREST RESEARCH</t>
  </si>
  <si>
    <t>SITE PREPARATION; VEGETATION RESPONSE; WHITE SPRUCE; FOREST; DISTURBANCE; UNDERSTORY; GROWTH; PRODUCTIVITY; DIVERSITY; SEVERITY</t>
  </si>
  <si>
    <t>Organic matter removal and reduced soil aeration porosity during logging are important factors influencing the sustained productivity of managed forest ecosystems. We studied the 4-year effect of these factors on diversity and composition of a trembling aspen (Populus tremuloides Michx.) plant community in northeastern British Columbia, Canada, in a completely randomized experiment with three levels of organic matter removal (tree stems; stems and slash; stems, slash, and forest floor) and three levels of soil compaction (none; intermediate (2-cm impression); heavy (5-cm impression)). Tree stem removal caused the greatest change in species diversity (30% of variance; ANOVA p &lt;= 0.01), increasing the dominance of aspen and Calamagrostis canadensis (Michx.) Beauv. over other species. Slash removal had little effect. Forest floor removal caused the greatest compositional change (37% of variance; MANOVA p = 0.001), favoring ruderal over bud-banking species. Presence or absence of forest floor better explained these changes than any soil physical or chemical parameter. Although dominance of aspen over Calamagrostis was positively correlated with soil aeration porosity (R-2 = 0.50, n = 27, p &lt; 0.001), there were few differences between intermediate and heavy compaction. In this ecosystem, disturbances that reduce forest floor thickness without compacting soils will likely optimize plant species diversity and enhance aspen regrowth.</t>
  </si>
  <si>
    <t>Skeena Forsestry Consultants, Smithers, BC V0J 2N4, Canada; British Columbia Minist Forests, Dawson Creek, BC V1G 4A4, Canada</t>
  </si>
  <si>
    <t>Haeussler, S (corresponding author), Skeena Forsestry Consultants, 2041 Monckton Rd, Smithers, BC V0J 2N4, Canada.</t>
  </si>
  <si>
    <t>skeena@bulkley.net</t>
  </si>
  <si>
    <t>CANADIAN SCIENCE PUBLISHING</t>
  </si>
  <si>
    <t>OTTAWA</t>
  </si>
  <si>
    <t>123 Slater Street, Suite 610, OTTAWA, ON K1P 5H2, CANADA</t>
  </si>
  <si>
    <t>0045-5067</t>
  </si>
  <si>
    <t>1208-6037</t>
  </si>
  <si>
    <t>CAN J FOREST RES</t>
  </si>
  <si>
    <t>Can. J. For. Res.</t>
  </si>
  <si>
    <t>10.1139/X05-133</t>
  </si>
  <si>
    <t>978EM</t>
  </si>
  <si>
    <t>WOS:000232856400022</t>
  </si>
  <si>
    <t>Kaur, K; Jalota, RK; Midmore, DJ; Rolfe, J</t>
  </si>
  <si>
    <t>RANGELAND JOURNAL</t>
  </si>
  <si>
    <t>woodland pastures; soils; time after clearing</t>
  </si>
  <si>
    <t>OPEN EUCALYPT WOODLANDS; HERBACEOUS UNDERSTOREY; NUTRIENT AVAILABILITY; HERBAGE RESPONSE; WOODY OVERSTORY; TREE; SAVANNA; VEGETATION; DYNAMICS; GRASSES</t>
  </si>
  <si>
    <t>Clearing land of trees and introducing exotic pastures to enhance pasture and cattle production and hence enterprise financial performance are widely practised in Queensland. The results from many previous studies on tree clearing have emphasised the gains in pasture production, but over periods of less than 10-15 years after clearing. The present study questioned the sustainability of pasture production in cleared systems over a longer time-frame (&gt; 10 years of clearing). For this, three different age groups of clearing i.e. 5 year, 11-13 year and 33 year were selected in each of 3 major types of tree communities i.e. Eucalyptus populnea, E. melanophloia and Acacia harpophylla in central Queensland. Paired comparisons of cleared and uncleared (intact) pasture systems were selected for each age group of clearing. The results suggest that the initial gains in pasture production upon clearing were compatible with published studies. However, for longer periods of time since clearing, the gains in pasture production were not sustained and were accompanied by risks of land degradation and loss of pasture plant diversity. For E. populnea and A. harpophylla, the maximum benefits from clearing were achieved at 13-15 years whereas for E. melanophloia, any benefits existed only over a short period of 5-6 years. The study emphasises that each tree community exhibits a specific response with regard to the duration of increased pasture production following clearing. To estimate the total benefits from tree clearing in pasture development, it is important to consider both monetary benefits and non-monetary losses from clearing for different types of tree communities.</t>
  </si>
  <si>
    <t>Univ Cent Queensland, Plant Sci Grp, Primary Ind Res Ctr, Rockhampton, Qld 4702, Australia; Univ Cent Queensland, Ctr Environm Management, Emerald, Qld 4720, Australia</t>
  </si>
  <si>
    <t>Central Queensland University; Central Queensland University</t>
  </si>
  <si>
    <t>Kaur, K (corresponding author), Univ Cent Queensland, Plant Sci Grp, Primary Ind Res Ctr, Rockhampton, Qld 4702, Australia.</t>
  </si>
  <si>
    <t>Kamaljit.sangha@jcu.edu.au</t>
  </si>
  <si>
    <t>Midmore, David/I-7657-2019; Rolfe, John/O-2945-2017; Sangha, Kamaljit Kaur/C-6091-2014; Kaur, Kamaljit/B-1033-2009</t>
  </si>
  <si>
    <t>Rolfe, John/0000-0001-7659-7040; Midmore, David/0000-0001-9946-5008; Sangha, Kamaljit Kaur/0000-0002-7675-9916;</t>
  </si>
  <si>
    <t>CSIRO PUBLISHING</t>
  </si>
  <si>
    <t>CLAYTON SOUTH</t>
  </si>
  <si>
    <t>Private Bag 10, CLAYTON SOUTH, VIC 3169, AUSTRALIA</t>
  </si>
  <si>
    <t>1036-9872</t>
  </si>
  <si>
    <t>1834-7541</t>
  </si>
  <si>
    <t>RANGELAND J</t>
  </si>
  <si>
    <t>Rangeland J.</t>
  </si>
  <si>
    <t>10.1071/RJ05012</t>
  </si>
  <si>
    <t>Ecology</t>
  </si>
  <si>
    <t>986DS</t>
  </si>
  <si>
    <t>WOS:000233430700007</t>
  </si>
  <si>
    <t>Etcheverry, P; Ouellet, JP; Crête, M</t>
  </si>
  <si>
    <t>CANADIAN JOURNAL OF FOREST RESEARCH-REVUE CANADIENNE DE RECHERCHE FORESTIERE</t>
  </si>
  <si>
    <t>LODGEPOLE PINE FOREST; VARIABLE RETENTION HARVESTS; POPULATION-DYNAMICS; STAND STRUCTURE; SNOWSHOE HARES; SMALL RODENTS; CLETHRIONOMYS-GAPPERI; FURBEARER HARVEST; NORTHERN MAINE; BOREAL FOREST</t>
  </si>
  <si>
    <t>The impacts of forest management on habitat characteristics, species richness, and population dynamics of small mammals remain ambiguous. We studied the response of small-mammal populations, including snowshoe hares, to clear-cutting with protection of advanced regeneration and soils (CPRS) and precommercial thinning (PCT). We compared stands recently treated by CPRS or PCT with established stands dominated by deciduous or coniferous trees in two large blocks of mixed forests. We measured habitat components and abundance of small mammals in the four stand types. Trees (DBH &gt;= 9 cm) became very rare in CPRS stands and remained at low density in PCT stands, which stimulated the growth of herbs and seedlings, resulting in increased lateral cover. Tree harvest also generated coarse woody debris in CPRS stands, which did not persist in PCT stands. Small mammals responded to these disturbances in a species-specific manner but, overall, relative abundance and species richness of small mammals were lower in PCT stands than in CPRS and closed stands. Our results suggest that forest managers should exclude some stands from PCT following CPRS or natural perturbations, to maintain ecosystem diversity at the landscape level.</t>
  </si>
  <si>
    <t>Univ Quebec, Ctr Etudes Nord, Dept Biol Chim &amp; Sci Sante, Rimouski, PQ G5L 3A1, Canada; Minist Ressources Nat &amp; Faune, Quebec City, PQ G1R 5V7, Canada</t>
  </si>
  <si>
    <t>University of Quebec</t>
  </si>
  <si>
    <t>Etcheverry, P (corresponding author), Univ Laval, Fac Sci &amp; Genie, Dept Biol, Pavillon Alexandre Vachon,BP 33, Ste Foy, PQ G1K 7P4, Canada.</t>
  </si>
  <si>
    <t>pierre.etcheverry@bio.ulaval.ca</t>
  </si>
  <si>
    <t>NATL RESEARCH COUNCIL CANADA</t>
  </si>
  <si>
    <t>RESEARCH JOURNALS, MONTREAL RD, OTTAWA, ONTARIO K1A 0R6, CANADA</t>
  </si>
  <si>
    <t>Can. J. For. Res.-Rev. Can. Rech. For.</t>
  </si>
  <si>
    <t>10.1139/X05-208</t>
  </si>
  <si>
    <t>010XK</t>
  </si>
  <si>
    <t>WOS:000235231000006</t>
  </si>
  <si>
    <t>Nagaike, T; Kamitani, T; Nakashizuka, T</t>
  </si>
  <si>
    <t>LARIX-KAEMPFERI PLANTATIONS; OLD-GROWTH; HERBACEOUS COMMUNITIES; VEGETATION; PATTERNS; DYNAMICS; DISTURBANCE; SUCCESSION; RICHNESS; REGION</t>
  </si>
  <si>
    <t>To clarify how different forest management systems affect the diversity of understory vascular plant species at the plot level and the forest-type level, we examined a forested landscape originally occupied by primary Japanese beech, Fagus crenata Blume, in central Japan. The landscape is currently composed of four types of forest: primary F. crenata forest, shelterwood logged F. crenata forest, abandoned coppice forest, and coniferous plantation. Species richness per plot (alpha diversity) and in each forest type (gamma diversity) and species turnover among plots in each forest type (beta diversity) reached their highest values in plantation forests. While the difference in species composition between primary and shelterwood logged forests was not significant, the other pairs of forest types showed significant differences. Ordination analysis revealed that variation in species composition within the plantations seemed to be related to the dominance of naturally regenerated tree species, which reflected the intensity of tending. Although the species composition of less intensively tended plantations was similar to that of abandoned coppice forests that had been repeatedly cut in the past, their species composition differed from that of the primary forests. This suggests that most of the plantation and coppice forests, which were clear-cut at least once, do not revert to primary forest conditions after management is abandoned.</t>
  </si>
  <si>
    <t>Yamanashi Forest Res Inst, Masuho, Yamanashi 4000502, Japan; Univ Tokyo, Grad Sch Agr &amp; Life Sci, Tokyo 1138657, Japan; Niigata Univ, Fac Agr, Niigata 9502181, Japan; Res Inst Human &amp; Nat, Kyoto 6020878, Japan</t>
  </si>
  <si>
    <t>University of Tokyo; Niigata University; Research Institute for Humanity &amp; Nature (RIHN)</t>
  </si>
  <si>
    <t>Nagaike, T (corresponding author), Yamanashi Forest Res Inst, Masuho, Yamanashi 4000502, Japan.</t>
  </si>
  <si>
    <t>nagaike-zty@pref.yamanashi.lg.jp</t>
  </si>
  <si>
    <t>; Nakashizuka, Tohru/AAO-1081-2020</t>
  </si>
  <si>
    <t>Nakashizuka, Tohru/0000-0003-1419-9527;</t>
  </si>
  <si>
    <t>10.1139/X05-200</t>
  </si>
  <si>
    <t>WOS:000235231000008</t>
  </si>
  <si>
    <t>Kern, CC; Palik, BJ; Strong, TF</t>
  </si>
  <si>
    <t>Kern, Christel C.; Palik, Brian J.; Strong, Terry F.</t>
  </si>
  <si>
    <t>herbaceous plant diversity; richness; evenness; uneven-age management; even-age management; northern hardwoods; Winter logging</t>
  </si>
  <si>
    <t>WESTERN UPPER MICHIGAN; DOMINATED ECOSYSTEM; HERBACEOUS-LAYER; POWER ANALYSIS; VEGETATION; DIVERSITY; SOIL; MANAGEMENT; DYNAMICS; USA</t>
  </si>
  <si>
    <t>We evaluated ground-layer plant diversity and community composition in northern hardwood forests among uncut controls and stands managed with even-age or uneven-age silvicultural systems. Even-age treatments included diameter-limit cuttings (20-cm diameter at 30-cm stem height) in 1952 and shelterwood removals in 1964. Uneven-age treatments included three intensities of selection harvest (light, 20.6 m(2)/ha residual basal area after harvest; medium, 17.2 m(2)/ha residual basal area; and heavy, 13.8 m(2)/ha residual basal area) that were applied in 1952, 1962, 1972, and 1982. All treatments were winter logged over snow pack. In 1991, plant diversity and community composition were examined. Species richness for spring ephemerals ranged from 1 to 6 species/150-m(2), spring ephemeral diversity (Shannon's Index of Diversity) averaged 0.57 +/- 0.04 and evenness averaged 0.45 +/- 0.03. Summer flowering species richness ranged from 1 to 18 species/1-m(2), with an average diversity of 0.71 +/- 0.07 and evenness of 0.42 +/- 0.03. We found no significant differences among treatments for any of these variables, although power to detect a difference (at p = 0.05) was low in all cases (0.15-0.55) due to high variance and low replication. Community composition was not significantly different among the treatments, for either spring (p = 0.09) or summer (p = 0.79) flora. Few exotic species were found in any treatment. Lack of exotic invasions and minimal differences in plant diversity or composition among treatments may be due, in part, to the negligible amount of soil disturbance that resulted from winter logging. While other (unmeasured) ecosystem components may differ among these silvicultural treatments, our results suggest that ground-layer plant communities in northern hardwood ecosystems are either resistant to change or have recovered within the 40 years since disturbance in the even-age treatments and within 10 years since disturbance in the uneven-age treatments. (c) 2006 Elsevier B.V. All rights reserved.</t>
  </si>
  <si>
    <t>USDA, Forest Serv, N Cent Res Stn, Grand Rapids, MN 55744 USA</t>
  </si>
  <si>
    <t>Kern, CC (corresponding author), USDA, Forest Serv, N Cent Res Stn, 1831 Hwy 169 E, Grand Rapids, MN 55744 USA.</t>
  </si>
  <si>
    <t>cckern@fs.fed.us</t>
  </si>
  <si>
    <t>; Kern, Christel/B-4847-2012</t>
  </si>
  <si>
    <t>Palik, Brian/0000-0003-0300-9644; Kern, Christel/0000-0003-4923-6180;</t>
  </si>
  <si>
    <t>JUL 15</t>
  </si>
  <si>
    <t>10.1016/j.foreco.2006.03.034</t>
  </si>
  <si>
    <t>061HX</t>
  </si>
  <si>
    <t>WOS:000238863300014</t>
  </si>
  <si>
    <t>Wang, KH; McSorley, R; Bohlen, P; Gathumbi, SM</t>
  </si>
  <si>
    <t>Wang, K. -H.; McSorley, R.; Bohlen, P.; Gathumbi, S. M.</t>
  </si>
  <si>
    <t>microbial C; microbial N; mineralization; nematode community structure; soil food web; small-scale sampling</t>
  </si>
  <si>
    <t>ENGLAND TABLELANDS NSW; NITROGEN MINERALIZATION; CHLOROFORM FUMIGATION; EXTRACTION METHOD; FOOD-WEB; MANAGEMENT; DIVERSITY; AGROECOSYSTEMS; POPULATIONS; GRASSLANDS</t>
  </si>
  <si>
    <t>This study focused on examining the impacts of cattle grazing on belowground communities and soil processes in humid grasslands. Multiple components in the soil communities were examined in heavily grazed and ungrazed areas of unimproved and improved bahiagrass (Paspalum notatum Flugge) pastures in south-central Florida. By using small (1-m x 1-m) sampling plots, we were able to detect critical differences in nematode communities, microbial biomass, and mineralized C and N, resulting from the patchy grazing pattern of cattle. Soil samples were collected on three occasions between June 2002 and June 2003. Microbial C and N were greater (P &lt;= 0.01) in grazed than in ungrazed plots on all sampling dates. Effects of grazing varied among nematode genera. Most genera of colonizer bacterivores were decreased (P &lt;= 0.10) by grazing, but more persistent bacterivores such as Euteratocephalus and Prismatolaimus were increased, as were omnivores and predators. Higher numbers of persisters indicated that grazing resulted in a more structured nematode community. Some herbivores, particularly Criconematidae, were decreased by grazing. Abundance of omnivores, predators, and especially fungivores were strongly associated with C mineralization potential. Strong correlation of microbial C and N with nematode canonical variables composed of five trophic groups illustrates important links between nematode community structure and soil microbial resources. Including the analysis of nematode trophic groups with soil microbial responses reveals detection of grazing impact deeper into the hierarchy of the decomposition process in soil, and illustrates the complexity of responses to grazing in the soil foodweb. Although highly sensitive to grazing impacts, small-scale sampling could not be used to generalize the overall impact of cattle grazing in large-scale pastures, which might be determined by the intensity and grazing patterns of various stocking densities at the whole pasture level. (c) 2006 Elsevier Ltd. All rights reserved.</t>
  </si>
  <si>
    <t>Univ Florida, Dept Entomol &amp; Nematol, Gainesville, FL 32611 USA; Archbold Biol Stn, MacArthur Agroecol Res Ctr, Lake Placid, FL 33852 USA</t>
  </si>
  <si>
    <t>State University System of Florida; University of Florida</t>
  </si>
  <si>
    <t>Wang, KH (corresponding author), Univ Florida, Dept Entomol &amp; Nematol, POB 110620, Gainesville, FL 32611 USA.</t>
  </si>
  <si>
    <t>koonhui@ufl.edu</t>
  </si>
  <si>
    <t>Bohlen, Patrick/HNT-0140-2023</t>
  </si>
  <si>
    <t>Bohlen, Patrick/0000-0002-3080-6297</t>
  </si>
  <si>
    <t>JUL</t>
  </si>
  <si>
    <t>10.1016/j.soilbio.2005.12.019</t>
  </si>
  <si>
    <t>076GX</t>
  </si>
  <si>
    <t>WOS:000239946100045</t>
  </si>
  <si>
    <t>Boncina, A; Kadunc, A; Robic, D</t>
  </si>
  <si>
    <t>Boncina, Andrej; Kadunc, Ales; Robic, Dusan</t>
  </si>
  <si>
    <t>ANNALS OF FOREST SCIENCE</t>
  </si>
  <si>
    <t>thinning; Fagus sylvatica; basal area increment; crop tree; stand structure; distribution</t>
  </si>
  <si>
    <t>DIAMETER GROWTH; DOMINANT; HEIGHT; KARST.; TREES; PINE</t>
  </si>
  <si>
    <t>We studied the effects of two types of selective thinning on beech stands formed by a shelterwood cut in 1910-with lower number of crop trees and higher thinning intensity (T1) and higher number of crop trees with lower thinning intensity (T2). The stands were thinned in 1980, 1991 and 2001. Despite a lower stand density after thinning, the annual basal area increments of thinned stands in both thinning periods (1980-1991 and 1991-2002) were around 20% higher compared to those of the control (unthinned) stands. The mean annual basal area increment of dominant trees was 30-56% larger in the thinned plots compared to the control plots. Of 176 initial crop trees in the T1, 72% were chosen again during the last thinning. In the T2, 258 crop trees were chosen in the first thinning, and only 62% of these trees were chosen again during the last thinning. Only crown suppression and diameter classes of crop trees significantly influenced their basal area increment when diameter classes, crown size, crown suppression, and social status were tested. In the thinned stands, the dominant trees are more uniformly distributed if compared to the dominant trees in the control plots. Finally, the herbaceous cover and the species diversity were higher in the thinned plots.</t>
  </si>
  <si>
    <t>Univ Ljubljana, Biotech Fac, Dept Forestry &amp; Renewable Forest Resources, Ljubljana 1000, Slovenia</t>
  </si>
  <si>
    <t>University of Ljubljana</t>
  </si>
  <si>
    <t>Boncina, A (corresponding author), Univ Ljubljana, Biotech Fac, Dept Forestry &amp; Renewable Forest Resources, Vecna Pot 83, Ljubljana 1000, Slovenia.</t>
  </si>
  <si>
    <t>andrej.boncina@bf.uni-lj.si</t>
  </si>
  <si>
    <t>SPRINGER FRANCE</t>
  </si>
  <si>
    <t>PARIS</t>
  </si>
  <si>
    <t>22 RUE DE PALESTRO, PARIS, 75002, FRANCE</t>
  </si>
  <si>
    <t>1286-4560</t>
  </si>
  <si>
    <t>1297-966X</t>
  </si>
  <si>
    <t>ANN FOREST SCI</t>
  </si>
  <si>
    <t>Ann. For. Sci.</t>
  </si>
  <si>
    <t>JAN-FEB</t>
  </si>
  <si>
    <t>10.1051/forest:2006087</t>
  </si>
  <si>
    <t>126OC</t>
  </si>
  <si>
    <t>WOS:000243521300006</t>
  </si>
  <si>
    <t>Clough, Y; Kruess, A; Tscharntke, T</t>
  </si>
  <si>
    <t>Clough, Yann; Kruess, Andreas; Tscharntke, Teja</t>
  </si>
  <si>
    <t>Organic versus conventional arable farming systems: Functional grouping helps understand staphylinid response</t>
  </si>
  <si>
    <t>staphylinidae; functional diversity; landscape context; detritivores; predators</t>
  </si>
  <si>
    <t>SPECIES RICHNESS; PREDATORY COLEOPTERA; LANDSCAPE CONTEXT; BIODIVERSITY; DIVERSITY; ABUNDANCE; CEREAL; ARTHROPODS; MANAGEMENT; FIELD</t>
  </si>
  <si>
    <t>The response of different feeding groups of staphylinid beetles to organic management, distance to perennial boundary and landscape context was studied in 42 paired organic and conventional winter wheat fields. Management effects were found to strongly depend on feeding group. While the activity-density of predators was higher in the conventional fields, both activity-density and species richness of detritivores were higher in the organic fields. Activity-density and species richness of detritivores were positively correlated to crop yield in the conventional but not in the organic fields. Unexpectedly, species richness as high as in the less productive organic fields was thus found in intensified conventional systems. No significant effects of landscape context could be found on activity-density or species richness of the different feeding groups. More species were caught near the field edge than in the middle, showing the importance of spill-over from field boundaries into arable crops for diversity. In conclusion, separation of species into feeding groups revealed patterns that have not been shown before. Decomposer diversity (but not that of predators and fungivores) was higher in organic fields, but reached similar levels in high-yielding conventional fields. Thus resource quality (purely organic or organic/synthetic fertiliser) and quantity appear to play a major role for this functional group. (c) 2006 Elsevier B.V. All rights reserved.</t>
  </si>
  <si>
    <t>Univ Gottingen, Dept Agroecol, D-37073 Gottingen, Germany</t>
  </si>
  <si>
    <t>University of Gottingen</t>
  </si>
  <si>
    <t>Clough, Y (corresponding author), Univ Gottingen, Dept Agroecol, Waldweg 26, D-37073 Gottingen, Germany.</t>
  </si>
  <si>
    <t>yclough@gwdg.de</t>
  </si>
  <si>
    <t>Clough, Yann/B-9739-2014; Tscharntke, Teja/N-5123-2014</t>
  </si>
  <si>
    <t>Clough, Yann/0000-0002-2901-7602; Tscharntke, Teja/0000-0002-4482-3178</t>
  </si>
  <si>
    <t>JAN</t>
  </si>
  <si>
    <t>1-4</t>
  </si>
  <si>
    <t>10.1016/j.agee.2006.05.028</t>
  </si>
  <si>
    <t>127TS</t>
  </si>
  <si>
    <t>gold</t>
  </si>
  <si>
    <t>WOS:000243609800029</t>
  </si>
  <si>
    <t>Lei, XD; Lu, YC; Peng, CH; Zhang, XP; Chang, J; Hong, LX</t>
  </si>
  <si>
    <t>Lei, Xiangdong; Lu, Yuanchang; Peng, Changhui; Zhang, Xiaopeng; Chang, Jie; Hong, Lingxia</t>
  </si>
  <si>
    <t>Growth and structure development of semi-natural larch-spruce-fir (Larix olgensis-Picea jezoensis-Abies nephrolepis) forests in northeast China:: 12-year results after thinning</t>
  </si>
  <si>
    <t>thinning; semi-natural larch plantation; growth; stand structure; stand development</t>
  </si>
  <si>
    <t>TREE SPATIAL-PATTERNS; LONG-TERM CHANGES; STAND STRUCTURE; SIZE DIVERSITY; STEM FORM; INTENSITY; YIELD; PLANT; FERTILIZATION; REGENERATION</t>
  </si>
  <si>
    <t>Analyzing and understanding the structure and growth dynamics of semi-natural plantations is useful for their management. Since 1987, 16 plots with 4 treatments (CT: control; LT: light thinning; MT: medium thinning; and HT: heavy thinning) by 0, 20, 30 and 40% of basal area removal, respectively, and four replications were established in semi-natural larch-spruce-fir forests in northeast China. The structure and growth dynamics of semi-natural larch-spruce-fir stands and the effects of thinning on the growth, structure and diversity were examined. A mixed model repeated measures analysis of variance (RMANOVA) was used to test the effects of treatment and time. Results showed that differences in periodic annual increment (PAI) of stand basal area and volume and the individual diameter and volume among treatments changed over time in a complex statistical interaction. Thinning, however, had a significant effect on growth at tree and stand levels 12 years after thinning while the PAI of the diameter, basal area and volume was positively correlated with thinning intensity. No significant differences were found in the total stand yield among treatments. Composition of tree species group (larch, other conifers and deciduous trees) during monitoring years did not change significantly. Moreover, no significant differences were observed in tree species and size diversity among treatments in the years following thinning. Both thinning and control plots had similar understory plant diversity after the 12 year period. Univariate point pattern analysis revealed that clumped and random distributions were dominant for tree species groups in this study. The current species composition and regeneration dynamics within these semi-natural plantations suggested a development towards mixed coniferous and broad-leaved forests. Management implications for the transformation from larch plantations towards mixed broad-leaved Korean forests with a more diverse structure. the climax vegetation in this region, were discussed. (c) 2006 Elsevier B.V. All fights reserved.</t>
  </si>
  <si>
    <t>Chinese Acad Forestry, Inst Forest Resource Informat Tech, Beijing 100091, Peoples R China; Univ Quebec, Inst Environm Sci, Montreal, PQ H3C 3P8, Canada; Chinese Acad Sci, Inst Automat, Beijing 100080, Peoples R China; Zhejiang Univ, Coll Life Sci, Hangzhou 310012, Peoples R China</t>
  </si>
  <si>
    <t>Chinese Academy of Forestry; Research Institute of Forest Resources Information Technique, CAF; University of Quebec; University of Quebec Montreal; Chinese Academy of Sciences; Institute of Automation, CAS; Zhejiang University</t>
  </si>
  <si>
    <t>Lei, XD (corresponding author), Chinese Acad Forestry, Inst Forest Resource Informat Tech, Beijing 100091, Peoples R China.</t>
  </si>
  <si>
    <t>xdlei@caf.ac.cn</t>
  </si>
  <si>
    <t>Peng, Changhui/JQJ-4339-2023</t>
  </si>
  <si>
    <t>MAR 15</t>
  </si>
  <si>
    <t>10.1016/j.foreco.2006.12.019</t>
  </si>
  <si>
    <t>144KT</t>
  </si>
  <si>
    <t>WOS:000244795600017</t>
  </si>
  <si>
    <t>Grimbacher, PS; Catterall, CP; Kanowski, J; Proctor, HC</t>
  </si>
  <si>
    <t>Grimbacher, Peter S.; Catterall, Carla P.; Kanowski, John; Proctor, Heather C.</t>
  </si>
  <si>
    <t>coleoptera; colonisation; forest management; habitat complexity; invertebrate; plantation; restoration; stand age; structure; succession</t>
  </si>
  <si>
    <t>SPECIES RESPONSES; CLIMATIC STRESS; DUNG BEETLES; DIVERSITY; BIODIVERSITY; COLEOPTERA; HABITAT; RESTORATION; PLANTATIONS; COMMUNITIES</t>
  </si>
  <si>
    <t>Despite increasing efforts to re-establish forest cover in landscapes that have been previously cleared, the relative ability of different styles of reforestation to contribute to conservation and support forest biota is poorly known, particularly for invertebrates. We investigated the use of different types of reforested habitat by ground-active rainforest beetle assemblages on land, which had been previously cleared of rainforest, in the tropics and subtropics of eastern Australia. Between five and ten replicate sites within each of five reforestation styles were selected in each region: un-managed regrowth, young mono-species timber plantations, young mixed-species timber plantations, ecological restoration plantings, and old mono-species timber plantations, together with reference sites in pasture and in intact rainforest. Ground-active beetles were sampled using pitfall traps, and assemblages were compared among site-types. In both regions, beetle assemblages in all styles of reforestation were intermediate in species composition between pasture and rainforest. The similarity of beetle assemblages to intact rainforest increased with the age and structural complexity of reforested sites. The most rainforest-like beetle assemblages were from older reforestation sites (38-70 year plantations in tropics, and 30-40 year regrowth in subtropics) and in younger (6-22 years) but floristically and structurally diverse ecological restoration plantings in both regions. Assemblages in younger (5-20 year) sites of regrowth, mono-species timber plantations, and mixed-species timber plantations were more similar to pasture than rainforest. We conclude that achieving high canopy cover and sufficient structural complexity are important factors associated with the restoration of rainforest-like beetle assemblages to reforested sites.</t>
  </si>
  <si>
    <t>Griffith Univ, Australian Sch Environm Studies, Rainforest Cooperat Res Ctr, Nathan, Qld 4111, Australia; Univ Alberta, Dept Biol Sci, Edmonton, AB T6G 2E9, Canada</t>
  </si>
  <si>
    <t>Griffith University; University of Alberta</t>
  </si>
  <si>
    <t>Grimbacher, PS (corresponding author), James Cook Univ N Queensland, Sch Marine &amp; Trop Biol, Cairns, Qld 4870, Australia.</t>
  </si>
  <si>
    <t>Peter.Grimbacher@jcu.edu.au</t>
  </si>
  <si>
    <t>; Proctor, Heather/A-2677-2014; Catterall, Carla/K-7996-2017</t>
  </si>
  <si>
    <t>Kanowski, John/0009-0009-7025-4456; Proctor, Heather/0000-0002-4920-9556; Catterall, Carla/0000-0002-1914-0455</t>
  </si>
  <si>
    <t>10.1007/s10531-006-9146-2</t>
  </si>
  <si>
    <t>177KX</t>
  </si>
  <si>
    <t>WOS:000247153100012</t>
  </si>
  <si>
    <t>Beltman, B; Willems, JH; Güsewell, S</t>
  </si>
  <si>
    <t>Beltman, Boudewijn; Willems, Jo H.; Guesewell, Sabine</t>
  </si>
  <si>
    <t>JOURNAL OF VEGETATION SCIENCE</t>
  </si>
  <si>
    <t>arrhenatherion; flooding; long-term fertilisation experiment; nutrient mineralisation; river floodplain; species richness; time series</t>
  </si>
  <si>
    <t>ATMOSPHERIC NITROGEN DEPOSITION; NUTRIENT LIMITATION; LAND-USE; PLANT; VEGETATION; RECRUITMENT; DISPERSAL; DIVERSITY; RHINE; FENS</t>
  </si>
  <si>
    <t>Question: Do severe winter flood events lift the nutrient limitation of biomass production in a river floodplain? How does this affect plant species richness? How long do the effects last? Location: Floodplain grassland on calcareous sandy loam near river Rhine in The Netherlands. Methods: Plots were fertilised with four treatments (control, N, P, N+ P) for 21 years; plant species composition, vegetation biomass and tissue nutrient concentrations were determined every year between 1985 and 2005. Results: Fertilisation with N generally increased biomass production and reduced species richness, but these effects varied over time. During the. rst four years of the experiment, biomass production appeared to be co-limited by N and P, while N fertilisation dramatically reduced plant species richness; these effects became weaker subsequently. Following two extreme winter floods in 1993-94 and 1994-95 and a drought in spring 1996, the effects of fertilisation disappeared between 1998 and 2001 and then appeared again. Flooding caused an overall reduction in species richness (from c. 24 to 15 species m(-2)) and an increase in biomass production, which were only partly reversed after ten years. Conclusions: Long time series are necessary to understand vegetation dynamics and nutrient limitation in river floodplains, since they are influenced by occasional flood and drought events, whose effects may persist for more than ten years. A future increase in flooding frequency might be detrimental to species richness in floodplain grasslands.</t>
  </si>
  <si>
    <t>Univ Utrecht, Dept Environm Biol, NL-3508 TB Utrecht, Netherlands; ETH, Inst Integrat Biol, CH-8092 Zurich, Switzerland</t>
  </si>
  <si>
    <t>Utrecht University; Swiss Federal Institutes of Technology Domain; ETH Zurich</t>
  </si>
  <si>
    <t>Beltman, B (corresponding author), Univ Utrecht, Dept Environm Biol, PO Box 80084, NL-3508 TB Utrecht, Netherlands.</t>
  </si>
  <si>
    <t>b.beltman@uu.nl; sabine.guesewell@env.ethz.ch</t>
  </si>
  <si>
    <t>1100-9233</t>
  </si>
  <si>
    <t>1654-1103</t>
  </si>
  <si>
    <t>J VEG SCI</t>
  </si>
  <si>
    <t>J. Veg. Sci.</t>
  </si>
  <si>
    <t>10.1658/1100-9233(2007)18[625:FEOFEO]2.0.CO;2</t>
  </si>
  <si>
    <t>Plant Sciences; Ecology; Forestry</t>
  </si>
  <si>
    <t>Plant Sciences; Environmental Sciences &amp; Ecology; Forestry</t>
  </si>
  <si>
    <t>193SA</t>
  </si>
  <si>
    <t>WOS:000248293400002</t>
  </si>
  <si>
    <t>Müller, J; Engel, H; Blaschke, M</t>
  </si>
  <si>
    <t>Mueller, Joerg; Engel, Heinz; Blaschke, Markus</t>
  </si>
  <si>
    <t>EUROPEAN JOURNAL OF FOREST RESEARCH</t>
  </si>
  <si>
    <t>silvicultural intensity; beech forest; saproxylic fungi; Fomes fomentarius; critical thresholds of dead wood</t>
  </si>
  <si>
    <t>DEAD WOOD; FAGUS-SYLVATICA; HABITAT FACTORS; DIVERSITY; BOREAL; SPRUCE; STATISTICS; SUCCESSION; PATTERNS; INSECTS</t>
  </si>
  <si>
    <t>Current silvicultural treatments in beech forests are aimed at achieving thick logs without discoloured hardwood. Therefore intensive thinning is applied already in younger stands with the objective of large-sized trunks at an age of 100 years. However, this approach bears the risk that dead wood structures and broken trees are completely removed from the forest. The impact of three different silvicultural management intensity levels on wood-inhabiting fungi over decades was investigated in a large beech forest (&gt; 10,000 ha) in southern Germany in 69 sampling plots: A Intensive Thinning and Logging with high-value trees, B Conservation-Oriented Logging with integration of special structures such as dead wood and broken trees and C Strict Forest Reserves with no logging for 30 years. The analysis of community showed marked differences in the fungus species composition of the three treatments, independent of stand age. The relative frequencies of species between treatments were statistically different. Indicator species for naturalness were more abundant at sites with low silvicultural management intensity. Fomes fomentarius, the most common fungus in virgin forests and strict forest reserves, is almost missing in forests with high-management intensity. The species richness seemed to be lower where intensive thinning was applied (P = 0.051). Species characteristic for coarse woody debris were associated to low management intensity, whereas species with a significant preference for stumps became more frequent with increasing management intensity. A total amount of dead wood higher than 60 m(3)/ha was found to enable significantly higher numbers of species indicators of naturalness (P = 0.013). In conclusion, when applying intensive silvicultural treatment, the role of dead wood needs to be actively considered in order to maintain the natural biocoenosis of beech forests.</t>
  </si>
  <si>
    <t>Bavarian Forest Natl Pk, D-94481 Grafenau, Germany; Bavarian State Inst Forestry, D-85354 Freising Weihenstephan, Germany</t>
  </si>
  <si>
    <t>Müller, J (corresponding author), Bavarian Forest Natl Pk, Freyunger Str 2, D-94481 Grafenau, Germany.</t>
  </si>
  <si>
    <t>joerg.mueller@npv-bw.bayern.de; HeinzEngel@t-online.de; bls@lwf.uni-muenchen.de</t>
  </si>
  <si>
    <t>Blaschke, Markus/0000-0001-9361-8966; Müller, Jörg/0000-0002-1409-1586</t>
  </si>
  <si>
    <t>NEW YORK</t>
  </si>
  <si>
    <t>233 SPRING ST, NEW YORK, NY 10013 USA</t>
  </si>
  <si>
    <t>1612-4669</t>
  </si>
  <si>
    <t>1612-4677</t>
  </si>
  <si>
    <t>EUR J FOREST RES</t>
  </si>
  <si>
    <t>Eur. J. For. Res.</t>
  </si>
  <si>
    <t>10.1007/s10342-007-0173-7</t>
  </si>
  <si>
    <t>212EJ</t>
  </si>
  <si>
    <t>WOS:000249576100005</t>
  </si>
  <si>
    <t>Sullivan, Thomas P.; Sullivan, Druscilla S.; Lindgren, Pontus M. F.</t>
  </si>
  <si>
    <t>Influence of variable retention harvests on forest ecosystems: Plant and mammal responses up to 8 years post-harvest</t>
  </si>
  <si>
    <t>abundance; Clethrionomys gapperi; forest floor small mammals; green-tree retention; species diversity; Tamias amoenus; understory vegetation; variable retention</t>
  </si>
  <si>
    <t>GREEN-TREE RETENTION; SPRUCE-FIR FORESTS; VARYING LEVELS; FLUCTUATING POPULATIONS; DEMOGRAPHIC-CHANGES; UNDERSTORY PLANTS; STAND STRUCTURE; PELLET-GROUP; MULE DEER; PATTERNS</t>
  </si>
  <si>
    <t>Green-tree retention systems are an important management component of variable retention harvests in temperate zone coniferous forests. Residual live trees (legacy trees) provide mature forest habitat, increase structural diversity, and provide continuity in the regenerating stand. This study was designed to test the hypotheses that, at up to 8 years after harvest, abundance and species diversity of communities of (i) understory plants and (ii) forest-floor small mammals, and (iii) relative habitat use by mule deer (Odocoileits hemionus), will decline with decreasing levels of tree retention. Communities of plants and forest floor small mammals were sampled in replicated clearcut, single seed-tree, group seed-tree, patch cut, and uncut forest sites in mixed Douglas-fir (Pseudotsuga menziesii)-lodgepole pine (Pinus contorta) forest in southern British Columbia, Canada from 2000 to 2003 (5-8 years post-harvest). Habitat use by mule deer was measured during summer and winter periods each year from 1999 to 2003 in these same sites. Mean total abundance (crown volume index) of herbs, shrubs, mosses, and lichens was similar among sites. Mean species richness of herbs, shrubs, and total plants was similar among sites, but total species diversity and structural diversity were significantly lower in the patch cut and uncut forest sites than in the other harvesting treatments. Thus, hypothesis (i) was not supported. Mean total abundance, species richness, and species diversity of small mammals were similar among sites, contrary to hypothesis (ii). However, the southern red-backed vole (Clethrionomys gapperi) declined in abundance as conditions became intolerable for this microtine to persist at numbers &gt; 1/ha in the clearcut and seed-tree sites. The early successional and mycophagist northwestern chipmunk (Tamias amoenus) occurred at 2.3-4.4 times higher abundance on the seed-tree sites than the other sites. Relative habitat use by mule deer was highest in the seed-tree sites during summer periods and highest in the group seed-tree, patch cut and uncut sites in winter periods. The responses to our treatments were species specific, and hence a range of different harvesting systems should be used to maintain plant and mammal diversity across forest landscapes. (c) 2007 Elsevier BX All rights reserved.</t>
  </si>
  <si>
    <t>[Sullivan, Thomas P.] Univ British Columbia, Fac Forestry, Dept Forest Sci, Vancouver, BC V6T 1Z4, Canada; [Sullivan, Druscilla S.; Lindgren, Pontus M. F.] Appl Mammal Res Inst, Summeland, BC V0H 1Z8, Canada</t>
  </si>
  <si>
    <t>University of British Columbia</t>
  </si>
  <si>
    <t>Sullivan, TP (corresponding author), Univ British Columbia, Fac Forestry, Dept Forest Sci, 2424 Main Mall, Vancouver, BC V6T 1Z4, Canada.</t>
  </si>
  <si>
    <t>torn.sullivan@ubc.ca</t>
  </si>
  <si>
    <t>JAN 25</t>
  </si>
  <si>
    <t>10.1016/j.foreco.2007.08.005</t>
  </si>
  <si>
    <t>256XL</t>
  </si>
  <si>
    <t>WOS:000252763100014</t>
  </si>
  <si>
    <t>Müller, J; Bussler, H; Kneib, T</t>
  </si>
  <si>
    <t>Mueller, Joerg; Bussler, Heinz; Kneib, Thomas</t>
  </si>
  <si>
    <t>JOURNAL OF INSECT CONSERVATION</t>
  </si>
  <si>
    <t>management intensity; beech forests; species richness; saproxylic beetles</t>
  </si>
  <si>
    <t>OLD-GROWTH; PINE FORESTS; COLEOPTERA; DIVERSITY; QUALITY; CONSERVATION; SPRUCE; SIZE</t>
  </si>
  <si>
    <t>Compared to agricultural land and spruce plantations, central European beech-oak forests are often relatively close to natural conditions. However, forest management may alter these conditions. In Steigerwald, southern Germany, a large beech-dominated forest area, three management intensities were applied during the past 30-70 years. Here, we examined the influence of management intensity on saproxylic beetles in &gt; 100-year old mature stands at 69 sampling plots in 2004. We sampled beetles using flight-window traps and time standard direct searches. The community structure based on presence/absence data changed remarkably along the gradient from unmanaged to low-intensity to high-intensity management, but these differences were not evident using abundance data from flight interception traps. Saproxylic species richness decreased in intensively managed forests. Elateridae and threatened species richness peaked in unmanaged forests and in forests under low-intensity management. Saproxylic species richness was dependent on certain micro-habitat factors. These factors were (1) the amount of dead wood for Elateridae, overall and threatened saproxylic beetle richness; (2) the amount of flowering plants for Cerambycidae; (3) the richness of wood-inhabiting fungi for Staphylinidae, Melandryidae and overall saproxylic beetle richness; and (4) the frequency of Fomes fomentarius for threatened species. Species richness was better explained by plot factors, such as dead wood or fungi, than by management intensity. These results suggest that the natural variation of dead wood niches (decay stages, snag sizes, tree cavities and wood-inhabiting fungi species) must be maintained to efficiently conserve the whole saproxylic beetle fauna of beech forests. Also, intensive management may alter the specialised saproxylic beetle community even if the initial tree-species composition is maintained, which was the case in our study. For monitoring the ecological sustainability of forest management we must focus on threatened species. If structures alone are sampled then the amount of dead wood is the best indicator for a rich saproxylic beetle fauna.</t>
  </si>
  <si>
    <t>[Mueller, Joerg] Bavarian Forest Natl Pk, D-94481 Grafenau, Germany; [Bussler, Heinz] Bayer Landesanstalt Wald &amp; Forstwirtschaft, D-85354 Freising Weihenstephan, Germany; [Kneib, Thomas] Univ Munich, Inst Stat, D-80539 Munich, Germany</t>
  </si>
  <si>
    <t>University of Munich</t>
  </si>
  <si>
    <t>joerg.mueller@npv-bw.bayern.de</t>
  </si>
  <si>
    <t>Müller, Jörg/0000-0002-1409-1586; Kneib, Thomas/0000-0003-3390-0972</t>
  </si>
  <si>
    <t>1366-638X</t>
  </si>
  <si>
    <t>1572-9753</t>
  </si>
  <si>
    <t>J INSECT CONSERV</t>
  </si>
  <si>
    <t>J. Insect Conserv.</t>
  </si>
  <si>
    <t>10.1007/s10841-006-9065-2</t>
  </si>
  <si>
    <t>Biodiversity Conservation; Entomology</t>
  </si>
  <si>
    <t>Biodiversity &amp; Conservation; Entomology</t>
  </si>
  <si>
    <t>268IB</t>
  </si>
  <si>
    <t>WOS:000253572400003</t>
  </si>
  <si>
    <t>Kramberger, B; Kaligaric, M</t>
  </si>
  <si>
    <t>Kramberger, Branko; Kaligaric, Mitia</t>
  </si>
  <si>
    <t>Semi-natural grasslands: The effects of cutting frequency on long-term changes of floristic composition</t>
  </si>
  <si>
    <t>POLISH JOURNAL OF ECOLOGY</t>
  </si>
  <si>
    <t>cutting frequency; floristic composition; late cut; natural reseeding; seminatural grassland</t>
  </si>
  <si>
    <t>NATURE CONSERVATION; SEED BANKS; MANAGEMENT; COMMUNITY; AGRICULTURE; POPULATION; PASTURE; FORAGE</t>
  </si>
  <si>
    <t>The objective of the experiment was to study the effects of different frequencies of cutting on long-term changes in the floristic composition of grassland, with an emphasis on the effects of very late cutting. Cutting at 2, 4, 6, 8 10 and 12-weekly intervals was applied from 1995 to 2006 in a randomized block experiment on semi-natural grassland fertilized with 170 kg N, 40 kg P and 150 kg K ha(-1). The floristic composition of treatments was determined in May 1995, 1999, 2002 and 2006. In the final year (2006) the proportion of grasses in the dry matter of harvest was highest (77%) in the treatment with the least frequent cuts, and it was the highest obtained during the whole experiment. Under very frequent cuts, the proportion of grasses ranged only from 45 to 57%. Among legumes, only Trifolium repens L. was represented in high proportions in the dry matter of the harvest (from 19 to 25%) in 2006, but only in the treatments involving high cutting frequencies. The proportion of non-legume forbs in treatments involving low cutting frequency did not exceed other treatments; moreover, their proportion in the dry matter of the harvest in the treatment with the lowest cutting frequency decreased significantly to the lowest value (19%). The increased proportion of grasses in treatments with low cutting frequency indicates that a very late cut does not necessarily mean that forbs increase in the floristic composition, but can help grasses to retain their dominant and stable proportion in the semi-natural sward. Consequently, when farmers are being provided with financial incentives with the aim of protecting diversity and the natural environment, it is worth recommending also a very late cutting, which includes natural reseeding to a greater extent. This can help to find a compromise between farmers' expectations of stable yield and quality forage, and the public interest in having grasslands of high biodiversity.</t>
  </si>
  <si>
    <t>[Kramberger, Branko] Univ Maribor, Fac Agr, SLO-2000 Maribor, Slovenia; [Kaligaric, Mitia] Univ Maribor, Dept Biol, SLO-2000 Maribor, Slovenia</t>
  </si>
  <si>
    <t>University of Maribor; University of Maribor</t>
  </si>
  <si>
    <t>Kramberger, B (corresponding author), Univ Maribor, Fac Agr, Vrbanska 30, SLO-2000 Maribor, Slovenia.</t>
  </si>
  <si>
    <t>branko.kramberger@uni-mb.si</t>
  </si>
  <si>
    <t>Wrbka, Thomas/A-5699-2010</t>
  </si>
  <si>
    <t>Wrbka, Thomas/0000-0002-1451-9108</t>
  </si>
  <si>
    <t>POLISH ACAD SCIENCES INST ECOLOGY</t>
  </si>
  <si>
    <t>LOMIANKI</t>
  </si>
  <si>
    <t>DZIEKANOW LESNY NEAR WARSAW, 05-092 LOMIANKI, POLAND</t>
  </si>
  <si>
    <t>1505-2249</t>
  </si>
  <si>
    <t>POL J ECOL</t>
  </si>
  <si>
    <t>Pol. J. Ecol.</t>
  </si>
  <si>
    <t>275YE</t>
  </si>
  <si>
    <t>WOS:000254107400003</t>
  </si>
  <si>
    <t>Sirrine, JR; Letourneau, DK; Shennan, C; Sirrine, D; Fouch, R; Jackson, L; Mages, A</t>
  </si>
  <si>
    <t>Sirrine, J. R.; Letourneau, D. K.; Shennan, C.; Sirrine, D.; Fouch, R.; Jackson, L.; Mages, A.</t>
  </si>
  <si>
    <t>groundcover management system; cover crop; mulch; natural enemy; Prunus cerasus; orchard</t>
  </si>
  <si>
    <t>COVER MANAGEMENT; ORCHARD FLOOR; APPLE; SOIL; PESTS</t>
  </si>
  <si>
    <t>Three different assemblages of cover crops were planted, fertilizer and herbicide input reduced, and mulch side-delivered in a northern Michigan tart cherry orchard to evaluate effects on tree leaf nutrients, arthropod communities, weed control, and tart cherry yield. The three treatments were compared. against the conventional management system, which consisted of sod alleys and herbicide-maintained tree rows. Although fertilizer was reduced by 1/2 and herbicides eliminated in the ground cover management systems (GMSs), there was no evidence of reduced cherry yields. All GMSs provided more plant cover than the unmanipulated sod control. Biomass samples suggested that there was not enough side-delivery mulch to significantly reduce understory weed growth in the tree rows when compared to the non-mulched plots. The GMSs increased species richness, abundance, and diversity (H) of arthropods, despite frequent pesticide applications in all treatments. The results of the economic analysis suggest that cover cropping, half N fertilizer, and herbicide elimination may be a viable alternative to conventional groundcover management in northern Michigan. (C) 2008 Elsevier B.V. All rights reserved.</t>
  </si>
  <si>
    <t>[Sirrine, J. R.] Michigan State Univ Extens, Suttons Bay, MI 49682 USA; [Letourneau, D. K.; Shennan, C.; Sirrine, D.; Jackson, L.; Mages, A.] Univ Calif Santa Cruz, Dept Environm Studies, Santa Cruz, CA 95064 USA; [Fouch, R.] Fouch Orchards, Traverse City, MI 49686 USA</t>
  </si>
  <si>
    <t>Michigan State University; University of California System; University of California Santa Cruz</t>
  </si>
  <si>
    <t>Sirrine, JR (corresponding author), Michigan State Univ Extens, Suite 107,8527 E Govt Ctr Dr, Suttons Bay, MI 49682 USA.</t>
  </si>
  <si>
    <t>sirrine@msu.edu</t>
  </si>
  <si>
    <t>Letourneau, Deborah/G-3694-2011; Shennan, Carol/I-1694-2013</t>
  </si>
  <si>
    <t>Shennan, Carol/0000-0001-6401-5007</t>
  </si>
  <si>
    <t>10.1016/j.agee.2008.01.005</t>
  </si>
  <si>
    <t>290PK</t>
  </si>
  <si>
    <t>WOS:000255134500025</t>
  </si>
  <si>
    <t>Pérez-Ramos, IM; Zavala, MA; Maranón, T; Díaz-Villa, MD; Valladares, F</t>
  </si>
  <si>
    <t>Perez-Ramos, I. M.; Zavala, M. A.; Maranon, T.; Diaz-Villa, M. D.; Valladares, F.</t>
  </si>
  <si>
    <t>Dynamics of understorey herbaceous plant diversity following shrub clearing of cork oak forests:: A five-year study</t>
  </si>
  <si>
    <t>Mediterranean forest; Quercus suber; silvicultural practices; species richness; sustainability</t>
  </si>
  <si>
    <t>WHITE-TAILED DEER; COMMUNITY RESPONSES; BIODIVERSITY; CONSERVATION; MANAGEMENT; VEGETATION; ECOSYSTEMS; COMPONENTS; INTENSITY; PATTERNS</t>
  </si>
  <si>
    <t>Cork oak forest management has been traditionally oriented towards optimization of cork production. Shrub clearing is a traditional silvicultural practice aimed to: (1) facilitate cork extraction (conducted every nine years); (2) increase cork yield by reducing competition from neighbouring shrubs; and (3) reduce fire risk by decreasing fuel load. These silvicultural practices, however, may interfere with current objectives of conservation and sustainable use of biodiversity. The effects of shrub clearing on different diversity components were assessed in three structurally contrasting forests sites, located in Southern Spain. A fenced experimental plot (1 ha) was established at each forest site. Half of each plot was shrub-cleared and the other half was left unmanaged (control stand). Afterwards, the presence of herbaceous species was monitored during five consecutive years in a total of 120 permanent quadrats (1 m(2)). Species richness (alpha- and gamma-diversity) increased with the clearing, mainly by expansion of open grassland species, while beta-diversity declined due to the homogenizing process associated with this expansion. Thus, the herbaceous species composition was modified by these silvicultural practices, especially the second year following treatment application. Effects differed across forest stands, being more marked in the Open Woodland, while there was no significant effect observed in the closed Forest. Understorey herbaceous communities were resilient to shrub clearing and initial diversity values were approximately restored after five years. The high resprouting potential of shrubs contributed to this resilience. Based on the results of this study, we propose several low costs strategies to be incorporated in forest management plans to reconcile cork oak extraction with the maintenance of biodiversity. (C) 2008 Elsevier B.V. All rights reserved.</t>
  </si>
  <si>
    <t>[Perez-Ramos, I. M.; Maranon, T.; Diaz-Villa, M. D.] CSIC, IRNAS, Seville 41012, Spain; [Zavala, M. A.] INIA, CIFOR, Madrid 28040, Spain; [Perez-Ramos, I. M.; Maranon, T.; Diaz-Villa, M. D.] Ctr Ciencias Medioambientales, CSIC, IRN, Madrid 28006, Spain</t>
  </si>
  <si>
    <t>Consejo Superior de Investigaciones Cientificas (CSIC); CSIC - Instituto de Recursos Naturales y Agrobiologia de Sevilla (IRNAS); Instituto Nacional Investigacion Tecnologia Agraria Alimentaria (INIA); Consejo Superior de Investigaciones Cientificas (CSIC); CSIC - Instituto de Recursos Naturales (IRN); CSIC - Centro de Ciencias Medioambientales (CCMA)</t>
  </si>
  <si>
    <t>Pérez-Ramos, IM (corresponding author), CNRS, Ctr Ecol Fonct &amp; Evolut, 1919 Route Mende, F-34293 Montpellier 5, France.</t>
  </si>
  <si>
    <t>Ignacio.PEREZ-RAMOS@cefe.cnrs.fr</t>
  </si>
  <si>
    <t>Perez-Ramos, Ignacio/H-6048-2015; Marañón, Teodoro/K-6648-2014; Valladares, Fernando/K-9406-2014; Zavala, Miguel A/H-3603-2015; Maranon, Teodoro/K-6648-2014; Zavala, Miguel/H-3603-2015</t>
  </si>
  <si>
    <t>Perez-Ramos, Ignacio/0000-0003-2332-7818; Marañón, Teodoro/0000-0002-7751-9316; Valladares, Fernando/0000-0002-5374-4682; Zavala, Miguel A/0000-0003-1456-0132;</t>
  </si>
  <si>
    <t>MAY 15</t>
  </si>
  <si>
    <t>8-9</t>
  </si>
  <si>
    <t>10.1016/j.foreco.2008.01.069</t>
  </si>
  <si>
    <t>307AC</t>
  </si>
  <si>
    <t>WOS:000256288800015</t>
  </si>
  <si>
    <t>Philpott, SM; Bichier, P; Rice, RA; Greenberg, R</t>
  </si>
  <si>
    <t>Philpott, Stacy M.; Bichier, Peter; Rice, Robert A.; Greenberg, Russell</t>
  </si>
  <si>
    <t>alternative products; ants; birds; coffee agroecosystem; Indonesia; revenue; species similarity; trees</t>
  </si>
  <si>
    <t>SHADE COFFEE; CHIAPAS; CERTIFICATION; AGROFORESTS; MANAGEMENT; DIVERSITY; ABUNDANCE; ANTS</t>
  </si>
  <si>
    <t>Agroecology and conservation must overlap to protect biodiversity and farmer livelihoods. Coffee agroecosystems with complex shade canopies protect biodiversity. Yet, few have examined biodiversity in coffee agroecosystems in Asia relative to the Americas and many question whether coffee agroecosystems can play a similar role for conservation. We examined vegetation, ant and bird diversity, coffee yields and revenues, and harvest of alternative products in coffee farms and forests in SW Sumatra, Indonesia near Bukit Barisan Selatan National Park (BBS). BBS is among the last habitats for large mammals in Sumatra and &gt; 15,000 families illegally cultivate coffee inside of BBS. As a basis for informing management recommendations, we compared the conservation potential and economic outputs from farms inside and outside of BBS. Forests had higher canopy cover, canopy depth, tree height, epiphyte loads, and more emergent trees than coffee farms. Coffee farms inside BBS had more epiphytes and trees and fewer coffee plants than farms outside BBS. Tree, ant, and bird richness was significantly greater in forests than in coffee farms, and richness did not differ in coffee farms inside and outside of BBS. Species similarity of forest and coffee trees, ants, and birds was generally low (&lt; 50%). Surprisingly, farms inside the park were significantly older, but farm size, coffee yields, and revenues from coffee did not depend on farm location. Farmers outside BBS received higher prices for their coffee and also more often produced other crops in their coffee fields such that incentives could be created to draw illegal farmers out of the park. We also discuss these results with reference to similar work in Chiapas, Mexico to compare the relative contribution of coffee fields to conservation in the two continents, and discuss implications for working with farmers in Sumatra towards conservation plans incorporating sustainable coffee production.</t>
  </si>
  <si>
    <t>[Philpott, Stacy M.] Univ Toledo, Dept Environm Sci, Toledo, OH 43606 USA; [Philpott, Stacy M.; Bichier, Peter; Rice, Robert A.; Greenberg, Russell] Smithsonian Migratory Bird Ctr, Washington, DC 20008 USA</t>
  </si>
  <si>
    <t>University System of Ohio; University of Toledo; Smithsonian Institution; Smithsonian National Zoological Park &amp; Conservation Biology Institute</t>
  </si>
  <si>
    <t>Philpott, SM (corresponding author), Univ Toledo, Dept Environm Sci, 2801 W Bancroft St, Toledo, OH 43606 USA.</t>
  </si>
  <si>
    <t>stacy.philpott@utoledo.edu</t>
  </si>
  <si>
    <t>Philpott, Stacy/M-3486-2019; Philpott, Stacy/F-2330-2011</t>
  </si>
  <si>
    <t>Philpott, Stacy/0000-0002-8338-3806</t>
  </si>
  <si>
    <t>10.1007/s10531-007-9267-2</t>
  </si>
  <si>
    <t>322IB</t>
  </si>
  <si>
    <t>WOS:000257367300002</t>
  </si>
  <si>
    <t>Herve, BD; Vidal, S</t>
  </si>
  <si>
    <t>Herve B., Bisseleua D.; Vidal, Stefan</t>
  </si>
  <si>
    <t>agroecology; biodiversity conservation; cocoa agroforest; intensification; management index; management regime; southern Cameroon</t>
  </si>
  <si>
    <t>CACAO PLANTATIONS; ANT DIVERSITY; AGROFORESTRY; TREES; ZONE; CONSERVATION; CONVERSION; SYSTEMS; INTENSITY; DYNAMICS</t>
  </si>
  <si>
    <t>Floristic surveys were performed in 17 traditional cocoa forest gardens under different management regimes in the humid forest area of southern Cameroon, to assess the impact of intensification on plant biodiversity. This impact was evaluated by analyzing species richness, vegetation structure, carbon sequestration and above ground biomass. We hypothesize that: (a) plant (tree and herbs) species richness is negatively correlated to management intensity and (b) vegetational density predictably change with management intensity. Our results show that management as practiced in traditional cocoa forest gardens in southern Cameroon following a gradient of intensification from extensive cocoa forest gardens with high floristic diversity to intensive ones strongly impacts plant diversity, plant biomass and to some extend carbon storage with possible negative consequences on biodiversity. Great differences in species richness, species composition, and, for trees, diameter at breast height and basal area were evident among the five types of traditional cocoa forest garden systems investigated. In terms of plant species richness, we found a decreasing gradient of plant species numbers from extensive forest gardens to intensive ones. This study also highlights the importance of the Management Index for quantifying differences in the management; this index could be used to standardize certification procedures and assess conservation progress and success. Our findings support the idea that traditional cocoa forest gardens can help to protect many forest species, sustains smallholder production and offer more scope for conservation of biodiversity, at both species-level and landscape-level. Moreover, diverse traditional cocoa forest gardens may help in regulating pests and diseases and allow for efficient adaptation to changing socioeconomic conditions.</t>
  </si>
  <si>
    <t>[Herve B., Bisseleua D.; Vidal, Stefan] Univ Gottingen, Dept Crop Sci, Entomol Sect, D-3400 Gottingen, Germany; [Herve B., Bisseleua D.] Nkolbisson Reg Res Ctr, Inst Agr Res Dev IRAD, Yaounde 2067, Cameroon</t>
  </si>
  <si>
    <t>Herve, BD (corresponding author), Univ Gottingen, Dept Crop Sci, Entomol Sect, Grisebachstr 6, D-3400 Gottingen, Germany.</t>
  </si>
  <si>
    <t>hbissel@gwdg.de</t>
  </si>
  <si>
    <t>Vidal, Stefan/AAC-3130-2020</t>
  </si>
  <si>
    <t>10.1007/s10531-007-9276-1</t>
  </si>
  <si>
    <t>Green Submitted, hybrid</t>
  </si>
  <si>
    <t>WOS:000257367300003</t>
  </si>
  <si>
    <t>Chen, J; Yamamura, Y; Hori, Y; Shiyomi, M; Yasuda, T; Zhou, HK; Li, YN; Tang, YH</t>
  </si>
  <si>
    <t>Chen, Jun; Yamamura, Yasuo; Hori, Yoshimichi; Shiyomi, Masae; Yasuda, Taisuke; Zhou, Hua-Kun; Li, Ying-nian; Tang, Yan-hong</t>
  </si>
  <si>
    <t>ECOLOGICAL RESEARCH</t>
  </si>
  <si>
    <t>grazing; Kobresia meadow; Qinghai alpine meadow; winter grazing</t>
  </si>
  <si>
    <t>LIMESTONE GRASSLAND; HETEROGENEITY; NICHE; REGENERATION; COMMUNITIES; VEGETATION; ECOSYSTEM; ENERGY; FIRE; SEED</t>
  </si>
  <si>
    <t>We investigated how the high small-scale species richness of an alpine meadow on the Qinghai-Tibet Plateau, China, is maintained. This area is characterized by strong wind and severe cold during long winters. In winter, most livestock is grazed on dead leaves in small pastures near farmers' residences, whereas in the short summer, livestock is grazed in mountainous areas far from farmers' residences. The number of plant species and the aboveground biomass were surveyed for three adjacent pastures differing in grazing management: a late-winter grazing pasture grazed moderately from 1 February to 30 April, an early-winter grazing pasture grazed lightly from 20 September to late October, and a whole-year grazing pasture grazed intensively throughout the entire year. In each pasture, we harvested the aboveground biomass from 80 or 100 quadrats of 0.01 m(2) along a transect and classified the contents by species. We observed 15.5-19.7 species per 0.01 m(2), which is high richness per 0.01 m(2) on a worldwide scale. The species richness in the two winter grazing pastures was higher than that in the whole-year grazing pasture. The spatial variation in species richness and species composition in the two winter grazing pastures in which species richness was high was greater than that in the whole-year grazing pasture in which species richness was lower. Most of the leaves that are preserved on the winter grazing pastures during summer are blown away by strong winds during winter, and the remaining leaves are completely exhausted in winter by livestock grazing. A pasture with a high richess is accompanied by a high spatial variation in species richness and species composition. There is a high possibility that the characteristic of spatial variation is also caused by traditional grazing practices in this area.</t>
  </si>
  <si>
    <t>[Shiyomi, Masae] Ibaraki Univ, Univ Air, Mito, Ibaraki 3100056, Japan; [Chen, Jun; Yamamura, Yasuo; Hori, Yoshimichi] Ibaraki Univ, Fac Sci, Mito, Ibaraki 3100056, Japan; [Yasuda, Taisuke] Yamanashi Inst Environm Sci, Fujiyoshida, Yamanashi 4030005, Japan; [Zhou, Hua-Kun; Li, Ying-nian] Chinese Acad Sci, NW Plateau Inst Biol, Xining 810001, Peoples R China; [Tang, Yan-hong] Natl Inst Environm Studies, Tsukuba, Ibaraki 3058506, Japan</t>
  </si>
  <si>
    <t>Ibaraki University; Ibaraki University; Chinese Academy of Sciences; Northwest Institute of Plateau Biology, CAS; National Institute for Environmental Studies - Japan</t>
  </si>
  <si>
    <t>Shiyomi, M (corresponding author), Ibaraki Univ, Univ Air, Bunkyo 2-1-1, Mito, Ibaraki 3100056, Japan.</t>
  </si>
  <si>
    <t>shiyomi@mx.ibaraki.ac.jp</t>
  </si>
  <si>
    <t>l, y/IAQ-9519-2023; Tang, Yanhong/B-1699-2010</t>
  </si>
  <si>
    <t>Tang, Yanhong/0000-0001-7207-1965</t>
  </si>
  <si>
    <t>SPRINGER TOKYO</t>
  </si>
  <si>
    <t>TOKYO</t>
  </si>
  <si>
    <t>1-11-11 KUDAN-KITA, CHIYODA-KU, TOKYO, 102-0073, JAPAN</t>
  </si>
  <si>
    <t>0912-3814</t>
  </si>
  <si>
    <t>ECOL RES</t>
  </si>
  <si>
    <t>Ecol. Res.</t>
  </si>
  <si>
    <t>10.1007/s11284-007-0423-7</t>
  </si>
  <si>
    <t>322SJ</t>
  </si>
  <si>
    <t>WOS:000257395300003</t>
  </si>
  <si>
    <t>Wampler, CR; Frey, JK; VanLeeuwen, DM; Boren, JC; Baker, TT</t>
  </si>
  <si>
    <t>Wampler, Christina R.; Frey, Jennifer K.; VanLeeuwen, Dawn M.; Boren, Jon C.; Baker, Terrell T.</t>
  </si>
  <si>
    <t>MAMMALS IN MECHANICALLY THINNED AND NON-THINNED MIXED-CONIFEROUS FOREST IN THE SACRAMENTO MOUNTAINS, NEW MEXICO</t>
  </si>
  <si>
    <t>SOUTHWESTERN NATURALIST</t>
  </si>
  <si>
    <t>SPRUCE-CONE FAILURE; UNDERSTORY VEGETATION; FUEL REDUCTION; RESPONSES; POPULATIONS; HABITAT; DENSITY; YOUNG; FIRE; MANAGEMENT</t>
  </si>
  <si>
    <t>Mechanical thinning is an important silviculture technique for timber production and reducing woody fuels in coniferous forest, but little is known about its effect on wildlife in mixed-coniferous forests in the American Southwest. During 2005-2006 we examined diversity, abundance and survival of terrestrial mammals in thinned and non-thinned mixed-coniferous forest in the Sacramento Mountains, Lincoln National Forest, in southern New Mexico. The three thinning treatments included two non-commercial thins with different slash treatments (i.e., lop-pile, lop-scatter) and a commercial harvest using selective logging. There were two non-thinned treatments that differed in age of stand (i.e., 20-30 years and 60-100 years post harvest). In general, thinned treatments had higher richness and abundance of mammals in comparison with the older non-thinned stand, but did not differ in richness and abundance from the younger non-thinned stand. Abundance of the North American deermouse (Peromyscus maniculatus) and red squirrel (Tamiasciurus hudsonicus) did not differ among treatments. However, survival of P. maniculatus varied more in the non-thinned stands. Abundances of the gray-footed chipmunk (Tamias canipes) and long-tailed vole (Microlus longicaudus) were significantly lower in the older non-thinned treatments. These results suggest that thinning older stands of mixed-coniferous forest that are overly dense compared with historical conditions benefit the mammal community through increases in diversity and abundance. In comparing the three mechanical-thinning treatments evaluated, none provided a clear cost or advantage to mammals. However, additional controlled experiments are needed to further corroborate these results.</t>
  </si>
  <si>
    <t>[Wampler, Christina R.; Frey, Jennifer K.] New Mexico State Univ, Dept Fisheries &amp; Wildlife Sci, Las Cruces, NM 88003 USA; [VanLeeuwen, Dawn M.] New Mexico State Univ, Dept Agr &amp; Extens Educ, Las Cruces, NM 88003 USA; [Boren, Jon C.; Baker, Terrell T.] New Mexico State Univ, Extens Anim Sci &amp; Nat Resources Dept, Las Cruces, NM 88003 USA</t>
  </si>
  <si>
    <t>New Mexico State University; New Mexico State University; New Mexico State University</t>
  </si>
  <si>
    <t>Frey, JK (corresponding author), New Mexico State Univ, Dept Fisheries &amp; Wildlife Sci, Las Cruces, NM 88003 USA.</t>
  </si>
  <si>
    <t>jfrey@nmsu.edu</t>
  </si>
  <si>
    <t>Frey, Jennifer/F-8945-2011</t>
  </si>
  <si>
    <t>SOUTHWESTERN ASSOC NATURALISTS</t>
  </si>
  <si>
    <t>SAN MARCOS</t>
  </si>
  <si>
    <t>SOUTHWEST TEXAS STATE UNIV, DEPT BIOLOGY, 601 UNIVERSITY DR, SAN MARCOS, TX 78666 USA</t>
  </si>
  <si>
    <t>0038-4909</t>
  </si>
  <si>
    <t>1943-6262</t>
  </si>
  <si>
    <t>SOUTHWEST NAT</t>
  </si>
  <si>
    <t>Southw. Natural.</t>
  </si>
  <si>
    <t>10.1894/CLG-10.1</t>
  </si>
  <si>
    <t>384NS</t>
  </si>
  <si>
    <t>WOS:000261752100002</t>
  </si>
  <si>
    <t>Krogmann, U; Rogers, BF; Kumudini, S</t>
  </si>
  <si>
    <t>Krogmann, U.; Rogers, B. F.; Kumudini, S.</t>
  </si>
  <si>
    <t>Effects of Mulching Blueberry Plants With Cranberry Fruits and Leaves On Yield, Nutrient Uptake and Weed Suppression</t>
  </si>
  <si>
    <t>COMPOST SCIENCE &amp; UTILIZATION</t>
  </si>
  <si>
    <t>SOIL-TEMPERATURE; AMENDMENTS; COMPOST; GROWTH; WATER</t>
  </si>
  <si>
    <t>Integration of local organic wastes as mulches into farm production can provide waste management options and an alternative to landfilling. In 2000, cranberry growers needed ways to dispose of excess cranberries caused by overproduction and a federal regulation limiting the fruit's marketable production. This study examined the use of excess cranberry fruits and leaves as mulches on established blueberry plants. The objective of this study was to determine the effects of these novel mulches on established blueberry plant nutrient uptake, fruit yield, selected soil chemical properties and weed suppression. A randomized block design was set up and maintained for two years with four different mulch treatments (no mulch, 5.1-cm cranberry fruit, 10.2-cm cranberry fruit and 10.2-cm cranberry leaves). Leaf tissue nutrients (N, P, K, Ca, Mg, Mn, Fe, Cu, Zn, S, B, Al), fruit yield and average fruit size, selected soil properties, weed biomass and number of weed types were determined. In the second year, the fruit yield in the mulched treatments was lower than in the control (P&lt;0.05), but not the fruit size. One possible reason is a significant decrease in leaf nitrogen uptake observed in some mulch plots. Weed biomass was significantly reduced along with species diversity. This study shows that novel mulches need to be carefully evaluated before being used due to their potential environmental and plant impacts.</t>
  </si>
  <si>
    <t>[Krogmann, U.; Rogers, B. F.] Rutgers State Univ, Dept Environm Sci, New Brunswick, NJ 08903 USA; [Kumudini, S.] Univ Kentucky, Lexington, KY USA</t>
  </si>
  <si>
    <t>Rutgers University System; Rutgers University New Brunswick; University of Kentucky</t>
  </si>
  <si>
    <t>Krogmann, U (corresponding author), Rutgers State Univ, Dept Environm Sci, New Brunswick, NJ 08903 USA.</t>
  </si>
  <si>
    <t>New Jersey Department of Environmental Protection; Division of Watershed Management; New Jersey Agricultural Experiment Station</t>
  </si>
  <si>
    <t>The authors would like to thank the staff of the Phillip E. Marucci Center for Cranberry and Blueberry Research for maintaining the plots and the New Jersey Department of Environmental Protection, Division of Watershed Management, and the New Jersey Agricultural Experiment Station for financial support.</t>
  </si>
  <si>
    <t>TAYLOR &amp; FRANCIS INC</t>
  </si>
  <si>
    <t>PHILADELPHIA</t>
  </si>
  <si>
    <t>530 WALNUT STREET, STE 850, PHILADELPHIA, PA 19106 USA</t>
  </si>
  <si>
    <t>1065-657X</t>
  </si>
  <si>
    <t>2326-2397</t>
  </si>
  <si>
    <t>COMPOST SCI UTIL</t>
  </si>
  <si>
    <t>Compost Sci. Util.</t>
  </si>
  <si>
    <t>FAL</t>
  </si>
  <si>
    <t>Ecology; Soil Science</t>
  </si>
  <si>
    <t>Environmental Sciences &amp; Ecology; Agriculture</t>
  </si>
  <si>
    <t>391DX</t>
  </si>
  <si>
    <t>WOS:000262214800002</t>
  </si>
  <si>
    <t>González-Alday, J; Martínez-Ruiz, C; Bravo, F</t>
  </si>
  <si>
    <t>Gonzalez-Alday, J.; Martinez-Ruiz, C.; Bravo, F.</t>
  </si>
  <si>
    <t>Evaluating different harvest intensities over understory plant diversity and pine seedlings, in a Pinus pinaster Ait. natural stand of Spain</t>
  </si>
  <si>
    <t>PLANT ECOLOGY</t>
  </si>
  <si>
    <t>Anthropogenic disturbance; Herbaceous layer; Mediterranean ecosystem; Silviculture; Woody species</t>
  </si>
  <si>
    <t>SPECIES DIVERSITY; HERBACEOUS-LAYER; SITE PREPARATION; FOREST; VEGETATION; RESPONSES; ESTABLISHMENT; DISTURBANCES; CONSEQUENCES; DYNAMICS</t>
  </si>
  <si>
    <t>Although modern forestry takes into consideration the analysis of the effects of forest management on plant structure, diversity and seedlings, little is known about how those parameters respond to harvest techniques in the Mediterranean region. We investigated the effect of three different harvest intensities, respect to uncut controls, on understory plant species functional groups, richness, diversity and pine seedlings in a natural Maritime pine stand in Spain, three years after harvesting. The harvest treatments produced a reduction of the number of Pinus pinaster seedlings and woody species cover, and an increase of species richness (total and of annual species) and plant cover of annual species respect to control plots (CO). The Shannon diversity values showed no differences between treatments. These results emphasize that the tree harvest treatments analyzed are not suitable for the management of this P. pinaster stand. Otherwise, the reduction of pine seedling density by harvest treatments and the changes in richness and cover of functional groups would not induce the natural regeneration of this stand maintaining the understory plant layer.</t>
  </si>
  <si>
    <t>[Gonzalez-Alday, J.; Martinez-Ruiz, C.] Univ Valladolid, ETS Ingn Agr Palencia, Area Ecol, Palencia 34071, Spain; [Bravo, F.] Univ Valladolid, ETS Ingn Agr Palencia, Area Prod Vegetal, Palencia 34071, Spain; [Bravo, F.] INIA UVa Sustainable Forest Management, Joint Res Unit, Madrid, Spain</t>
  </si>
  <si>
    <t>Universidad de Valladolid; Universidad de Valladolid; Universidad de Valladolid</t>
  </si>
  <si>
    <t>González-Alday, J (corresponding author), Univ Valladolid, ETS Ingn Agr Palencia, Area Ecol, Campus Yutera,Avda Madrid 44, Palencia 34071, Spain.</t>
  </si>
  <si>
    <t>josucham@agro.uva.es</t>
  </si>
  <si>
    <t>Alday, Josu G/F-6175-2010; Alday, Josu G./F-6175-2010; Martínez-Ruiz, Carolina/D-5232-2014; Bravo, Felipe/C-5073-2009</t>
  </si>
  <si>
    <t>Alday, Josu G/0000-0001-7510-8655; Martínez-Ruiz, Carolina/0000-0002-4963-1650; Bravo, Felipe/0000-0001-7348-6695</t>
  </si>
  <si>
    <t>Basque-Country Government [BFI06.114]; Research Projects from the Spanish Science National Program [AGL2001-1780, AGL2004-07094-C02-02/FOR]</t>
  </si>
  <si>
    <t>Basque-Country Government(Basque Government); Research Projects from the Spanish Science National Program</t>
  </si>
  <si>
    <t>We thank Sonia Garcia-Munoz, Cristobal Ordonez and Ana I. de Lucas for fieldwork assistance, and Pilar Zaldivar for species nomenclature assistance. This study was supported by a grant from the Basque-Country Government to J. Gonzalez-Alday (BFI06.114), and Research Projects from the Spanish Science National Program (codes AGL2001-1780 and AGL2004-07094-C02-02/FOR) to Felipe Bravo.</t>
  </si>
  <si>
    <t>1385-0237</t>
  </si>
  <si>
    <t>1573-5052</t>
  </si>
  <si>
    <t>PLANT ECOL</t>
  </si>
  <si>
    <t>Plant Ecol.</t>
  </si>
  <si>
    <t>10.1007/s11258-008-9490-2</t>
  </si>
  <si>
    <t>404TL</t>
  </si>
  <si>
    <t>WOS:000263175800016</t>
  </si>
  <si>
    <t>Mosquera-Losada, MR; Rodríguez-Barreira, S; López-Díaz, ML; Fernández-Núñez, E; Rigueiro-Rodríguez, A</t>
  </si>
  <si>
    <t>Mosquera-Losada, M. R.; Rodriguez-Barreira, S.; Lopez-Diaz, M. L.; Fernandez-Nunez, E.; Rigueiro-Rodriguez, A.</t>
  </si>
  <si>
    <t>Fertilisation; Liming; Silvopastoralism; Spatial and temporal scale; Biodiversity; Species richness</t>
  </si>
  <si>
    <t>UNDERSTORY VEGETATION; SPECIES RICHNESS; PLANT TRAITS; DIVERSITY; PASTURE; TEMPERATE; CONSEQUENCES; TREE</t>
  </si>
  <si>
    <t>Most biodiversity studies endeavour to put forward strategies for its short-term enhancement, seeking to understand the spatial scale. However, biodiversity preservation strategies should also take into account temporal scales, in order to fulfil the main biodiversity preservation objectives. Biodiversity variability also depends on the structural heterogeneity of the land on which this strategy is developed. Agroforestry systems have a tree component that makes this heterogeneity more important than in exclusively agronomic systems. This paper aims to evaluate the effect of different soil fertility management(application of lime and fertiliser in both organic and inorganic nitrogen forms)on tree and pasture growth, as well as on the pasture richness in a silvopastoral systems developed on a 5-year-old Pinus radiata D. Don plantation over 6 years. Temporal scale, as well as spatial biodiversity scale, should be taking into account in biodiversity studies in forests. Tree development as well as fertility soil modifications modified species richness, the relative dominance between species and the type of species. The lack Of Management caused all undesirable development of shrubs, main resource of forest fires development in the region. Lower tree densities than those Currently used combined with authocthonous breed grazing, to reduce shrub biomass is the best Option to Sustain biodiversity and productivity from the area. (C) 2009 Elsevier B.V. All rights reserved.</t>
  </si>
  <si>
    <t>[Mosquera-Losada, M. R.; Rodriguez-Barreira, S.; Fernandez-Nunez, E.; Rigueiro-Rodriguez, A.] Univ Santiago de Compostela, EPS Lugo, Dpto Prod Vegetal, Lugo 27002, Spain; [Lopez-Diaz, M. L.] Univ Extremadura, Ctr Univ Plasencia, Dpto Biol &amp; Prod Vegetales, Plasencia Caceres 10600, Spain</t>
  </si>
  <si>
    <t>Universidade de Santiago de Compostela; Universidad de Extremadura</t>
  </si>
  <si>
    <t>Mosquera-Losada, MR (corresponding author), Univ Santiago de Compostela, EPS Lugo, Dpto Prod Vegetal, Campus Univ S-N, Lugo 27002, Spain.</t>
  </si>
  <si>
    <t>mrosa.mosquera.losada@usc.es</t>
  </si>
  <si>
    <t>Mosquera-Losada, M/K-8357-2014; Mosquera-Losada, María Rosa/K-8357-2014; RODRÍGUEZ, ANTONIO/B-2982-2019</t>
  </si>
  <si>
    <t>Mosquera-Losada, María Rosa/0000-0003-4254-2329; López-Díaz, M Lourdes/0000-0001-8543-8981; Mosquera-Losada, Maria Rosa/0000-0002-6923-170X; RIGUEIRO-RODRÍGUEZ, ANTONIO/0000-0002-1607-1220; Fernandez-Nuñez, Esther/0000-0003-1790-1553;</t>
  </si>
  <si>
    <t>Spanish Science Ministry and Xunta de Galicia</t>
  </si>
  <si>
    <t>We are grateful to Spanish Science Ministry and Xunta de Galicia for financial assistance, to Escuela Politecnica Superior for facilities, to Divina VAzquez Varela, Teresa Pineiro Lopez, Jose Javier Santiago-Freijanes, Antonio Rodriguez Rigueiro for helping in processing, laboratory, and field. and to Sheelagh (Interlingua traduccions) for helping with the translation.</t>
  </si>
  <si>
    <t>10.1016/j.agee.2009.02.005</t>
  </si>
  <si>
    <t>438LK</t>
  </si>
  <si>
    <t>WOS:000265556700024</t>
  </si>
  <si>
    <t>van Eekeren, N; de Boer, H; Bloem, J; Schouten, T; Rutgers, M; de Goede, R; Brussaard, L</t>
  </si>
  <si>
    <t>van Eekeren, Nick; de Boer, Herman; Bloem, Jaap; Schouten, Ton; Rutgers, Michiel; de Goede, Ron; Brussaard, Lijbert</t>
  </si>
  <si>
    <t>BIOLOGY AND FERTILITY OF SOILS</t>
  </si>
  <si>
    <t>Earthworms; Nematodes; Microbiology; Slurry; Fertilizer; Ecosystem services; Grassland</t>
  </si>
  <si>
    <t>NITROGENOUS FERTILIZERS; EARTHWORMS OLIGOCHAETA; PIG SLURRY; BIODIVERSITY; NEMATODES; DYNAMICS; TERM; MICROORGANISMS; LUMBRICIDAE; COMMUNITIES</t>
  </si>
  <si>
    <t>We studied the effect of five fertilizers (including two adjusted manure slurries) and an untreated control on soil biota and explored the effect on the ecosystem services they provided. Our results suggest that the available N (NO (3) (-) and NH (4) (+) ) in the soil plays a central role in the effect of fertilizers on nematodes and microorganisms. Microorganisms are affected directly through nutrient availability and indirectly through grass root mass. Nematodes are affected indirectly through microbial biomass and grass root mass. A lower amount of available N in the treatment with inorganic fertilizer was linked to a higher root mass and a higher abundance and proportion of herbivorous nematodes. A higher amount of available N in the organic fertilizer treatments resulted in a twofold higher bacterial activity (measured as bacterial growth rate, viz. thymidine incorporation), a higher proportion of bacterivorous nematodes, a 30% higher potential N mineralization (aerobic incubation), and 25-50% more potentially mineralizable N (anaerobic incubation). Compared to inorganic fertilizer, organic fertilization increased the C total, the N total, the activity of decomposers, and the supply of nutrients via the soil food web. Within the group of organic fertilizers, there was no significant difference in C total, abundances of soil biota, and the potential N mineralization rate. There were no indications that farmyard manure or the adjusted manure slurries provided the ecosystem service supply of nutrients better than normal manure slurry. Normal manure slurry provided the highest bacterial activity and the highest amount of mineralizable N and it was the only fertilizer resulting in a positive trend in grass yield over the years 2000-2005. The number of earthworm burrows was higher in the treatments with organic fertilizers compared to the one with the inorganic fertilizer, which suggests that organic fertilizers stimulate the ecosystem service of water regulation more than inorganic fertilizer. The trend towards higher epigeic earthworm numbers with application of farmyard manure and one of the adjusted manure slurries, combined with the negative relation between epigeic earthworms and bulk density and a significantly lower penetration resistance in the same fertilizer types, is preliminary evidence that these two organic fertilizer types contribute more to the service of soil structure maintenance than inorganic fertilizer.</t>
  </si>
  <si>
    <t>[van Eekeren, Nick] Louis Bolk Inst, Dept Organ Agr, NL-3972 LA Driebergen, Netherlands; [de Boer, Herman] Univ Wageningen &amp; Res Ctr, Anim Sci Grp, NL-8200 AB Lelystad, Netherlands; [Bloem, Jaap] Univ Wageningen &amp; Res Ctr, Soil Sci Ctr, NL-6700 AA Wageningen, Netherlands; [Schouten, Ton; Rutgers, Michiel] Natl Inst Publ Hlth &amp; Environm, NL-3720 BA Bilthoven, Netherlands; [de Goede, Ron; Brussaard, Lijbert] Wageningen Univ, Dept Soil Qual, NL-6700 AA Wageningen, Netherlands</t>
  </si>
  <si>
    <t>Animal Sciences Group of Wageningen UR; Wageningen University &amp; Research; Wageningen University &amp; Research; Netherlands National Institute for Public Health &amp; the Environment; Wageningen University &amp; Research</t>
  </si>
  <si>
    <t>van Eekeren, N (corresponding author), Louis Bolk Inst, Dept Organ Agr, Hoofdstr 24, NL-3972 LA Driebergen, Netherlands.</t>
  </si>
  <si>
    <t>n.vaneekeren@louisbolk.nl</t>
  </si>
  <si>
    <t>de Goede, R.G.M./A-2812-2014; De'Boer, Herman/MBW-0389-2025; Brussaard, Lijbert/A-1698-2014; Goede, RGM/A-2812-2014</t>
  </si>
  <si>
    <t>van Eekeren, Nick/0000-0002-4026-3839; Brussaard, Lijbert/0000-0003-3870-1411; Goede, RGM/0000-0002-9786-5187; de Boer, Herman/0000-0002-7109-8426</t>
  </si>
  <si>
    <t>ONE NEW YORK PLAZA, SUITE 4600, NEW YORK, NY, UNITED STATES</t>
  </si>
  <si>
    <t>0178-2762</t>
  </si>
  <si>
    <t>1432-0789</t>
  </si>
  <si>
    <t>BIOL FERT SOILS</t>
  </si>
  <si>
    <t>Biol. Fertil. Soils</t>
  </si>
  <si>
    <t>10.1007/s00374-009-0370-2</t>
  </si>
  <si>
    <t>464WR</t>
  </si>
  <si>
    <t>WOS:000267540800004</t>
  </si>
  <si>
    <t>Mayer, R; Kaufmann, R; Vorhauser, K; Erschbamer, B</t>
  </si>
  <si>
    <t>BASIC AND APPLIED ECOLOGY</t>
  </si>
  <si>
    <t>C-S-R strategies; Exclosures; Functional groups; Life forms; Nutritive value; Redundancy analysis (RDA); Traditional grazing system</t>
  </si>
  <si>
    <t>VEGETATION; LIVESTOCK; CATTLE; PRODUCTIVITY; BIODIVERSITY; MANAGEMENT; RICHNESS; PASTURE; DIET; SOIL</t>
  </si>
  <si>
    <t>Our study examines the effects of grazing exclusion on low-productive subalpine and alpine grasslands of the Central Alps (UNESCO Biosphere Park Gurgler Kamm, Obergurgl, Austria). A long-term exclusion experiment was established in 2000 in the subalpine, the lower, and the upper alpine zone. With exception of the subalpine zone, domestic herbivores have been grazing during the whole growing season. In grazed and exclosure plots species frequencies were recorded for 7 years. We analysed exclosure effects on species number, community composition, life forms, and functional groups. Species richness did not decrease significantly within the exclosures, but changes in species composition occurred in each zone, although some were transitory in nature. The dynamic trends of the plots were significantly explained by the 'treatment x year' effect along the whole altitudinal gradient, but the effects decreased considerably with altitude. In the subalpine and upper alpine exclosures, stress-tolerators, species or low or no nutritive value, and mosses showed a decreasing trend, whereas tall grasses (subalpine exclosures), competitors, and species with high or medium nutritive values (lower alpine exclosures) tended to increase. Overall, our 7-year study revealed that. several functional groups reacted to grazing, according to Our main expectations. We suggest that these effects will intensify in the long term. (C) 2008 Gesellschaft fur Okologie. Published by Elsevier GmbH. All rights reserved.</t>
  </si>
  <si>
    <t>[Mayer, R.; Erschbamer, B.] Univ Innsbruck, Inst Bot, A-6020 Innsbruck, Austria; [Kaufmann, R.] Univ Innsbruck, Inst Ecol, A-6020 Innsbruck, Austria</t>
  </si>
  <si>
    <t>University of Innsbruck; University of Innsbruck</t>
  </si>
  <si>
    <t>Erschbamer, B (corresponding author), Univ Innsbruck, Inst Bot, Sternwartestr 15, A-6020 Innsbruck, Austria.</t>
  </si>
  <si>
    <t>Brigitta.Erschbamer@uibk.ac.at</t>
  </si>
  <si>
    <t>University of Innsbruck; Federal Government; Department of Environmental Protection; Austrian Academy of Science (MAB Programme)</t>
  </si>
  <si>
    <t>University of Innsbruck(University of Innsbruck); Federal Government; Department of Environmental Protection; Austrian Academy of Science (MAB Programme)</t>
  </si>
  <si>
    <t>We are grateful to the staff of the 'Universitatszentrum Obergurgl', mainly to Meinhard Strobl, for supporting our field studies. We also thank Bernhard Scheiber for detailed information on the grazing systems in the study area and Walter Died for personal information on the nutrient contents of alpine plant species. We are grateful to Julliane De Oliveira Ruedisser for the English corrections and to three anonymous reviewers for their highly valuable comments. The study was funded by the University of Innsbruck, the Federal Government, Department of Environmental Protection and the Austrian Academy of Science (MAB Programme).</t>
  </si>
  <si>
    <t>ELSEVIER GMBH, URBAN &amp; FISCHER VERLAG</t>
  </si>
  <si>
    <t>JENA</t>
  </si>
  <si>
    <t>OFFICE JENA, P O BOX 100537, 07705 JENA, GERMANY</t>
  </si>
  <si>
    <t>1439-1791</t>
  </si>
  <si>
    <t>BASIC APPL ECOL</t>
  </si>
  <si>
    <t>Basic Appl. Ecol.</t>
  </si>
  <si>
    <t>10.1016/j.baae.2008.10.004</t>
  </si>
  <si>
    <t>481VE</t>
  </si>
  <si>
    <t>WOS:000268839500007</t>
  </si>
  <si>
    <t>B</t>
  </si>
  <si>
    <t>VanderValk, AG</t>
  </si>
  <si>
    <t>FOREST ECOLOGY: RECENT ADVANCES IN PLANT ECOLOGY</t>
  </si>
  <si>
    <t>Article; Book Chapter</t>
  </si>
  <si>
    <t>[Gonzalez-Alday, J.; Martinez-Ruiz, C.] Univ Valladolid, ETS Ingn Agr Palencia, Area Ecol, Palencia 34071, Spain; [Bravo, F.] Univ Valladolid, ETS Ingn Agr Palencia, Area Prod Vegetal, Palencia 34071, Spain</t>
  </si>
  <si>
    <t>Universidad de Valladolid; Universidad de Valladolid</t>
  </si>
  <si>
    <t>233 SPRING STREET, NEW YORK, NY 10013, UNITED STATES</t>
  </si>
  <si>
    <t>978-90-481-2794-8</t>
  </si>
  <si>
    <t>10.1007/978-90-481-2795-5_16</t>
  </si>
  <si>
    <t>10.1007/978-90-481-2795-5</t>
  </si>
  <si>
    <t>Ecology; Forestry</t>
  </si>
  <si>
    <t>Book Citation Index – Science (BKCI-S)</t>
  </si>
  <si>
    <t>Environmental Sciences &amp; Ecology; Forestry</t>
  </si>
  <si>
    <t>BLU19</t>
  </si>
  <si>
    <t>WOS:000271018900016</t>
  </si>
  <si>
    <t>Lanta, V; Dolezal, J; Lantová, P; Kelísek, J; Mudrák, O</t>
  </si>
  <si>
    <t>Lanta, V.; Dolezal, J.; Lantova, P.; Kelisek, J.; Mudrak, O.</t>
  </si>
  <si>
    <t>GRASS AND FORAGE SCIENCE</t>
  </si>
  <si>
    <t>abandonment; fertilization; grazing; mowing; plant functional group; species richness</t>
  </si>
  <si>
    <t>PLANT DIVERSITY; VEGETATION CHANGES; GRAZING INTENSITY; TRAIT RESPONSES; PRODUCTIVITY; DISTURBANCE; HISTORY; COMMUNITIES; SUCCESSION; HERBIVORES</t>
  </si>
  <si>
    <t>A 3-year experiment was conducted in Central Europe to examine the effects of three managements, viz. continuous cattle grazing from April to September, mowing once in July and abandonment of grazing, and two levels of fertilizer application, no fertilizer and 400 kg ha-1 of a NPK fertilizer, on changes in plant species composition and summer biomass of dry matter (DM) in a calcareous mountain grassland containing many plant functional types. Different managements led to changes in species composition due to species-specific responses. Low creeping and rosette species were associated with grazing, while grasses and tall forbs correlated with mowing and abandonment of grazing, probably because of their ability to outcompete rosette species. There was a negative relationship between the number of species and above-ground biomass and a positive relationship between number of species and below-ground biomass, suggesting that these species-rich communities allocate more to below-ground organs when not grazed. The application of fertilizer had no effect on species composition but it indirectly increased competitive asymmetry for light and increased the number of plant extinctions. It is concluded that continuation of cattle grazing is an acceptable form of grassland management at the study site and that species and functional group compositions can rapidly change with changing environmental conditions such as abandonment of grazing or application of fertilizer.</t>
  </si>
  <si>
    <t>[Lanta, V.; Dolezal, J.; Mudrak, O.] Acad Sci Czech Republ, Inst Bot, Sect Funct Ecol, CZ-37982 Trebon, Czech Republic; [Lanta, V.] Univ Turku, Dept Biol, Sect Ecol, SF-20500 Turku, Finland; [Dolezal, J.; Lantova, P.; Kelisek, J.; Mudrak, O.] Univ S Bohemia, Fac Sci, Ceske Budejovice, Czech Republic</t>
  </si>
  <si>
    <t>Czech Academy of Sciences; Institute of Botany of the Czech Academy of Sciences; University of Turku; University of South Bohemia Ceske Budejovice</t>
  </si>
  <si>
    <t>Lanta, V (corresponding author), Acad Sci Czech Republ, Inst Bot, Sect Plant Ecol, Dukelska 135, CZ-37982 Trebon, Czech Republic.</t>
  </si>
  <si>
    <t>vojlan@utu.fi</t>
  </si>
  <si>
    <t>Mudrák, Ondřej/H-1614-2014; Doležal, Jiří/H-1583-2014; Lanta, Vojtech/J-7032-2017</t>
  </si>
  <si>
    <t>Mudrák, Ondřej/0000-0001-7775-0414; Dolezal, Jiri/0000-0002-5829-4051; Lanta, Vojtech/0000-0003-4484-3838</t>
  </si>
  <si>
    <t>[620/11/03 6000508502]; [206/05/H012]; [526/06/0723]; [526/07/0808]</t>
  </si>
  <si>
    <t>; ; ;</t>
  </si>
  <si>
    <t>The authors are indebted to Jiri Mach and Lucie Dolezalova for their help in the field and Jan W. Jongepier for correcting the English of the text. The experiment was supported by grants VaV 620/11/03 6000508502. P.L. and V.L. were financially supported by grants 206/05/H012 and 526/06/0723, and 526/07/0808 (GACR), respectively.</t>
  </si>
  <si>
    <t>0142-5242</t>
  </si>
  <si>
    <t>1365-2494</t>
  </si>
  <si>
    <t>GRASS FORAGE SCI</t>
  </si>
  <si>
    <t>Grass Forage Sci.</t>
  </si>
  <si>
    <t>10.1111/j.1365-2494.2009.00709.x</t>
  </si>
  <si>
    <t>Agronomy</t>
  </si>
  <si>
    <t>519QX</t>
  </si>
  <si>
    <t>WOS:000271783500011</t>
  </si>
  <si>
    <t>Cop, J; Vidrih, M; Hacin, J</t>
  </si>
  <si>
    <t>Cop, J.; Vidrih, M.; Hacin, J.</t>
  </si>
  <si>
    <t>wet grassland; cutting regime; fertilizer application; botanical composition; plant diversity; herbage yield; nutritive value</t>
  </si>
  <si>
    <t>WETLAND HAY MEADOWS; INORGANIC FERTILIZERS; SOMERSET MOORS; NITROGEN; PRODUCTIVITY; VEGETATION; PHOSPHORUS; LIVESTOCK; DATE</t>
  </si>
  <si>
    <t>The changes in dry matter (DM) yield, botanical composition and nutritive value of herbage to ruminants of two wet grasslands, Arrhenatherum elatius grassland (Experiment 1) and a Molinia caerulea fen meadow (Experiment 2), in which a range of cutting and fertilizer treatments were imposed in 1999, were assessed after 4-7 years of treatment imposition. Both experiments had a split-plot design with four replicates. In Experiment 1 the three main-plot cutting treatments were two cuts with a delayed first cut, three cuts and four cuts during the growing season of each year. In Experiment 2 the cutting treatments were two cuts with a traditional harvest time, two cuts with a delayed first cut and three cuts. The four sub-plot fertilizer treatments were an unfertilized control, application of a phosphorus and potassium (PK) fertilizer, application of a nitrogen (N) and PK fertilizer to the first cut only (N(1)PK) and application of PK plus N applied to each of two, three or four cuts (N(c)PK). Application of fertilizer influenced yield and botanical composition of herbage more than the cutting treatments while the opposite occurred for nutritive value of the herbage. Application of fertilizer increased the proportion of tall grasses in Experiment 1 and forbs in Experiment 2. The proportion of Equisetum palustre, present only in Experiment 1, was reduced from 0 center dot 33 to less than 0 center dot 01 by increased cutting frequency together with the NPK fertilizer treatments. In Experiment 1 diversity of vascular plants was negatively affected only by the four-cuts treatment while on both wet grasslands other cutting and fertilizer application treatments had no effect. Changes in DM yield of herbage caused by the cutting and fertilizer application treatments were similar for both vegetation types with DM yield increased significantly by fertilizer application but only slightly or not reduced by increasing the cutting frequency. Nutritive value of herbage was positively correlated with cutting frequency and was most influenced at the first cut.</t>
  </si>
  <si>
    <t>[Cop, J.; Vidrih, M.; Hacin, J.] Univ Ljubljana, Biotech Fac, SI-1000 Ljubljana, Slovenia</t>
  </si>
  <si>
    <t>Cop, J (corresponding author), Univ Ljubljana, Biotech Fac, Jamnikarjeva 101, SI-1000 Ljubljana, Slovenia.</t>
  </si>
  <si>
    <t>jure.cop@bf.uni-lj.si</t>
  </si>
  <si>
    <t>Municipal community of the city of Ljubljana; Ministry of Agriculture, Forestry and Food of Slovenia; Ministry of Science and Technology of Slovenia</t>
  </si>
  <si>
    <t>This work was supported financially by the Municipal community of the city of Ljubljana, the Ministry of Agriculture, Forestry and Food of Slovenia and the Ministry of Science and Technology of Slovenia. The authors wish to thank Prof. Katarina Kosmelj for her statistical assistance, Prof. John A. Milne for his thorough technical editing, Prof. Grant R. Edwards and the anonymous referee for their valuable comments on the manuscript and Bostjan Medved for his technical support.</t>
  </si>
  <si>
    <t>WILEY-BLACKWELL PUBLISHING, INC</t>
  </si>
  <si>
    <t>MALDEN</t>
  </si>
  <si>
    <t>COMMERCE PLACE, 350 MAIN ST, MALDEN 02148, MA USA</t>
  </si>
  <si>
    <t>10.1111/j.1365-2494.2009.00713.x</t>
  </si>
  <si>
    <t>WOS:000271783500012</t>
  </si>
  <si>
    <t>Gross, N; Bloor, JMG; Louault, F; Maire, V; Soussana, JF</t>
  </si>
  <si>
    <t>Gross, Nicolas; Bloor, Juliette M. G.; Louault, Frederique; Maire, Vincent; Soussana, Jean-Francois</t>
  </si>
  <si>
    <t>Above-ground biomass production; Biodiversity effect; Grasslands; Fertilisation; Intensification; Mowing; Land use; Spatial stability; Species richness</t>
  </si>
  <si>
    <t>ECOSYSTEM FUNCTION; BIODIVERSITY; NITROGEN; RICHNESS; COMPLEMENTARITY; COEXISTENCE; MECHANISMS; IDENTITY; TRAITS; LITTER</t>
  </si>
  <si>
    <t>Understanding the interplay between land-use change, species diversity and ecosystem function is critical for the prediction of global change impacts on ecosystem services. Biodiversity experiments with artificial species assemblages have shown that community-scale species richness may affect ecosystem productivity and spatial stability. However, the use of synthetic communities with controlled levels of species density for biodiversity experiments has been criticised and their relevance for natural communities has been questioned. Here, we use a land-use change experiment to investigate the biodiversity effects on production within managed, upland grasslands. We examine species diversity and productivity at both the small plant-neighbourhood scale (14 x 14 cm) and the field scale (15 m x 25 m) for two land-use trajectories under field conditions: intensification through fertilisation, and extensification through the cessation of mowing. Both intensification and extensification were associated with a decrease in species number, but the magnitude of this decrease was greater at the small scale. Extensification was associated with a decrease in small-scale productivity whereas intensification had no significant effect on small-scale productivity. Effects of land-use treatments on biomass production were mediated by variation in small-scale species number; species number showed a significant positive relationship with small-scale productivity within each land-use treatment. Furthermore, species number was associated with a decrease in the variance of small-scale green biomass. In contrast, no species diversity effects were found on productivity at the field scale. Instead, field-scale species diversity decreased with increase in the total above-ground biomass (green biomass + litter). This study demonstrates that biodiversity effects can be observed under field conditions at the small scale and may play an important role for ecosystem functioning and stability even in low-diversity plant communities. (C) 2009 Gesellschaft fur Okologie. Published by Elsevier Gmbh. All rights reserved.</t>
  </si>
  <si>
    <t>[Gross, Nicolas; Bloor, Juliette M. G.; Louault, Frederique; Maire, Vincent; Soussana, Jean-Francois] INRA, UREP, Grassland Ecosyst Res Unit, UR874, F-63100 Clermont Ferrand, France</t>
  </si>
  <si>
    <t>INRAE</t>
  </si>
  <si>
    <t>Gross, N (corresponding author), Lincoln Univ, Bioprotect Res Ctr, POB 84, Lincoln 7647, New Zealand.</t>
  </si>
  <si>
    <t>Nicolas.Gross@lincoln.ac.nz</t>
  </si>
  <si>
    <t>Soussana, Jean-Francois/KAM-4127-2024; Gross, Nicolas/I-2368-2016; Bloor, Juliette/ABB-9687-2021; Soussana, Jean-Francois/P-2094-2016</t>
  </si>
  <si>
    <t>Gross, Nicolas/0000-0001-9730-3240; Bloor, Juliette MG/0000-0002-8668-1323; Maire, Vincent/0000-0002-3245-2568; Soussana, Jean-Francois/0000-0002-1932-6583</t>
  </si>
  <si>
    <t>French ANR</t>
  </si>
  <si>
    <t>French ANR(Agence Nationale de la Recherche (ANR))</t>
  </si>
  <si>
    <t>This study was supported by a French ANR project grant. We thank O. Darsonville and B. Pons for technical assistance and help with botanical identification; Klaus Hovemeyer and the three anonymous reviewers for their constructive comments on earlier versions of the manuscript.</t>
  </si>
  <si>
    <t>ELSEVIER GMBH</t>
  </si>
  <si>
    <t>MUNICH</t>
  </si>
  <si>
    <t>HACKERBRUCKE 6, 80335 MUNICH, GERMANY</t>
  </si>
  <si>
    <t>1618-0089</t>
  </si>
  <si>
    <t>10.1016/j.baae.2009.09.001</t>
  </si>
  <si>
    <t>544XU</t>
  </si>
  <si>
    <t>WOS:000273694600001</t>
  </si>
  <si>
    <t>Schmitt, CB; Senbeta, F; Denich, M; Preisinger, H; Boehmer, HJ</t>
  </si>
  <si>
    <t>Schmitt, Christine B.; Senbeta, Feyera; Denich, Manfred; Preisinger, Helmut; Boehmer, Hans Juergen</t>
  </si>
  <si>
    <t>AFRICAN JOURNAL OF ECOLOGY</t>
  </si>
  <si>
    <t>certification; Coffea arabica; coffee yield; conservation; forest disturbance; ordination</t>
  </si>
  <si>
    <t>REGENERATION; RESOURCES; ARABICA; UGANDA</t>
  </si>
  <si>
    <t>Coffea arabica occurs naturally in the montane rainforests of Ethiopia, but large areas of these unique forests have been converted to other land-uses. In the remaining forest, wild coffee is managed and harvested with increasing intensity because of rising coffee prices in the world market. This study evaluated the impact of coffee management on wild coffee populations and the forest vegetation as a basis for conservation planning in southwestern Ethiopia. Vegetation surveys and yield assessments were carried out in unmanaged natural forest and in managed semi-forest coffee (SFC) systems. Analyses show that wild coffee density and coffee yields were low in natural forest (max. 15 kg ha(-1) year(-1)). In SFC systems, 30% of the canopy trees and most undergrowth vegetation were removed. This stimulated wild coffee growth and strongly enhanced yields (max. 54 kg ha(-1) year(-1)), but severely disturbed forest structure. Species richness increased by 26% because of an increase in species of ruderal and secondary vegetation; however, species richness and abundance of typical forest species declined. Conservation of the natural forest therefore requires the control of wild coffee management. Wild coffee certification is discussed as one tool to reconcile conservation measures and the interests of local farmers.</t>
  </si>
  <si>
    <t>[Schmitt, Christine B.] Univ Freiburg, Inst Landscape Management, D-79106 Freiburg, Germany; [Schmitt, Christine B.; Senbeta, Feyera; Denich, Manfred] Univ Bonn, Ctr Dev Res ZEF, D-53113 Bonn, Germany; [Senbeta, Feyera] ECFF, Addis Ababa, Ethiopia; [Boehmer, Hans Juergen] Univ Bonn, Interdisciplinary Latin Amer Ctr ILZ, D-53113 Bonn, Germany; [Boehmer, Hans Juergen] Tech Univ Munich, Dept Ecol, D-85350 Freising Weihenstephan, Germany</t>
  </si>
  <si>
    <t>University of Freiburg; University of Bonn; University of Bonn; Technical University of Munich</t>
  </si>
  <si>
    <t>Schmitt, CB (corresponding author), Univ Freiburg, Inst Landscape Management, Tennenbacher Str 4, D-79106 Freiburg, Germany.</t>
  </si>
  <si>
    <t>christine.schmitt@landespflege.uni-freiburg.de</t>
  </si>
  <si>
    <t>Boehmer, Juergen/KBQ-8073-2024; Boehmer, Hans/AAO-7599-2020; Schmitt, Christine/H-9044-2019</t>
  </si>
  <si>
    <t>Boehmer, Juergen/0000-0002-9176-4836; Schmitt, Christine B/0000-0002-8527-9682; Senbeta, Feyera/0000-0002-6502-4797;</t>
  </si>
  <si>
    <t>German Federal Ministry for Education and Research [01LM0201]</t>
  </si>
  <si>
    <t>German Federal Ministry for Education and Research(Federal Ministry of Education &amp; Research (BMBF))</t>
  </si>
  <si>
    <t>This study was financed by the German Federal Ministry for Education and Research (BMBF) through the project 'Conservation and use of wild populations of Coffea arabica in the montane rainforests of Ethiopia (CoCE)' (project number 01LM0201).</t>
  </si>
  <si>
    <t>WILEY-BLACKWELL</t>
  </si>
  <si>
    <t>0141-6707</t>
  </si>
  <si>
    <t>AFR J ECOL</t>
  </si>
  <si>
    <t>Afr. J. Ecol.</t>
  </si>
  <si>
    <t>10.1111/j.1365-2028.2009.01084.x</t>
  </si>
  <si>
    <t>551IF</t>
  </si>
  <si>
    <t>WOS:000274199800011</t>
  </si>
  <si>
    <t>Tozer, DC; Burke, DM; Nol, E; Elliott, KA</t>
  </si>
  <si>
    <t>Tozer, Douglas C.; Burke, Dawn M.; Nol, Erica; Elliott, Ken A.</t>
  </si>
  <si>
    <t>Forest bird community; Group-selection harvesting; Partial harvesting; Single-tree selection harvesting; Uneven-aged management</t>
  </si>
  <si>
    <t>TIMBER HARVEST; CREATED GAPS; HABITAT; COMMUNITIES; SONGBIRDS; ABUNDANCE; SUCCESS; TREES</t>
  </si>
  <si>
    <t>We used a before-after, control-impact design (one year pre-harvest, two years post-harvest) and unlimited-radius point counts to study the effects of typical group-selection harvesting (0.5 gaps ha(-1) placed near seed trees within a standard single-tree selection harvest) and intensive group-selection harvesting (4 gaps ha(-1) placed on a grid with no harvesting between gaps) on the composition and abundance of breeding birds in tolerant hardwood forests in Algonquin Provincial Park, Ontario. Percent similarity between pre- and post-harvest bird communities was 5-9% lower in selection harvested stands than in reference stands. Differences in percent similarity among the three treatments were not significant, however, suggesting that the changes in the bird community in stands harvested with group selection were not substantially different than those in reference stands. Abundance of aerial foragers and tree-and-shrub nesters increased in response to typical and intensive group selection in the second year post-harvest. By contrast, bark foragers and cavity-nesters decreased in the first year post-harvest and then increased in the second year post-harvest in response to typical group selection. Abundance of 16(73%) of 22 species was not affected by harvesting. Blue Jay (Cyanocitta cristata), Chestnut-sided Warbler (Dendroica pensylyanica), Least Flycatcher (Empidonax minimus), and White-throated Sparrow (Zonotrichia albicollis) increased in response to intensive group selection in the first or second year post-harvest, whereas Chestnut-sided Warbler, Hairy Woodpecker (Picoides yillosus), and White-throated Sparrow increased in response to typical group selection in the first or second year post-harvest. Ovenbird (Seiurus aurocapilla) decreased slightly in response to typical group selection in the second year post-harvest. Our short-term data suggest that intensive, rather than typical, group-selection harvesting is preferred for maintaining densities of cavity-nesting birds and Ovenbird; whether these advantages continue through the remainder of the cutting cycle and beyond requires further investigation. (C) 2010 Elsevier B.V. All rights reserved.</t>
  </si>
  <si>
    <t>[Tozer, Douglas C.] Trent Univ, Environm &amp; Life Sci Grad Program, Ctr Environm Sci, Peterborough, ON K9J 7B8, Canada; [Burke, Dawn M.; Elliott, Ken A.] Ontario Minist Nat Resources, London, ON N6E 1L3, Canada; [Nol, Erica] Trent Univ, Dept Biol, Ctr Environm Sci, Peterborough, ON K9J 7B8, Canada</t>
  </si>
  <si>
    <t>Trent University; Ministry of Natural Resources &amp; Forestry; Trent University</t>
  </si>
  <si>
    <t>Tozer, DC (corresponding author), Trent Univ, Environm &amp; Life Sci Grad Program, Ctr Environm Sci, 1600 W Bank Dr, Peterborough, ON K9J 7B8, Canada.</t>
  </si>
  <si>
    <t>dtozer@trentu.ca</t>
  </si>
  <si>
    <t>Algonquin Forestry Authority; Bancroft-Minden Forest Co.; Canadian Forest Service; Canadian Wildlife Service; Enhanced Forest Productivity Science Program; Mazinaw-Lanark Forest Inc.; Natural Sciences and Engineering Research Council of Canada; Ontario Ministry of Natural Resources; Ottawa Valley Forest Inc.; Tembec Inc.; Trent University; Westwind Forest Stewardship; Ontario Graduate Scholarship in science and technology</t>
  </si>
  <si>
    <t>Algonquin Forestry Authority; Bancroft-Minden Forest Co.; Canadian Forest Service(Natural Resources CanadaCanadian Forest Service); Canadian Wildlife Service; Enhanced Forest Productivity Science Program; Mazinaw-Lanark Forest Inc.; Natural Sciences and Engineering Research Council of Canada(Natural Sciences and Engineering Research Council of Canada (NSERC)CGIAR); Ontario Ministry of Natural Resources; Ottawa Valley Forest Inc.; Tembec Inc.; Trent University; Westwind Forest Stewardship; Ontario Graduate Scholarship in science and technology</t>
  </si>
  <si>
    <t>We thank K. Fletcher and the Algonquin Forestry Authority for their enthusiastic participation in the project. E. Proctor kindly took time to conduct point counts. K. Falk provided valuable comments and statistical advice. P. Gelok, B. Steinberg, and the staff at the Algonquin Park Wildlife Research Station helped with logistics. Two anonymous referees improved the paper. Funding and in-kind support was provided by Algonquin Forestry Authority, Bancroft-Minden Forest Co., Canadian Forest Service, Canadian Wildlife Service, Enhanced Forest Productivity Science Program, Mazinaw-Lanark Forest Inc., Natural Sciences and Engineering Research Council of Canada, Ontario Ministry of Natural Resources, Ottawa Valley Forest Inc., Tembec Inc., Trent University, and Westwind Forest Stewardship. DCT was supported by an Ontario Graduate Scholarship in science and technology.</t>
  </si>
  <si>
    <t>MAR 31</t>
  </si>
  <si>
    <t>10.1016/j.foreco.2010.01.028</t>
  </si>
  <si>
    <t>578KS</t>
  </si>
  <si>
    <t>WOS:000276292900019</t>
  </si>
  <si>
    <t>Scursoni, JA; Satorre, EH</t>
  </si>
  <si>
    <t>Scursoni, J. A.; Satorre, Emilio H.</t>
  </si>
  <si>
    <t>CROP PROTECTION</t>
  </si>
  <si>
    <t>Herbicide-resistant soybean; Glyphosate management; Large crabgrass; Spurred anoda; Nutsedges</t>
  </si>
  <si>
    <t>COMMUNITY COMPOSITION; CROP-ROTATION; LONG-TERM; TILLAGE; HERBICIDES; RICHNESS; SEEDBANK; DENSITY</t>
  </si>
  <si>
    <t>From their introduction in 1996, glyphosate resistant (GR) soybean cultivars have been rapidly adopted by farmers in Argentina and in other countries in the world. The high rate of adoption of this technology seems to be based on the simplicity of use provided by a single herbicide (glyphosate), its high efficacy to control many weeds and, the low costs of the technology relative to that used in conventional crops. During 2001-2002, 2002-2003 and 2003-2004 soybean growing seasons, field surveys and field experiments were performed with the aim of studying the effect of different glyphosate management strategies on the diversity of soybean weed communities, weed control, individual survival, fecundity and crop yield. In addition, the emergence pattern of three important weeds. Digitaria sanguinalis, Cyperus rotundus and Anoda cristata, was also studied. Both field surveys and field experiments were carried out on no-till soybean crops sown immediately after wheat or barley harvest (double cropped system). Experiments were set up in commercial soybean crops and consisted of different times of a single glyphosate application, two glyphosate applications and also the application of glyphosate plus a residual herbicide imazethapyr. A. cristata, D. sanguinalis, Stellaria media, Chenopodium album and Cyperus sp. were the most prevalent weeds recorded at pre-harvest of the soybean crops, showing regional constancy higher than 80% in both years. In three out of four field experiments, crop yield was not increased when glyphosate was applied twice compared with a single application of the herbicide. In addition there was a lower negative effect on weed species richness when glyphosate was applied once during the crop cycle than with two applications of glyphosate or glyphosate plus imazethapyr. D. sanguinalis escaped the glyphosate early treatment because of the long weed emergence period, while A. cristata and C. rotundus survived treatments due to their high individual tolerance. The results suggest that it is possible to manage glyphosate application to get high crop yield with a low impact on weed diversity, depending on the weed species and their abundance. (C) 2010 Elsevier Ltd. All rights reserved.</t>
  </si>
  <si>
    <t>[Scursoni, J. A.] FAUBA, Catedra Prod Vegetal, RA-1417 Buenos Aires, DF, Argentina; [Satorre, Emilio H.] FAUBA, Catedra Cerealicultura, RA-1417 Buenos Aires, DF, Argentina</t>
  </si>
  <si>
    <t>University of Buenos Aires; University of Buenos Aires</t>
  </si>
  <si>
    <t>Scursoni, JA (corresponding author), FAUBA, Catedra Prod Vegetal, Av San Martin 4453, RA-1417 Buenos Aires, DF, Argentina.</t>
  </si>
  <si>
    <t>scursoni@agro.uba.ar</t>
  </si>
  <si>
    <t>Agenda Nacional de Promocion Cientifica y Tecnologica, Ministerio de Ciencia, Tecnologia e Innovacion Productiva, Argentina [PICT: 08-0665, PICT 08-14403]</t>
  </si>
  <si>
    <t>Agenda Nacional de Promocion Cientifica y Tecnologica, Ministerio de Ciencia, Tecnologia e Innovacion Productiva, Argentina</t>
  </si>
  <si>
    <t>This work was financially supported by the Projects PICT: 08-0665 and PICT 08-14403 Agenda Nacional de Promocion Cientifica y Tecnologica, Ministerio de Ciencia, Tecnologia e Innovacion Productiva, Argentina.</t>
  </si>
  <si>
    <t>0261-2194</t>
  </si>
  <si>
    <t>1873-6904</t>
  </si>
  <si>
    <t>CROP PROT</t>
  </si>
  <si>
    <t>Crop Prot.</t>
  </si>
  <si>
    <t>SEP</t>
  </si>
  <si>
    <t>10.1016/j.cropro.2010.05.001</t>
  </si>
  <si>
    <t>641EN</t>
  </si>
  <si>
    <t>WOS:000281107700008</t>
  </si>
  <si>
    <t>Hejcman, M; Cesková, M; Schellberg, J; Pätzold, S</t>
  </si>
  <si>
    <t>Hejcman, Michal; Ceskova, Michaela; Schellberg, Juergen; Paetzold, Stefan</t>
  </si>
  <si>
    <t>The Rengen Grassland Experiment: Effect of Soil Chemical Properties on Biomass Production, Plant Species Composition and Species Richness</t>
  </si>
  <si>
    <t>FOLIA GEOBOTANICA</t>
  </si>
  <si>
    <t>Competition; Long-term fertilizer application; Nardus stricta grassland; Nutrient limitation; Phosphorus depletion and accumulation; Plant-soil interaction; Sampling area</t>
  </si>
  <si>
    <t>MEADOW HAY PLOTS; N-P RATIOS; NUTRIENT LIMITATION; FERTILIZER APPLICATION; PHOSPHORUS RATIOS; VEGETATION; NITROGEN; MANAGEMENT; DIVERSITY; DYNAMICS</t>
  </si>
  <si>
    <t>The Rengen Grassland Experiment (RGE), set up on a Nardus grassland in 1941, consists of a control and five fertilizer treatments (Ca, CaN, CaNP, CaNP-KCl and CaNP-K2SO4). In 2005, soil chemical properties were analyzed to investigate the effect of soil variables on biomass production, plant species composition and species richness of vascular plants. Further, the effect of sampling scale (from 0.02 to 5.76 m(2)) on species richness was investigated. Soil properties (plant-available contents of K, P, C: N ratio, and pH) and biomass production were found to be strictly dependent on the fertilizers applied. Diversification of soil P content between treatments with and without P application is still in progress. Biomass production was most positively affected by P and K soil contents under N application. Furthermore, pH had a small positive effect on biomass production, and C: N ratio a moderately negative one. Two types of nutrient limitation were recognized: (1) limitation of total biomass production and (2) limitation of individual plant species. Long-term addition of a limiting nutrient affected the grassland ecosystem in three ways: (1) causing a change in plant species composition without significant increase in total biomass production, (2) causing no change in species composition but with significant increase in total biomass production, and (3) causing substantial change in plant species composition accompanied by significant increase in total biomass production. The explanatory power of all measured soil properties on plant species composition was almost the same as the power of the treatment effect (61.7% versus 62% of explained variability in RDA). The most powerful predictors of plant species composition were soil P, K and Mg contents, pH, and biomass production. The soil P content and biomass production were the only variables leading to a significant negative effect on species richness. An almost parallel increase in species richness with increasing sampling area was detected in all treatments. Constant differences among treatments were independent of sampling area.</t>
  </si>
  <si>
    <t>[Schellberg, Juergen; Paetzold, Stefan] Univ Bonn, Inst Crop Sci &amp; Resource Conservat, D-53115 Bonn, Germany; [Ceskova, Michaela] Czech Univ Life Sci, Dept Dendrol &amp; Forest Tree Breeding, Prague 6, Suchdol, Czech Republic; [Hejcman, Michal] Crop Res Inst, Dept Nutr Management, Prague 6, Ruzyne, Czech Republic; [Hejcman, Michal] Czech Univ Life Sci, Dept Ecol, Fac Environm Sci, Prague 6, Suchdol, Czech Republic</t>
  </si>
  <si>
    <t>University of Bonn; Czech University of Life Sciences Prague; CARC Czech Agrifood Research Center; Czech Crop Research Institute (CRI); Czech University of Life Sciences Prague</t>
  </si>
  <si>
    <t>Schellberg, J (corresponding author), Univ Bonn, Inst Crop Sci &amp; Resource Conservat, D-53115 Bonn, Germany.</t>
  </si>
  <si>
    <t>j.schellberg@uni-bonn.de</t>
  </si>
  <si>
    <t>; Pätzold, Stefan/J-6521-2016</t>
  </si>
  <si>
    <t>Hejcman, Michal/0000-0002-3513-2017;</t>
  </si>
  <si>
    <t>Czech projects [GACR 521/08/1131, MZE 0002700604]</t>
  </si>
  <si>
    <t>Czech projects</t>
  </si>
  <si>
    <t>Special thanks for sample preparation go to the last administrator Dieter Hoffman-Gaber and technician Manfred Schwickerath. Some soil analyses data were part of the diploma thesis by Daniel Bosse. Two anonymous reviewers and Jorg Ewald are gratefully acknowledged for their useful comments. The completion of the present paper was funded by the Czech projects GACR 521/08/1131 and MZE 0002700604.</t>
  </si>
  <si>
    <t>1211-9520</t>
  </si>
  <si>
    <t>1874-9348</t>
  </si>
  <si>
    <t>FOLIA GEOBOT</t>
  </si>
  <si>
    <t>Folia Geobot.</t>
  </si>
  <si>
    <t>10.1007/s12224-010-9062-9</t>
  </si>
  <si>
    <t>Plant Sciences</t>
  </si>
  <si>
    <t>642JI</t>
  </si>
  <si>
    <t>WOS:000281207800002</t>
  </si>
  <si>
    <t>Slade, EM; Mann, DJ; Lewis, OT</t>
  </si>
  <si>
    <t>Slade, Eleanor M.; Mann, Darren J.; Lewis, Owen T.</t>
  </si>
  <si>
    <t>Scarabaeinae; Dung removal; Seed dispersal; Forest management; Biodiversity-ecosystem functioning</t>
  </si>
  <si>
    <t>COMMUNITY STRUCTURE; RAIN-FORESTS; DIVERSITY; FRAGMENTATION; SCARABAEIDAE; CONSEQUENCES; CONSERVATION; COLEOPTERA; DISPERSAL; SECONDARY</t>
  </si>
  <si>
    <t>A key challenge for tropical conservation biologists is to assess how forest management practices affect biodiversity and associated ecosystem functions. Dung beetles (Scarabaeidae: Scarabaeinae) provide an ideal focal guild for such studies. We compared dung beetle assemblages and experimentally assessed rates of dung removal and seed burial in undisturbed forest, low-intensity selectively logged forest under sustainable forest management, and high-intensity logged forest, not under sustainable management in Malaysian Borneo. In total, 7923 individuals from 39 species of dung beetle were collected. There were no significant differences in abundance, biomass or diversity across sites. Species richness was significantly lower in the high-intensity logged sites. Beta diversity was low: of 35 species recorded in undisturbed forest sites, 32 were also captured in low-intensity sites and 29 in high-intensity sites. The environmental and vegetation variables measured had little influence on species composition. An average of 63-99% of dung was removed over 24 h. Mean dung and seed removal were significantly lower in the high-intensity logged sites. Dung removal rates were significantly and positively correlated with dung beetle species richness, but not with dung beetle biomass or abundance. However, the biomass of large-bodied, nocturnal dung beetles was positively correlated with dung removal. In contrast to previous studies, dung beetle biomass and abundance were not correlated with species richness, indicative of density compensation. Overall, dung beetle communities and associated ecosystem functions were robust to low-intensity but not high-intensity selective logging. These differences may be related to changes in the abundance and biomass of particular dung beetle species or guilds rather than community-wide measures of abundance and biomass, highlighting the need to move beyond simplistic biodiversity-ecosystem functioning correlations to understand the functional consequences of habitat modification in high-diversity ecosystems. (C) 2010 Elsevier Ltd. All rights reserved.</t>
  </si>
  <si>
    <t>[Slade, Eleanor M.; Lewis, Owen T.] Univ Oxford, Dept Zool, Oxford OX1 3PS, England; [Slade, Eleanor M.] Univ Oxford, Wildlife Conservat Res Unit, Dept Zoology, Abingdon OX13 5QL, Oxon, England; [Mann, Darren J.] Univ Oxford, Museum Nat Hist, Oxford OX1 3PW, England</t>
  </si>
  <si>
    <t>University of Oxford; University of Oxford; University of Oxford</t>
  </si>
  <si>
    <t>Slade, EM (corresponding author), Univ Oxford, Dept Zool, S Parks Rd, Oxford OX1 3PS, England.</t>
  </si>
  <si>
    <t>eleanor.slade@zoo.ox.ac.uk</t>
  </si>
  <si>
    <t>Slade, Eleanor/O-3874-2014; Mann, Darren/AAC-1049-2020; Lewis, Owen/ABF-7627-2020</t>
  </si>
  <si>
    <t>Slade, Eleanor/0000-0002-6108-1196; Lewis, Owen/0000-0001-7935-6111; Mann, Darren/0000-0002-6732-6940</t>
  </si>
  <si>
    <t>NERC-CASE; Natural History Museum, London; Royal Society; Royal Society [224]</t>
  </si>
  <si>
    <t>NERC-CASE(UK Research &amp; Innovation (UKRI)Natural Environment Research Council (NERC)); Natural History Museum, London; Royal Society(Royal Society UK); Royal Society(Royal Society UK)</t>
  </si>
  <si>
    <t>We thank the Danum Valley Management Committee and the Economic Planning Unit of the Prime Minister's Department for permission. Jerome Villanueva, Arthur Chung, Chris Lyal, Glen Reynolds, Robert Bagchi, Tom Bell, and Chris Grobler provided invaluable support and assistance. We thank Ismail Samat, Shadih Samat, Petrus Boy, Jamil Hanapi and Johnny Larenus for their help in the field, and Tioman Baru for providing cattle dung. E.M.S. was funded by a NERC-CASE studentship with the Natural History Museum, London. O.T.L. was supported by a Royal Society University Research Fellowship. This study was conducted under Permit No. EPU Ruj. UPE: 40/200/19 SJ. 1159 and is project number 224 under the Royal Society SEARRP.</t>
  </si>
  <si>
    <t>10.1016/j.biocon.2010.08.011</t>
  </si>
  <si>
    <t>719AA</t>
  </si>
  <si>
    <t>WOS:000287168100017</t>
  </si>
  <si>
    <t>Geiger, F; de Snoo, GR; Berendse, F; Guerrero, I; Morales, MB; Oñate, JJ; Eggers, S; Pärt, T; Bommarco, R; Bengtsson, J; Clement, LW; Weisser, WW; Olszewski, A; Ceryngier, P; Hawro, V; Inchausti, P; Fischer, C; Flohre, A; Thies, C; Tscharntke, T</t>
  </si>
  <si>
    <t>Geiger, Flavia; de Snoo, Geert R.; Berendse, Frank; Guerrero, Irene; Morales, Manuel B.; Onate, Juan J.; Eggers, Sonke; Part, Tomas; Bommarco, Riccardo; Bengtsson, Jan; Clement, Lars W.; Weisser, Wolfgang W.; Olszewski, Adam; Ceryngier, Piotr; Hawro, Violetta; Inchausti, Pablo; Fischer, Christina; Flohre, Andreas; Thies, Carsten; Tscharntke, Teja</t>
  </si>
  <si>
    <t>Landscape composition influences farm management effects on farmland birds in winter: A pan-European approach</t>
  </si>
  <si>
    <t>Organic farming; Farming practice; Agricultural intensification; Arable; Agri-environment scheme</t>
  </si>
  <si>
    <t>AGRI-ENVIRONMENT SCHEMES; CONVENTIONAL ARABLE FARMS; AGRICULTURAL INTENSIFICATION; GRANIVOROUS BIRDS; POPULATION TRENDS; SOUTHERN ENGLAND; STUBBLE FIELDS; SPECIES RICHNESS; SURVIVAL RATES; WHEAT FIELDS</t>
  </si>
  <si>
    <t>This study examined the effects of agricultural intensity, various farming practices, landscape composition and vegetation cover on the abundance and species richness of wintering farmland birds, assessed simultaneously across seven European regions. The abundance and species richness of wintering farmland birds were negatively affected by agricultural intensity. The effects of yield and farm type were interlinked. Of the 10 farming practices assessed, mechanical weeding and the amount of organic fertilizer applied negatively affected farmland birds, presumably due to reduced food availability on arable fields. Positive effects of organic farming on farmland birds proved to be limited to simplified landscapes. More farmland birds were observed in areas with more stubble, pasture and green manure crops. Species richness was higher in areas with more pasture. The results of this study show that farm management, vegetation cover and landscape composition all influence wintering farmland birds. Heterogeneous landscapes comprising arable crops as well as grasslands support most species of farmland birds in winter. The effectiveness of organic farming and agri-environment schemes depends on landscape composition. Therefore, different agri-environment schemes should be designed for different landscape types. (c) 2010 Elsevier B.V. All rights reserved.</t>
  </si>
  <si>
    <t>[Geiger, Flavia; de Snoo, Geert R.; Berendse, Frank] Wageningen Univ, Nat Conservat &amp; Plant Ecol Grp, NL-6700 AA Wageningen, Netherlands; [de Snoo, Geert R.] Leiden Univ, NL-2300 RA Leiden, Netherlands; [Guerrero, Irene; Morales, Manuel B.; Onate, Juan J.] Univ Autonoma Madrid, Dept Ecol, E-28049 Madrid, Spain; [Eggers, Sonke; Part, Tomas; Bommarco, Riccardo; Bengtsson, Jan] Swedish Univ Agr Sci, Dept Ecol, S-75007 Uppsala, Sweden; [Clement, Lars W.; Weisser, Wolfgang W.] Univ Jena, Inst Ecol, D-07743 Jena, Germany; [Olszewski, Adam] Kampinos Natl Pk, PL-05080 Izabelin, Poland; [Hawro, Violetta] Polish Acad Sci, Ctr Ecol Res, PL-05092 Lomianki, Poland; [Inchausti, Pablo] CNRS, Ctr Biol Studies Chize, Villiers En Bois, France; [Fischer, Christina; Flohre, Andreas; Thies, Carsten; Tscharntke, Teja] Univ Gottingen, Dept Crop Sci, D-37073 Gottingen, Germany</t>
  </si>
  <si>
    <t>Wageningen University &amp; Research; Leiden University; Leiden University - Excl LUMC; Autonomous University of Madrid; Swedish University of Agricultural Sciences; Friedrich Schiller University of Jena; Polish Academy of Sciences; Centre National de la Recherche Scientifique (CNRS); University of Gottingen</t>
  </si>
  <si>
    <t>Geiger, F (corresponding author), Wageningen Univ, Nat Conservat &amp; Plant Ecol Grp, POB 47, NL-6700 AA Wageningen, Netherlands.</t>
  </si>
  <si>
    <t>flavia.geiger@wur.nl</t>
  </si>
  <si>
    <t>Ceryngier, Piotr/ADS-1878-2022; Bommarco, Riccardo/E-7109-2016; Fischer, Christina/B-5568-2011; Guerrero, Irene/K-8172-2017; Oñate Rubalcaba, Juan Jose/D-4618-2009; Morales, Manuel/B-1448-2014; Onate, Juan/D-4618-2009; Tscharntke, Teja/N-5123-2014; Weisser, Wolfgang/B-9718-2014; de Snoo, geert/M-4315-2013; Bengtsson, Jan/AAF-2325-2021</t>
  </si>
  <si>
    <t>Ceryngier, Piotr/0000-0003-1085-9751; Bommarco, Riccardo/0000-0001-8888-0476; Fischer, Christina/0000-0001-7784-1105; Berendse, Frank/0009-0005-0623-1517; Guerrero, Irene/0000-0002-5025-2025; Oñate Rubalcaba, Juan Jose/0000-0002-6984-2615; Weisser, Wolfgang/0000-0002-2757-8959; Morales, Manuel B/0000-0001-8534-7895; Tscharntke, Teja/0000-0002-4482-3178; Pärt, Tomas/0000-0001-7388-6672;</t>
  </si>
  <si>
    <t>European Science Foundation; Polish Ministry of Science and Higher Education; Spanish Ministry of Science and Education; German Federal Ministry of Education and Science BMBF; German Research Foundation; Netherlands Organization for Scientific Research; Swedish Research Council; Centre National de la Recherche Scientifique; Departement Ecologie et Developpement Durable</t>
  </si>
  <si>
    <t>European Science Foundation(European Science Foundation (ESF)); Polish Ministry of Science and Higher Education(Ministry of Science and Higher Education, Poland); Spanish Ministry of Science and Education(Spanish Government); German Federal Ministry of Education and Science BMBF(Federal Ministry of Education &amp; Research (BMBF)); German Research Foundation(German Research Foundation (DFG)); Netherlands Organization for Scientific Research(Netherlands Organization for Scientific Research (NWO)); Swedish Research Council(Swedish Research Council); Centre National de la Recherche Scientifique(Centre National de la Recherche Scientifique (CNRS)); Departement Ecologie et Developpement Durable</t>
  </si>
  <si>
    <t>We are grateful to all ornithologists who conducted the bird surveys. This study is part of the EuroDiversity Agripopes research programme funded by the European Science Foundation and affiliated national science foundations (Polish Ministry of Science and Higher Education, Spanish Ministry of Science and Education, German Federal Ministry of Education and Science BMBF, German Research Foundation, Netherlands Organization for Scientific Research, Swedish Research Council, Centre National de la Recherche Scientifique, Departement Ecologie et Developpement Durable).</t>
  </si>
  <si>
    <t>DEC 15</t>
  </si>
  <si>
    <t>10.1016/j.agee.2010.09.018</t>
  </si>
  <si>
    <t>720JN</t>
  </si>
  <si>
    <t>WOS:000287277100016</t>
  </si>
  <si>
    <t>Summerville, KS</t>
  </si>
  <si>
    <t>Summerville, Keith S.</t>
  </si>
  <si>
    <t>biodiversity; conservation; forest management; landscape; logging; moth; selective harvest; sustainable forestry</t>
  </si>
  <si>
    <t>SPECIES-DIVERSITY; FOLIAR PHENOLICS; LIFE-HISTORY; OAK; COMMUNITY; MANAGEMENT; RICHNESS; MOTH; HERBIVORES; INTENSITY</t>
  </si>
  <si>
    <t>Studies of the effects of timber harvest on forest insect communities have rarely considered how disturbance from a range of harvest levels interacts with temporal variation in species diversity to affect community resistance to change. Here I report the results of a landscape-scale, before-and-after, treatment-control experiment designed to test how communities of forest Lepidoptera experience (1) changes in species richness and composition and (2) shifts in species dominance one year after logging. I sampled Lepidoptera from 20 forest stands allocated to three harvest treatments (control, even-aged shelterwood or clearcuts, and uneven-aged group selection cuts) within three watersheds at Morgan-Monroe State Forest, Indiana, USA. Moths were sampled from all forest stands one year prior to harvest in 2007 and immediately post-harvest in 2009. Species composition was most significantly affected by temporal variation between years, although uneven-aged management also caused significant changes in lepidopteran community structure. Furthermore, species richness of Lepidoptera was higher in 2007 compared to 2009 across all watersheds and forest stands. The decrease in species richness between years, however, was much larger in even-aged and uneven-aged management units compared to the control. Furthermore, matrix stands within the even-aged management unit demonstrated the highest resistance to species loss within any management unit. Species dominance was highly resistant to effects of timber harvest, with pre- and post-harvest values for Simpson diversity nearly invariant. Counter to prediction, however, the suite of dominant taxa differed dramatically among the three management units post-harvest. My results suggest that temporal variation may have strong interactions with timber harvest, precipitating loss of nearly 50% species richness from managed stands regardless of harvest level. Even-aged management, however, appeared to leave the smallest footprint on moth communities. Timber harvest also created greater heterogeneity in species dominance among management units, suggesting that forest watersheds may diverge in post-harvest recovery transients relative to unlogged watersheds in Morgan-Monroe State Forest. Because moth communities appear to be highly sensitive to group-selection cuts, shelterwood cuts, and clearcuts, it will be important to retain unlogged concessions within management units to resist landscape-level loss of Lepidoptera.</t>
  </si>
  <si>
    <t>Drake Univ, Dept Environm Sci &amp; Policy, Des Moines, IA 50311 USA</t>
  </si>
  <si>
    <t>Drake University</t>
  </si>
  <si>
    <t>Summerville, KS (corresponding author), Drake Univ, Dept Environm Sci &amp; Policy, Des Moines, IA 50311 USA.</t>
  </si>
  <si>
    <t>Keith.Summerville@drake.edu</t>
  </si>
  <si>
    <t>Nature Conservancy; Indiana Chapter; Indiana Division of Forestry; Drake University; Hardwood Ecosystems Experiment team; Purdue University</t>
  </si>
  <si>
    <t>This project was funded by grants from The Nature Conservancy, Indiana Chapter, the Indiana Division of Forestry, and Drake University. I am indebted to C. Mycroft, R. Kalb, and J. Riegel for managing sample collection on the ground and for providing logistical support for all aspects of this study. S. Friesen and A. Hess contributed their time and energy to assisting with sample collection. J. Shuey, J. Seifert, T. Crist, B. Dolan, M. Saunders, and D. Vadas contributed their expertise on the ecology of oak-hickory forests in southern Indiana. J. Lane, B. Lang, and A. Archer assisted with sample sorting and specimen curation. R. Brown, E. Metzler, and G. Balogh assisted with specimen identification. This project would not have been possible without the support of the Hardwood Ecosystems Experiment team and Purdue University.</t>
  </si>
  <si>
    <t>10.1890/10-0715.1</t>
  </si>
  <si>
    <t>764VA</t>
  </si>
  <si>
    <t>WOS:000290661300014</t>
  </si>
  <si>
    <t>Schon, NL; Mackay, AD; Gray, RAJ; Minor, MA</t>
  </si>
  <si>
    <t>Schon, N. L.; Mackay, A. D.; Gray, R. A. J.; Minor, M. A.</t>
  </si>
  <si>
    <t>NEW ZEALAND JOURNAL OF AGRICULTURAL RESEARCH</t>
  </si>
  <si>
    <t>pastures; earthworm; mesofauna; oribatid; food availability; treading pressure</t>
  </si>
  <si>
    <t>GRUB COSTELYTRA-ZEALANDICA; GRASS PRODUCTION; PORE-SPACE; DIVERSITY; COUNTRY; FAUNA; POPULATIONS; COLEOPTERA; EARTHWORM; INTENSITY</t>
  </si>
  <si>
    <t>Earthworm abundance increased and Oribatida abundance decreased on a Brown soil with increasing inputs of phosphorus (P) fertiliser and sheep stocking rates. To determine if the same response to increasing management intensity is found in Allophanic soil, samples were collected from a long-term sheep-grazed trial with two contrasting management regimes, low and high intensity. As pastures on the Allophanic soil became more productive and were grazed with more sheep, there was a tendency for earthworm abundance to increase and oribatid abundance to decrease. Both these trends were consistent with those on the Brown soil, supporting the potential of earthworms and Oribatida as biological indicators. Oribatid mites, which produce nutrient rich faecal pellets, were positively correlated with porosity. The higher earthworm abundances in more intensive sheep grazed pastures may have a positive influence on ecosystem services such as air and water movement, and organic matter incorporation.</t>
  </si>
  <si>
    <t>[Schon, N. L.; Minor, M. A.] Massey Univ, Inst Nat Resources, Palmerston North, New Zealand; [Mackay, A. D.; Gray, R. A. J.] AgRes Grasslands, Palmerston North, New Zealand</t>
  </si>
  <si>
    <t>Massey University; AgResearch - New Zealand</t>
  </si>
  <si>
    <t>Schon, NL (corresponding author), AgRes Lincoln, Christchurch, New Zealand.</t>
  </si>
  <si>
    <t>nicole.schon@agresearch.co.nz</t>
  </si>
  <si>
    <t>; Schon, Nicole/E-5828-2011</t>
  </si>
  <si>
    <t>Schon, Nicole/0000-0002-8975-1382; Mackay, Alec/0000-0001-9006-3918;</t>
  </si>
  <si>
    <t>FRST [CO2XO405]; AGMARDT Doctoral Scholarship</t>
  </si>
  <si>
    <t>FRST(New Zealand Foundation for Research, Science and Technology); AGMARDT Doctoral Scholarship</t>
  </si>
  <si>
    <t>We thank GW Yeates for his extensive and altruistic supervision. We thank MJ Hedley for comments on the manuscript. We wish to thank I Power (AgResearch) and S Lambie (Landcare Research) for valuable technical assistance. S Cattle gave guidance on the method for porosity assessment. The project was funded by the FRST contract CO2XO405 and an AGMARDT Doctoral Scholarship.</t>
  </si>
  <si>
    <t>TAYLOR &amp; FRANCIS LTD</t>
  </si>
  <si>
    <t>ABINGDON</t>
  </si>
  <si>
    <t>2-4 PARK SQUARE, MILTON PARK, ABINGDON OR14 4RN, OXON, ENGLAND</t>
  </si>
  <si>
    <t>0028-8233</t>
  </si>
  <si>
    <t>1175-8775</t>
  </si>
  <si>
    <t>NEW ZEAL J AGR RES</t>
  </si>
  <si>
    <t>N. Z. J. Agric. Res.</t>
  </si>
  <si>
    <t>PII 937940344</t>
  </si>
  <si>
    <t>10.1080/00288233.2011.558904</t>
  </si>
  <si>
    <t>Agriculture, Multidisciplinary</t>
  </si>
  <si>
    <t>768WA</t>
  </si>
  <si>
    <t>WOS:000290968200002</t>
  </si>
  <si>
    <t>Chizinski, CJ; Peterson, A; Hanowski, J; Blinn, CR; Vondracek, B; Niemi, G</t>
  </si>
  <si>
    <t>Chizinski, Christopher J.; Peterson, Anna; Hanowski, JoAnn; Blinn, Charles R.; Vondracek, Bruce; Niemi, Gerald</t>
  </si>
  <si>
    <t>Early successional bird species; Mature forest bird species; Partial timber harvest; Riparian management</t>
  </si>
  <si>
    <t>LEAST FLYCATCHERS; FOREST HARVEST; BUFFER STRIPS; COMMUNITIES; HABITAT; SUCCESS; BIODIVERSITY; CORRIDORS; ABUNDANCE; WIDTH</t>
  </si>
  <si>
    <t>We compared avian communities among three timber harvesting treatments in 45-m wide even-age riparian management zones (RMZs) placed between upland clearcuts and along one side of first- or second-order streams in northern Minnesota, USA. The RMZs had three treatments: (1) unharvested, (2) intermediate residual basal area (RBA) (targeted goal 11.5 m(2)/ha, realized 16.0 m(2)/ha), and (3) low RBA (targeted goal 5.7 m(2)/ha, realized 8.7 m(2)/ha). Surveys were conducted one year pre-harvest and three consecutive years post-harvest. There was no change in species richness, diversity, or total abundance associated with harvest but there were shifts in the types of birds within the community. In particular, White-throated Sparrows (Zonon-ichia albicollis) and Chestnut-sided Warblers (Dendroica pensylvanica) increased while Ovenbirds (Seiurus aurocapilla) and Red-eyed Vireos (Vireo olivaceus) decreased. The decline of avian species associated with mature forest in the partially harvested treatments relative to controls indicates that maintaining an unharvested RMZ adjacent to an upland harvest may aid in maintaining avian species associated mature forest in Minnesota for at least three years post-harvest. However, our observations do not reflect reproductive success, which is an area for future research. (C) 2011 Elsevier B.V. All rights reserved.</t>
  </si>
  <si>
    <t>[Chizinski, Christopher J.] Univ Minnesota, Minnesota Fish &amp; Wildlife Cooperat Res Unit, St Paul, MN 55108 USA; [Peterson, Anna; Hanowski, JoAnn; Niemi, Gerald] Univ Minnesota, Nat Resources Res Inst, Duluth, MN 55811 USA; [Blinn, Charles R.] Univ Minnesota, Dept Forest Resources, St Paul, MN 55108 USA; [Vondracek, Bruce] Univ Minnesota, Minnesota Cooperat Fish &amp;Wildlife Res Unit, US Geol Survey, St Paul, MN 55108 USA</t>
  </si>
  <si>
    <t>University of Minnesota System; University of Minnesota Twin Cities; University of Minnesota System; University of Minnesota Duluth; University of Minnesota System; University of Minnesota Twin Cities; United States Department of the Interior; United States Geological Survey; University of Minnesota System; University of Minnesota Twin Cities</t>
  </si>
  <si>
    <t>Chizinski, CJ (corresponding author), Univ Nebraska, Sch Nat Resources, Nebraska Cooperat Fish &amp; Wildlife Res Unit, Lincoln, NE 68588 USA.</t>
  </si>
  <si>
    <t>cchizinski2@unl.edu</t>
  </si>
  <si>
    <t>; Chizinski, Christopher/G-6306-2011</t>
  </si>
  <si>
    <t>Chizinski, Christopher/0000-0001-9294-2588; Blinn, Charlie/0000-0003-1981-5421</t>
  </si>
  <si>
    <t>Minnesota Forest Resources Council; Minnesota Environment and Natural Resources Trust</t>
  </si>
  <si>
    <t>This study benefited from the assistance of numerous individuals. Lauren Brudney, James Manolis, and Petra Wood provided helpful comments on an earlier draft of this manuscript. Funding for this project was provided by the Minnesota Forest Resources Council and the Minnesota Environment and Natural Resources Trust Fund as recommended by the Legislative-Citizen Commission on Minnesota Resources (LCCMR). The use of trade, product, industry or firm names or products or software or models, whether commercially available or not, is for informative purposes only and does not constitute an endorsement by the U.S. Government or the U.S. Geological Survey. This is contribution number 512 from the Center for Water and the Environment, Natural Resources Research Institute, University of Minnesota, Duluth.</t>
  </si>
  <si>
    <t>10.1016/j.foreco.2011.02.012</t>
  </si>
  <si>
    <t>770YZ</t>
  </si>
  <si>
    <t>WOS:000291125700019</t>
  </si>
  <si>
    <t>Sebastià, MT; Palero, N; de Bello, F</t>
  </si>
  <si>
    <t>Sebastia, Maria-Teresa; Palero, Noemi; de Bello, Francesco</t>
  </si>
  <si>
    <t>AGRONOMY FOR SUSTAINABLE DEVELOPMENT</t>
  </si>
  <si>
    <t>Agroecosystem; Community assembly; Grazing; Mowing; Onobrychis viciifolia; Plant species diversity</t>
  </si>
  <si>
    <t>FLORISTIC COMPOSITION; ANIMAL PERFORMANCE; GRASSLAND; BIODIVERSITY; SCALE; PRODUCTIVITY; VEGETATION; LANDSCAPE; PASTURES; FORAGE</t>
  </si>
  <si>
    <t>Management affects ecosystem structure in many ways. Structural changes in ecosystems, including shifts in vegetation composition and species diversity, will affect the goods and services provided at ecosystem and regional scales. This is relevant for agricultural production and agro-biodiversity preservation in the context of management changes currently occurring in many regions. We sampled 39 sainfoin swards in the Eastern Pyrenees to assess changes in vegetation structure with sward management and evaluated how those changes might sustain agro-diversity regionally. Three sward managements coexist in the region: (a) mown plus sheep-grazed, (b) mown plus cattle-grazed and (c) only mown. Plant species composition and richness, and various biomass variables were estimated at peak biomass on swards with the three managements and different ages. We used a synchronic approach to study time effects, in which swards of different ages are sampled simultaneously, in a space by time substitution. Multivariate analysis and similarity indices revealed strong shifts in vegetation composition with management, enhanced with sward age, when the suppressive effect of sown on unsown plants relaxed. Generally, plant species richness increased with time. Old mown swards showed the highest number of species per plot (34 in 4 m(2)). Cattle-grazed swards showed the highest within- and between-treatment vegetation dissimilarity with time. Biomass variables responded mainly to time effects, but total aboveground biomass decreased with unsown species and increased with species richness depending on management. Thus, the diversity of managements modified the expected outcome in local and regional agro-diversity and sward structure. Our results are novel because they demonstrate strong effects of grazing by different animals on local and regional agro-diversity and herbage composition in those ephemeral legume-based forage systems. Farmers and managers should take into account those shifts in order to achieve agricultural goals, including agro-diversity conservation and sustainable forage production at ecosystem and regional scales.</t>
  </si>
  <si>
    <t>[Sebastia, Maria-Teresa; Palero, Noemi; de Bello, Francesco] Forest Technol Ctr Catalonia CTFC, Solsona 25280, Spain; [Sebastia, Maria-Teresa] Univ Lleida, Agr Engn Sch, Lleida 25198, Spain</t>
  </si>
  <si>
    <t>Centre Tecnologic Forestal de Catalunya (CTFC); Universitat de Lleida</t>
  </si>
  <si>
    <t>Sebastià, MT (corresponding author), Forest Technol Ctr Catalonia CTFC, Pujada Seminari S-N, Solsona 25280, Spain.</t>
  </si>
  <si>
    <t>teresa.sebastia@ctfc.es</t>
  </si>
  <si>
    <t>Sebastià, M Teresa/B-5479-2013; de Bello, Francesco/H-1582-2014; Sebastia, M./B-5479-2013</t>
  </si>
  <si>
    <t>Sebastià, M Teresa/0000-0002-9017-3575; de Bello, Francesco/0000-0001-9202-8198;</t>
  </si>
  <si>
    <t>Spanish Science Foundation (FECYT) [REN2002-04300-C02-01, REN2002-04300-C02-02, CGL2006-13555-C03-01/BOS]; Dept. Agricultura (DAR); Dept. Treball of the Catalan Government; Fundacio Territori i Paisatge (FTiP); EU [I3A-5-147-E]</t>
  </si>
  <si>
    <t>Spanish Science Foundation (FECYT); Dept. Agricultura (DAR); Dept. Treball of the Catalan Government; Fundacio Territori i Paisatge (FTiP); EU(European Union (EU))</t>
  </si>
  <si>
    <t>We thank the farmers in the study area for their help during the development of this work. A. Michelena and I. Delgado provided useful information about sainfoin in the Pyrenees. Useful comments by three anonymous reviewers, the field editor and the Editor-in-Chief, E. Lichtfouse, contributed significantly to the improvement of the paper. The CARBOPAS (REN2002-04300-C02-01 and 02) and the CARBOAGROPAS (CGL2006-13555-C03-01/BOS) projects from the Spanish Science Foundation (FECYT), the Dept. Agricultura (DAR) and the Dept. Treball of the Catalan Government, the Fundacio Territori i Paisatge (FTiP) and the I3A-5-147-E project of the EU INTERREG III-A program contributed with funding.</t>
  </si>
  <si>
    <t>1774-0746</t>
  </si>
  <si>
    <t>AGRON SUSTAIN DEV</t>
  </si>
  <si>
    <t>Agron. Sustain. Dev.</t>
  </si>
  <si>
    <t>10.1007/s13593-011-0008-2</t>
  </si>
  <si>
    <t>Agronomy; Green &amp; Sustainable Science &amp; Technology</t>
  </si>
  <si>
    <t>Agriculture; Science &amp; Technology - Other Topics</t>
  </si>
  <si>
    <t>780TN</t>
  </si>
  <si>
    <t>WOS:000291882200009</t>
  </si>
  <si>
    <t>Sasaki, T; Yoshihara, Y; Suyama, Y; Nakashizuka, T</t>
  </si>
  <si>
    <t>Sasaki, Takehiro; Yoshihara, Yu; Suyama, Yoshihisa; Nakashizuka, Tohru</t>
  </si>
  <si>
    <t>Agroecosystems; Functional biodiversity; Grazing-optimization hypothesis; Low-input grazing; Species richness</t>
  </si>
  <si>
    <t>DEFOLIATION; HERBIVORES; MANAGEMENT; NITROGEN</t>
  </si>
  <si>
    <t>Recently, there has been increasing concern about the value of semi-natural pasture for maintaining biodiversity. However, because of a lack of agro-ecological assessments, farmers still believe that semi-natural pasture is less productive than improved pasture dominated by exotic pasture grasses. To develop a compromise solution that ensures both productivity and biodiversity conservation in agro-pastoral ecosystems, we compared the degree of grazing optimization and diversity enhancement by grazing between improved and semi-natural pastures in temperate Japan. We analyzed the responses of plant growth and biodiversity to clipping treatments (maintaining sward heights of 5 or 15 cm) that simulated grazing. Aboveground productivity was stimulated by clipping treatment on both improved and semi-natural pastures (a 2- and 1.5-fold increase, respectively), indicating that both pasture types can be productive from an agricultural perspective. Although species richness was not influenced by clipping treatment or pasture type, the semi-natural pasture contained more species (34 vs. 20) than the improved pasture, thus demonstrating the value of semi-natural pasture for creating a potentially biologically diverse habitat. Our results thus offer some empirical evidence for farmers and agroecologists to support the utility of semi-natural pasture as an alternative sustainable grazing system from both agricultural and biodiversity conservation perspectives. (C) 2011 Elsevier B.V. All rights reserved.</t>
  </si>
  <si>
    <t>[Sasaki, Takehiro; Nakashizuka, Tohru] Tohoku Univ, Grad Sch Life Sci, Aoba Ku, Sendai, Miyagi 9808578, Japan; [Yoshihara, Yu; Suyama, Yoshihisa] Tohoku Univ, Grad Sch Agr Sci, Osaki, Miyagi 9896711, Japan</t>
  </si>
  <si>
    <t>Tohoku University; Tohoku University</t>
  </si>
  <si>
    <t>Sasaki, T (corresponding author), Tohoku Univ, Grad Sch Life Sci, Aoba Ku, 6-3 Aoba, Sendai, Miyagi 9808578, Japan.</t>
  </si>
  <si>
    <t>sasa67123@gmail.com</t>
  </si>
  <si>
    <t>Nakashizuka, Tohru/AAO-1081-2020; Sasaki, Takehiro/C-8896-2012; Yoshihara, Yu/H-2456-2015; Suyama, Yoshihisa/H-6115-2017</t>
  </si>
  <si>
    <t>Suyama, Yoshihisa/0000-0002-3136-5489; Sasaki, Takehiro/0000-0001-8727-9152; Nakashizuka, Tohru/0000-0003-1419-9527</t>
  </si>
  <si>
    <t>Tohoku University's Global Center of Excellence [J03]</t>
  </si>
  <si>
    <t>Tohoku University's Global Center of Excellence</t>
  </si>
  <si>
    <t>This work was supported financially by Tohoku University's Global Center of Excellence (COE) program, Ecosystem Adaptability Science for the Future (no. J03). The associate editor and two anonymous reviewers contributed significantly to the clarity of the manuscript.</t>
  </si>
  <si>
    <t>10.1016/j.agee.2011.06.009</t>
  </si>
  <si>
    <t>825BE</t>
  </si>
  <si>
    <t>WOS:000295245100035</t>
  </si>
  <si>
    <t>Solomou, A; Sfougaris, A</t>
  </si>
  <si>
    <t>Solomou, Alexandra; Sfougaris, Athanassios</t>
  </si>
  <si>
    <t>RENEWABLE AGRICULTURE AND FOOD SYSTEMS</t>
  </si>
  <si>
    <t>biodiversity; olive groves; conventional; organic; bioindicators</t>
  </si>
  <si>
    <t>WEED SPECIES-DIVERSITY; FARMING SYSTEMS; COMMUNITY COMPOSITION; ALTITUDINAL GRADIENT; ARTHROPOD FAUNA; CEREAL FIELDS; WOODY PLANT; RICHNESS; BIODIVERSITY; AGRICULTURE</t>
  </si>
  <si>
    <t>The present study was conducted in Magnesia Prefecture, central Greece, during the period May-June 2007. It aimed at the comparison between conventional and certified organic olive groves with regard to olive and olive oil production, diversity of plants (herbaceous and woody) and diversity and abundance of avifauna. Correlations between variables within herbaceous plants (linear regression) and woody plants (Principal Component Analysis), and the role of integration time of olive groves to the organic system were investigated. Also, finding easily measurable parameters indicating high bird diversity levels within organic and conventional management systems was a main target of the study. According to our findings, neither edible olive yield nor olive oil yield showed significant differences between conventional and certified organic olive groves. There is an increasing trend for alpha and beta diversity of herbaceous plant species, woody plant beta diversity, density and cover of woody plants, and density of breeding birds in certified organic olive groves (10 years) in comparison with conventional ones. The effect of time since the adoption of organic procedures is very important and produces benefits for the biodiversity. In the total olive groves 15 insectivorous, six granivorous and three insectivorous/granivorous birds species were recorded. Nine bird species distinguished by Ward's hierarchical clustering were identified as typical (indicator value, IndVal&gt;50%) of specific farming systems. Among them, the Eurasian jay, associated with the 10-year certified organic olive groves, and the common cuckoo, Orphean warbler and Red-backed shrike, associated with the 6-year certified organic olive groves, should be regarded as characteristic species (IndVal&gt;70%). Conclusively, organic farming favors some aspects of diversity of herbaceous and woody plants of olive grove ecosystems. On the contrary, similar effects on breeding bird diversity and density were not clearly recorded. However, breeding bird density proved a good indicator of their richness.</t>
  </si>
  <si>
    <t>[Solomou, Alexandra; Sfougaris, Athanassios] Univ Thessaly, Dept Agr Crop Prod &amp; Rural Environm, Lab Ecosyst &amp; Biodivers Management, N Ionia 38446, Volos, Greece</t>
  </si>
  <si>
    <t>University of Thessaly</t>
  </si>
  <si>
    <t>Sfougaris, A (corresponding author), Univ Thessaly, Dept Agr Crop Prod &amp; Rural Environm, Lab Ecosyst &amp; Biodivers Management, Fytokou Str, N Ionia 38446, Volos, Greece.</t>
  </si>
  <si>
    <t>asfoug@agr.uth.gr</t>
  </si>
  <si>
    <t>; Solomou, Alexandra/C-1428-2018</t>
  </si>
  <si>
    <t>SOLOMOU, ALEXANA/0000-0002-0014-1909;</t>
  </si>
  <si>
    <t>CAMBRIDGE UNIV PRESS</t>
  </si>
  <si>
    <t>CAMBRIDGE</t>
  </si>
  <si>
    <t>EDINBURGH BLDG, SHAFTESBURY RD, CB2 8RU CAMBRIDGE, ENGLAND</t>
  </si>
  <si>
    <t>1742-1705</t>
  </si>
  <si>
    <t>1742-1713</t>
  </si>
  <si>
    <t>RENEW AGR FOOD SYST</t>
  </si>
  <si>
    <t>Renew. Agr. Food Syst.</t>
  </si>
  <si>
    <t>10.1017/S1742170511000111</t>
  </si>
  <si>
    <t>854RA</t>
  </si>
  <si>
    <t>WOS:000297510700005</t>
  </si>
  <si>
    <t>Paradis, S; Work, TT</t>
  </si>
  <si>
    <t>Paradis, Simon; Work, Timothy T.</t>
  </si>
  <si>
    <t>Partial cutting does not maintain spider assemblages within the observed range of natural variability in Eastern Canadian black spruce forests</t>
  </si>
  <si>
    <t>Partial cutting; Chronosequence; Ecosystem management; Coniferous boreal forest; Spiders; Coarse filter conservation</t>
  </si>
  <si>
    <t>GROUND BEETLES COLEOPTERA; BOREAL FOREST; STRUCTURAL DEVELOPMENT; ARANEAE ASSEMBLAGES; MANAGEMENT; DISTURBANCE; FIRE; BIODIVERSITY; COMMUNITIES; ECOSYSTEMS</t>
  </si>
  <si>
    <t>In boreal black-spruce forests of Eastern Canada, a cohort model of ecosystem management has been proposed whereby a combination of both partial and more intensive cutting a re used to emulate old-growth stands and the re-establishment of stands following severe wildfire. As with other approaches to coarse filter conservation, partial cutting is hypothesized to maintain and potentially recreate plant and animal assemblages consistent with a range of natural variability. In this study, we used ground-dwelling spiders (Araneae) to evaluate whether partial cutting and a cohort model of ecosystem management are sufficient to preserve biodiversity found in mature and over-mature boreal black spruce stands prone to paludification. We compared the spider fauna (11,628 individuals representing 136 species) in replicated partial cuts, clear cuts and uncut control stands with a chronosequence of mature and over-mature naturally regenerated stands (94-288 years since the last fire) (25 stands in total] in the same region of the northern Clay belt in Quebec (Canada). In stands that were old-growth prior to cutting, harvesting had strong repercussions on spider assemblages that were not attenuated by less intensive, partial cutting. The most obvious changes in spider assemblages were related to increased recruitment of species that were nearly absent in uncut stands. Several cosmopolitan species that were widely distributed among stands prior to harvest increased in cut stands. Spider assemblages collected following either cutting methods were not consistent with assemblages found within the chronosequence and thus fell outside the observed range of natural variability. However we did not observe a similar recruitment effect for spider species in younger stands with relatively higher levels of retention. We demonstrate that the interaction between stand age prior to cutting, the degree of paludification as well as remnant basal area are important considerations when evaluating the efficacy of partial cutting to maintain forest spider assemblages and biodiversity at large in black-spruce stands. We also suggest that retention levels in partial cuts will have to be substantially increased to maintain spider communities within their range of natural variation in managed forested landscapes. However partial cutting with higher levels of retention, particularly in younger stands, may be useful in coarse filter management particularly for establishing or accelerating spider assemblages towards those found in old-growth stands. (C) 2011 Elsevier B.V. All rights reserved.</t>
  </si>
  <si>
    <t>[Paradis, Simon; Work, Timothy T.] Univ Quebec Montreal, Dept Sci Biol, NSERC UQAM UQAT Chaire Amenagement Forestier Dura, Succursale Ctr Ville, Montreal, PQ H3C 3P8, Canada</t>
  </si>
  <si>
    <t>University of Quebec; University of Quebec Montreal</t>
  </si>
  <si>
    <t>Paradis, S (corresponding author), Univ Quebec Montreal, Dept Sci Biol, NSERC UQAM UQAT Chaire Amenagement Forestier Dura, Succursale Ctr Ville, Case Postale 8888, Montreal, PQ H3C 3P8, Canada.</t>
  </si>
  <si>
    <t>finnishflash08@hotmail.com</t>
  </si>
  <si>
    <t>FQRNT [2009-FT-130226]; NSERC [CRDPJ 355992-07]; Tembec, Abitibi Consolidated, Domtar et Scierie Landrienne</t>
  </si>
  <si>
    <t>FQRNT(Fonds de recherche du Quebec (FRQ)Fonds de recherche du Quebec - Nature et technologies (FRQNT)); NSERC(Natural Sciences and Engineering Research Council of Canada (NSERC)); Tembec, Abitibi Consolidated, Domtar et Scierie Landrienne</t>
  </si>
  <si>
    <t>Funding was provided by FQRNT Grant 2009-FT-130226, NSERC Grant CRDPJ 355992-07 and support from Tembec, Abitibi Consolidated, Domtar et Scierie Landrienne. We are obliged to three 3 anonymous reviewers for the relevant and constructive comments that helped improve this manuscript. Y. Bergeron, A. Leduc and M. Saint-Germain also provided input and comments on previous versions. D. Charron, M. Desrochers, D. Lesieur, H Bescond, C. Boudreault and N. Fenton provided data on study sites and help to field logistics. K. O'Connor, J. Jacobs, A. Latraverse and S. Laberge aided in collecting, identifying samples as well as preliminary analyses of spider diversity data. Two unknown Cree also provided important, logistical field help in a potentially dangerous crisis related to vehicle failure.</t>
  </si>
  <si>
    <t>DEC 1</t>
  </si>
  <si>
    <t>10.1016/j.foreco.2011.08.032</t>
  </si>
  <si>
    <t>855YM</t>
  </si>
  <si>
    <t>WOS:000297602200014</t>
  </si>
  <si>
    <t>Vintu, V; Samuil, C; Sirbu, C; Popovici, CI; Stavarache, M</t>
  </si>
  <si>
    <t>Vintu, Vasile; Samuil, Costel; Sirbu, Culita; Popovici, Constantin Iulian; Stavarache, Mihai</t>
  </si>
  <si>
    <t>Sustainable Management of Nardus stricta L. Grasslands in Romania's Carpathians</t>
  </si>
  <si>
    <t>NOTULAE BOTANICAE HORTI AGROBOTANICI CLUJ-NAPOCA</t>
  </si>
  <si>
    <t>biodiversity; fertilization; fodder quality; grassland; productivity</t>
  </si>
  <si>
    <t>HAY MEADOW; SPECIES-RICHNESS; NUTRITIVE-VALUE; PLANT; SOIL; FERTILIZATION; PRODUCTIVITY; BIODIVERSITY; RESTORATION; DIVERSITY</t>
  </si>
  <si>
    <t>The grassland area of Romania covers over 4.8 million hectares, of which more than a half are located in upland areas. In the present research it has been studied the influence of organic fertilization on the productivity, vegetal canopy and fodder quality of the intramontane Depression of Vatra Dornei, from the North-Eastern Romanian Carpathians, at rates of 20-50 Mg ha(-1), applied either on a yearly basis, or every two years. The purpose of this study is to underline the dynamics of productivity and phytocenosis biodiversity, due to the application of some practical, technical measures meant to improve the production and fodder quality of Nardus stricta L. permanent grasslands, with minimal effects on the environment. The organic fertilizer rates triggered changes in the canopy structure by reducing the percentage of Nardus strum L species, from 70% to 14-31%, and increasing the percentage of legumes, as well as the productivity and fodder quality 5-30%, respectively.</t>
  </si>
  <si>
    <t>[Vintu, Vasile; Samuil, Costel; Sirbu, Culita; Popovici, Constantin Iulian; Stavarache, Mihai] Univ Agr Sci &amp; Vet Med, Iasi 700490, Romania</t>
  </si>
  <si>
    <t>Iasi University of Life Sciences, Romania</t>
  </si>
  <si>
    <t>Vintu, V (corresponding author), Univ Agr Sci &amp; Vet Med, 3 Allea M Sadoveanu, Iasi 700490, Romania.</t>
  </si>
  <si>
    <t>vvintu@uaiasi.ro</t>
  </si>
  <si>
    <t>Sirbu, Culita/KQU-1995-2024; Samuil, Costel/J-4484-2012; Vintu, Vasile/LZI-5594-2025</t>
  </si>
  <si>
    <t>Vintu, Vasile/0000-0001-9641-9401; Samuil, Costel/0000-0001-6321-2869;</t>
  </si>
  <si>
    <t>UNIV AGR SCI &amp; VETERINARY MED CLUJ-NAPOCA</t>
  </si>
  <si>
    <t>CLUJ-NAPOCA</t>
  </si>
  <si>
    <t>3-5 MANASTUR ST, CLUJ-NAPOCA, 400372, ROMANIA</t>
  </si>
  <si>
    <t>0255-965X</t>
  </si>
  <si>
    <t>1842-4309</t>
  </si>
  <si>
    <t>NOT BOT HORTI AGROBO</t>
  </si>
  <si>
    <t>Not. Bot. Horti Agrobot. Cluj-Na.</t>
  </si>
  <si>
    <t>JUL-DEC</t>
  </si>
  <si>
    <t>856QX</t>
  </si>
  <si>
    <t>WOS:000297659600020</t>
  </si>
  <si>
    <t>Lomba, A; Vicente, J; Moreira, F; Honrado, J</t>
  </si>
  <si>
    <t>Lomba, Angela; Vicente, Joana; Moreira, Francisco; Honrado, Joao</t>
  </si>
  <si>
    <t>Dominant tree; Exotic plantations; Habitat islands; Intensive farmland; Plant diversity; Semi-natural forests</t>
  </si>
  <si>
    <t>SPECIES RICHNESS; LANDSCAPE STRUCTURE; AGRICULTURAL LANDSCAPES; UNDERSTORY VEGETATION; EUCALYPTUS-GLOBULUS; TROPICAL FOREST; PATCH SIZE; LAND-USE; MANAGEMENT; SPAIN</t>
  </si>
  <si>
    <t>The joint and independent effects of dominant tree species, forest patch spatial attributes, and forest structure and management as drivers of plant species richness and composition in small forest patches scattered within an intensive agricultural landscape were addressed. In a landscape with scattered urban and intensive dairy agricultural areas in north-west Portugal, within which small forest patches (dominated by pines, eucalypts, or both) represent semi-natural habitat islands, 50 small forest patches, with areas ranging between 0.3 and 3 ha, were selected and surveyed for vascular plant diversity, within dairy farming landscape mosaics dominated by annual forage crops. Explanatory variables were composed of three datasets derived either from GIS mapping or field observations: forest type (dominant tree species), forest patch spatial attributes (patch area and shape index), and measures of forest management and structure (diameter at breast height, tree density per hectare, and percentage cover of vegetation strata). Variations in these forest patch attributes were assessed across forest types, and related to measures of plant diversity (total, native, alien, woody, and herbaceous species richness). Redundancy analysis with variance partitioning was applied to evaluate the joint and independent effects of the three sets of variables on species assemblages. The recent shift in canopy dominance from pine to eucalypt observed in the region appears to be related to a (nonsignificant) tendency for the increase of patch area and to the decrease of patch complexity, as well as several changes in forest structure and management, expressed as a trend to denser tree canopies and lower cover of understory plants. Dominant tree species and attributes related to forest structure and management were the most important factors determining plant diversity. The joint effect of the dominant tree species and forest structure and management resulted in lower levels of plant species richness in eucalypt plantations. These were also more prone to invasion by alien species, probably due to decreased biotic resistance from unsaturated native plant assemblages. Our results draw attention to the importance of dominant tree species and management practices for the maintenance of plant diversity levels (species richness and composition) in dairy landscape mosaics, highlighting the importance of the remnants of semi-natural forests as refuges for plant diversity in the landscape context. Nonetheless, forest plant diversity could further be fostered by promoting naturalness of pine stands and the regeneration of native oak woodlands in some forest areas. This would also diversify the range of ecosystem services that could be provided by forest areas in these pen-urban farmlands. (C) 2011 Elsevier B.V. All rights reserved.</t>
  </si>
  <si>
    <t>[Lomba, Angela; Vicente, Joana; Honrado, Joao] Univ Porto, Dept Biol, Fac Ciencias, P-4169007 Oporto, Portugal; [Lomba, Angela; Vicente, Joana; Honrado, Joao] Ctr Invest Biodiversidade &amp; Recursos Genet CIBIO, P-4485661 Vairao, Portugal; [Moreira, Francisco] Univ Tecn Lisboa, Ctr Ecol Aplicada Prof Baeta Neves CEABN, Inst Agron, P-1349017 Lisbon, Portugal</t>
  </si>
  <si>
    <t>Universidade do Porto; Universidade do Porto; Universidade de Lisboa</t>
  </si>
  <si>
    <t>Lomba, A (corresponding author), Univ Porto, Dept Biol, Fac Ciencias, P-4169007 Oporto, Portugal.</t>
  </si>
  <si>
    <t>angelalomba@fc.up.pt</t>
  </si>
  <si>
    <t>Moreira, Francisco/B-2873-2008; Honrado, Joao/L-8365-2013; Vicente, Joana/L-7434-2013; Lomba, Angela/L-7117-2013; Lomba, Ângela/L-7117-2013</t>
  </si>
  <si>
    <t>Moreira, Francisco/0000-0003-4393-8018; Honrado, Joao/0000-0001-8443-4276; Vicente, Joana/0000-0003-0382-0189; Lomba, Ângela/0000-0003-3748-8751</t>
  </si>
  <si>
    <t>Portuguese Science and Technology Foundation (FCT) [SFRH/BD/31576/2006, SFRH/BD/40668/2007]; Fundação para a Ciência e a Tecnologia [SFRH/BD/31576/2006, SFRH/BD/40668/2007] Funding Source: FCT</t>
  </si>
  <si>
    <t>Portuguese Science and Technology Foundation (FCT)(Fundacao para a Ciencia e a Tecnologia (FCT)); Fundação para a Ciência e a Tecnologia(Fundacao para a Ciencia e a Tecnologia (FCT))</t>
  </si>
  <si>
    <t>This research was supported by the Portuguese Science and Technology Foundation (FCT) through PhD Grant SFRH/BD/31576/2006 to A. Lomba. J. Vicente is supported by FCT through PhD Grant SFRH/BD/40668/2007. The authors would like to thank Paulo Alves for his assistance during field work.</t>
  </si>
  <si>
    <t>10.1016/j.foreco.2011.08.014</t>
  </si>
  <si>
    <t>858DG</t>
  </si>
  <si>
    <t>WOS:000297775500012</t>
  </si>
  <si>
    <t>Campiglia, E; Radicetti, E; Mancinelli, R</t>
  </si>
  <si>
    <t>Campiglia, Enio; Radicetti, Emanuele; Mancinelli, Robeto</t>
  </si>
  <si>
    <t>Integrated weed management; Conservation tillage; Weed diversity; Cover crops; Mediterranean environment; Low-input agriculture; Organic agriculture; Glyphosate</t>
  </si>
  <si>
    <t>COVER CROP; SEED-GERMINATION; MANAGEMENT; TILLAGE; TEMPERATURE; SUPPRESSION; DIVERSITY; ROTATION; DORMANCY; SYSTEMS</t>
  </si>
  <si>
    <t>Organic mulches could be a part of a wide strategy of integrated weed management in vegetable production systems. A 2-year field experiment was carried out in Central Italy with the aim of assessing the effect of grass and legume mulches, coming from winter cover crops, combined with herbicide or mechanical hoeing on weed control, on weed community (density and aboveground biomass of each species), and yield of a pepper crop. Hairy vetch (Vicia villosa Roth), oat (Avena sativa L) and their mixture were sown in early autumn and suppressed in May. The cover crop aboveground biomass was cut and arranged in strips which were used as beds for pepper seedlings transplanted in paired rows. A conventional treatment kept bare during the cover crop growing season with two different levels of nitrogen fertilizer on pepper (0-100 kg ha(-1) of N) was also included. Three weed control treatments were applied between the paired pepper rows 30 days after transplanting: a weed free treatment, glyphosate or mechanical hoeing. Dry matter production at cover crop suppression ranged from 5.3 t ha(-1) in oat to 7.1 t ha(-1) in hairy vetch/oat mixture and the N accumulation ranged from 56 kg ha(-1) in oat to 179 kg ha(-1) in hairy vetch. Within the pepper paired rows, mulch treatments reduced weed density and biomass throughout the pepper cropping season. At harvest, weed density and aboveground biomass within the pepper paired rows ranged from 1.7 to 4.6 plants m(-2) and 28 and 133 gm(-2) of DM, respectively. Oat mulch had the highest weed suppression ability and the lowest species richness. Shannon's index and Shannon evenness. Between the pepper paired rows the mulch treatments had the highest species richness and the most diverse weed community in chemical compared to mechanical weed control. The densities of Portulaca oleracea L and Polygonum aviculare L. were the highest under chemical and mechanical control, respectively. The weeds did not hinder pepper production in hairy vetch and hairy vetch/oat mixture where the yield was similar to that obtained in a conventional weedfree system fertilized with 100 kg ha(-1) of N. Therefore the use of hairy vetch mulches in combination with reduced mechanical or chemical weed control could be a feasible strategy in order to control weeds and to produce high yields in a pepper crop. (C) 2011 Elsevier Ltd. All rights reserved.</t>
  </si>
  <si>
    <t>[Campiglia, Enio; Radicetti, Emanuele; Mancinelli, Robeto] Univ Tuscia, Dipartimento Sci &amp; Tecnol Agr Foreste Nat &amp; Energ, I-01100 Viterbo, Italy</t>
  </si>
  <si>
    <t>Tuscia University</t>
  </si>
  <si>
    <t>Campiglia, E (corresponding author), Univ Tuscia, Dipartimento Sci &amp; Tecnol Agr Foreste Nat &amp; Energ, Via S Camillo Lellis, I-01100 Viterbo, Italy.</t>
  </si>
  <si>
    <t>campigli@unitus.it</t>
  </si>
  <si>
    <t>; Mancinelli, Roberto/K-6427-2014; Radicetti, Emanuele/O-4326-2019</t>
  </si>
  <si>
    <t>Radicetti, Emanuele/0000-0001-8654-3177; Mancinelli, Roberto/0000-0002-8396-6307; CAMPIGLIA, Enio/0000-0002-5307-4543</t>
  </si>
  <si>
    <t>10.1016/j.cropro.2011.09.016</t>
  </si>
  <si>
    <t>890FF</t>
  </si>
  <si>
    <t>WOS:000300129800010</t>
  </si>
  <si>
    <t>Wan, KY; Tao, Y; Li, RH; Pan, JF; Tang, LL; Chen, F</t>
  </si>
  <si>
    <t>Wan, Kaiyuan; Tao, Yong; Li, Ruhai; Pan, Junfeng; Tang, Leilei; Chen, Fang</t>
  </si>
  <si>
    <t>WEED BIOLOGY AND MANAGEMENT</t>
  </si>
  <si>
    <t>long-term fertilization; macro-elements; paddy field; rice; weed biodiversity</t>
  </si>
  <si>
    <t>ORYZA-SATIVA L.; MANAGEMENT; DIVERSITY; HERBICIDE; SYSTEMS; MAIZE; CROPS</t>
  </si>
  <si>
    <t>In order to provide a scientific basis for developing integrated weed management strategies in rice paddy fields, this study investigated the influences of different types of fertilization on weed biodiversity. The experiment was conducted at Long-term-located Monitoring Station for Soil Fertility, Agricultural Science Academy, of Jiangxi Province, China. Five fertilization treatments were set: no fertilization (NOF), PK, NP, NK, and NPK. The results showed that the influence of different fertilization treatments on weed community traits followed the models PK &gt; NOF &gt; NK &gt; NP &gt; NPK for species richness, PK &gt; NOF &gt; NK &gt; NP &gt; NPK for species diversity, NPK &gt; NP &gt; NK &gt; NOF &gt; PK for community dominance, and PK &gt; NOF &gt; NK &gt; NP &gt; NPK for community evenness. Under NPK (i.e. balanced fertilization), the weed species diversity and richness and weed community evenness were the lowest. The principal component analysis showed that the weed community was divided into three groups: (i) NK and a part of NOF; (ii) NP and NPK; and (iii) PK and NOF. The correlation analysis indicated that the influence of each macro-element on the weed community followed the model N &gt; P &gt; K. The organic content in the paddy soil might have played an equally important role with the amount of available N in determining the weed community's characteristics. Regarding the way by which N, P, and K influenced the weed community, the amount of available P and K mainly influenced the organic content, while the amount of available N influenced both the organic content and light transmittance within the canopy, thereby enhancing the capacity of rice to compete with weeds.</t>
  </si>
  <si>
    <t>[Wan, Kaiyuan; Tao, Yong; Pan, Junfeng; Tang, Leilei; Chen, Fang] Chinese Acad Sci, Key Lab Aquat Bot &amp; Watershed Ecol, Wuhan Bot Garden, Wuhan 430074, Peoples R China; [Li, Ruhai] Hubei Acad Agr Sci, Inst Plant Protect &amp; Soil Sci, Wuhan, Peoples R China; [Tang, Leilei] Chinese Acad Sci, Grad Univ, Life Sci Coll, Beijing, Peoples R China</t>
  </si>
  <si>
    <t>Chinese Academy of Sciences; Wuhan Botanical Garden, CAS; Hubei Academy of Agricultural Sciences; Chinese Academy of Sciences; University of Chinese Academy of Sciences, CAS</t>
  </si>
  <si>
    <t>Chen, F (corresponding author), Chinese Acad Sci, Key Lab Aquat Bot &amp; Watershed Ecol, Wuhan Bot Garden, Wuhan 430074, Peoples R China.</t>
  </si>
  <si>
    <t>fchen@ipni.ac.cn</t>
  </si>
  <si>
    <t>International Plant Nutrition Institute, Wuhan, China [IPNI-HB-33, IPNI-HB-34]; Hubei Key Laboratory of Wetland Evolution &amp; Ecological Restoration</t>
  </si>
  <si>
    <t>International Plant Nutrition Institute, Wuhan, China; Hubei Key Laboratory of Wetland Evolution &amp; Ecological Restoration</t>
  </si>
  <si>
    <t>This research project was funded by the Program of International Plant Nutrition Institute (IPNI-HB-33, 34), Wuhan, China and the Opening Project of Hubei Key Laboratory of Wetland Evolution &amp; Ecological Restoration.</t>
  </si>
  <si>
    <t>1444-6162</t>
  </si>
  <si>
    <t>1445-6664</t>
  </si>
  <si>
    <t>WEED BIOL MANAG</t>
  </si>
  <si>
    <t>Weed Biol. Manag.</t>
  </si>
  <si>
    <t>10.1111/j.1445-6664.2011.00430.x</t>
  </si>
  <si>
    <t>908LU</t>
  </si>
  <si>
    <t>WOS:000301492700002</t>
  </si>
  <si>
    <t>Edwards, DP; Woodcock, P; Edwards, FA; Larsen, TH; Hsu, WW; Benedick, S; Wilcove, DS</t>
  </si>
  <si>
    <t>Edwards, David P.; Woodcock, Paul; Edwards, Felicity A.; Larsen, Trond H.; Hsu, Wayne W.; Benedick, Suzan; Wilcove, David S.</t>
  </si>
  <si>
    <t>agricultural conversion; avifauna; degraded lands; oil palm; paper pulp; selective logging; Southeast Asia; sustainable forest management; tropical rain forest</t>
  </si>
  <si>
    <t>TROPICAL RAIN-FORESTS; SPECIES-DIVERSITY; INDICATOR GROUPS; BIRD COMMUNITY; COSTA-RICA; ASSEMBLAGES; EXPANSION; ABUNDANCE; RESPONSES; RECOVERY</t>
  </si>
  <si>
    <t>A key driver of rain forest degradation is rampant commercial logging. Reduced-impact logging (RIL) techniques dramatically reduce residual damage to vegetation and soils, and they enhance the long-term economic viability of timber operations when compared to conventionally managed logging enterprises. Consequently, the application of RIL is increasing across the tropics, yet our knowledge of the potential for RIL also to reduce the negative impacts of logging on biodiversity is minimal. We compare the impacts of RIL on birds, leaf-litter ants, and dung beetles during a second logging rotation in Sabah, Borneo, with the impacts of conventional logging (CL) as well as with primary (unlogged) forest. Our study took place 1-8 years after the cessation of logging. The species richness and composition of RIL vs. CL forests were very similar for each taxonomic group. Both RIL and CL differed significantly from unlogged forests in terms of bird and ant species composition (although both retained a large number of the species found in unlogged forests), whereas the composition of dung beetle communities did not differ significantly among forest types. Our results show little difference in biodiversity between RIL and CL over the short term. However, biodiversity, benefits from RIL may accrue over longer time periods after the cessation of logging. We highlight a severe lack of studies investigating this possibility. Moreover, if RI L increases the economic value of selectively logged forests (e.g., via REDD+, a United Nations program: Reducing Emissions from Deforestation and Forest Degradation in Developing Countries), it could help prevent them from being converted to agricultural plantations, which results in a tremendous loss of biodiversity.</t>
  </si>
  <si>
    <t>[Edwards, David P.; Wilcove, David S.] Princeton Univ, Woodrow Wilson Sch Publ &amp; Int Affairs, Princeton, NJ 08544 USA; [Woodcock, Paul; Edwards, Felicity A.] Univ Leeds, Inst Integrat &amp; Comparat Biol, Fac Biol Sci, Leeds LS2 9JT, W Yorkshire, England; [Larsen, Trond H.; Wilcove, David S.] Conservat Int, Sci &amp; Knowledge Div, Arlington, VA 22202 USA; [Hsu, Wayne W.] Columbia Univ, Dept Ecol Evolut &amp; Environm Biol, New York, NY 10027 USA; [Benedick, Suzan] Univ Malaysia Sabah, Sch Sustainable Agr, Sabah, Malaysia</t>
  </si>
  <si>
    <t>Princeton University; University of Leeds; Conservation International; Columbia University; Universiti Malaysia Sabah</t>
  </si>
  <si>
    <t>Edwards, DP (corresponding author), James Cook Univ, Ctr Trop Environm &amp; Sustainabil Sci TESS, Smithfield, Qld 4878, Australia.</t>
  </si>
  <si>
    <t>dave.edwards@jcu.edu.au</t>
  </si>
  <si>
    <t>; Edwards, David/AAC-5091-2019; Benedick, Suzan/M-2529-2016</t>
  </si>
  <si>
    <t>Edwards, Felicity/0000-0003-1742-2763; Wilcove, David S/0000-0002-1354-0503; Benedick, Suzan/0000-0003-2587-3644; Edwards, David/0000-0001-8562-3853; Woodcock, Paul/0000-0002-2178-5447;</t>
  </si>
  <si>
    <t>STEP; High Meadows Foundation</t>
  </si>
  <si>
    <t>We thank David Andrews, Teegan Docherty, Takahiro Ota, Mitt Derhe, Leah Williams, Simon Mitchell, and Tom Fayle for assistance with fieldwork; Darren Mann and Eleanor Slade for providing reference collections and support with determinations; Glen Reynolds, the Royal Society's SEARRP, and the Borneo Rainforest Lodge for logistical support; Chey Vun Khen, Arthur Chung, and Abdul Ahmad for collaborative support; and two anonymous referees for comments. We also thank Yayasan Sabah, Danum Valley Management Committee, the State Secretary, Sabah Chief Minister's Departments, and the Economic Planning Unit of the Prime Minister's Department for permission to conduct research. D. P. Edwards was supported by a STEP fellowship at Princeton University. Additional support was provided by a grant from the High Meadows Foundation to D. S. Wilcove.</t>
  </si>
  <si>
    <t>10.1890/11-1362.1</t>
  </si>
  <si>
    <t>921ZP</t>
  </si>
  <si>
    <t>WOS:000302516900014</t>
  </si>
  <si>
    <t>Klein, AM; Brittain, C; Hendrix, SD; Thorp, R; Williams, N; Kremen, C</t>
  </si>
  <si>
    <t>Klein, Alexandra-Maria; Brittain, Claire; Hendrix, Stephen D.; Thorp, Robbin; Williams, Neal; Kremen, Claire</t>
  </si>
  <si>
    <t>agricultural landscapes; biodiversity; ecosystem service; habitat quality; honeybees; landscape restoration; Prunus dulcis; sustainable agriculture; Syrphidae; wild bees</t>
  </si>
  <si>
    <t>LANDSCAPE CONTEXT; CROP POLLINATION; NATIVE BEES; BIODIVERSITY; MEGACHILIDAE; HYMENOPTERA; DIVERSITY; HEDGEROWS; ABUNDANCE; PROVIDE</t>
  </si>
  <si>
    <t>1. Global declines in honeybees have led to concerns about negative impacts on food production because of low levels of pollination. This is exemplified in California where the demand for honeybees Apis mellifera to pollinate almond Prunus dulcis is increasing, but problems with honeybee health suggest it may not be sustainable to rely solely on the pollination service of a single species. 2. We investigated the effect of the quantity of surrounding natural habitat, organic management and strips of semi-natural vegetation on flower visitation frequency of wild and managed pollinators and fruit set in 23 California almond orchards (15 conventional, 8 organic). Five conventional and four organic orchards were surrounded by a low percentage (&lt;5%) of natural or semi-natural habitat in a 1-km radius and another five conventional and four organic orchards were surrounded by a high percentage of these habitats (&gt;30%). A further five conventional orchards with a low percentage of surrounding natural habitat had an adjacent strip of semi-natural vegetation and were included in the study to represent a realistic option for orchard management in intensive agricultural landscapes. 3. Wild bee species visited almond flowers but only in orchards with adjacent semi-natural habitat or vegetation strips. Organic management increased the flower visitation frequencies of hover flies and wild bees. The presence of a strip of semi-natural vegetation in orchards with a low percentage of surrounding natural habitat increased the number of species and the flower visitation frequency by wild pollinators but only at orchard edges and not to the degree seen when natural habitat was abundant. 4. Wild bee species richness and flower visitation frequency, but not honeybee frequency, were related to fruit set. Fruit set increased with increasing percentage of natural habitat surrounding the orchards. Organic farming or the presence of a vegetation strip did not increase fruit set. 5. Synthesis and applications. The restoration of high quality habitat strips along the edges of crop fields in highly intensified agricultural landscapes should be encouraged and monitored to conserve pollinators and to determine whether benefits for agriculture can be realized. Although honeybees are the main and most important pollinating insects for many plants, wild pollinators may be necessary to ensure high fruit set. Organic farming alone will not sustain wild pollination services for almond in California.</t>
  </si>
  <si>
    <t>[Klein, Alexandra-Maria; Brittain, Claire] Leuphana Univ Luneburg, Inst Ecol, Luneburg, Germany; [Brittain, Claire; Thorp, Robbin; Williams, Neal] Univ Calif Davis, Dept Entomol, Davis, CA 95616 USA; [Hendrix, Stephen D.] Univ Iowa, Dept Biol, Iowa City, IA 52242 USA; [Kremen, Claire] Univ Calif Berkeley, Berkeley, CA 94720 USA</t>
  </si>
  <si>
    <t>Leuphana University Luneburg; University of California System; University of California Davis; University of Iowa; University of California System; University of California Berkeley</t>
  </si>
  <si>
    <t>Klein, AM (corresponding author), Leuphana Univ Luneburg, Inst Ecol, Luneburg, Germany.</t>
  </si>
  <si>
    <t>aklein@uni.leuphana.de</t>
  </si>
  <si>
    <t>Kremen, Claire/AFP-5986-2022; Williams, Neal/AGF-7865-2022; Klein, Alexana-Maria/J-5871-2016; Klein, Alexandra/J-5871-2016</t>
  </si>
  <si>
    <t>Brittain, Claire/0000-0003-1104-2946; Klein, Alexana-Maria/0000-0003-2139-8575;</t>
  </si>
  <si>
    <t>Alexander von Humboldt Foundation; Hellmann Foundation; Mc-Donnell 21st Century Foundation; University of California, Berkeley; Department of Biology at University of Iowa; Germany Science Foundation [KL 1849/4-1]</t>
  </si>
  <si>
    <t>Alexander von Humboldt Foundation(Alexander von Humboldt FoundationUniversity of Maryland Baltimore); Hellmann Foundation; Mc-Donnell 21st Century Foundation; University of California, Berkeley(University of California System); Department of Biology at University of Iowa; Germany Science Foundation</t>
  </si>
  <si>
    <t>We greatly acknowledge the Alexander von Humboldt, Hellmann and the Mc-Donnell 21st Century Foundations, the Chancellor's Partnership Fund of the University of California, Berkeley, the Department of Biology at the University of Iowa and the Germany Science Foundation (KL 1849/4-1) for financial support. We thank several almond growers in Yolo and Colusa Counties for their willingness to provide access to their orchards, Anika Hudewenz for designing the pollinator taxa used in Figs 2 and 3 and two anonymous reviewers for valuable comments on the manuscript.</t>
  </si>
  <si>
    <t>10.1111/j.1365-2664.2012.02144.x</t>
  </si>
  <si>
    <t>950PF</t>
  </si>
  <si>
    <t>WOS:000304660500023</t>
  </si>
  <si>
    <t>Edenius, L; Mikusinski, G; Witzell, J; Bergh, J</t>
  </si>
  <si>
    <t>Edenius, Lars; Mikusinski, Grzegorz; Witzell, Johanna; Bergh, Johan</t>
  </si>
  <si>
    <t>Effects of repeated fertilization of young Norway spruce on foliar phenolics and arthropods: Implications for insectivorous birds' food resources</t>
  </si>
  <si>
    <t>Intensive forestry; Fertilization; Birds; Foliar chemistry; Phenolics; Arthropods</t>
  </si>
  <si>
    <t>BOREAL FOREST; NITROGEN-FERTILIZATION; TEMPORAL VARIATION; INSECT HERBIVORY; LEAF CHEMISTRY; COMMUNITIES; PREDATION; GROWTH; PLANT; OAK</t>
  </si>
  <si>
    <t>Repeated fertilization of young forests is a promising concept to increase the production of wood fiber, but the consequences of intense fertilization regimes on forest birds and their food resources, mediated through changes in the foliar chemistry are inadequately known. We assessed the effects of repeated fertilization in stands of young Norway spruce (Picea abies) on foliar phenolics and arthropods in an intensively managed forest area in southern Sweden in relation to the abundance of arboreal feeding birds breeding in the same stands. We anticipated leaf-sucking arthropods (viz. Hemiptera (aphids)) to react more strongly to changes in foliar phenolics than other invertebrate groups. Overall, we found small effects of fertilization on abundance and composition of different groups of foliar arthropods. However, the abundance of Hemiptera was much higher in early spring in fertilized stands than in unfertilized stands, whereas mites (Anactinotrichida and Actinotrichida) were more abundant in late spring in the fertilized stands. On the contrary, springtails (Collembola) were more abundant in unfertilized stands than in fertilized stands the late spring. The concentrations of two of the most abundant phenolics (hydroxycinnamic acid derivatives) as well as the sum concentration of HPLC-phenolics, were consistently lower in the fertilized stands. Positive effects on arthropod abundance mediated trough changes in the foliar chemistry following fertilization could help to explain why resident Goldcrest (Regulus regulus), which feeds on folivorous arthropods (i.e. aphids) during winter, was found to be more common in the fertilized stands (Edenius et al., 2011). Our results suggest that in intensively managed forest areas repeated fertilization of young spruce has the potential to enhance the suitability of these stands as winter feeding habitat for coniferous foliage-gleaning insectivorous birds compared to unfertilized stands in the same developmental stage. However, intensification of forest management further impedes habitat quality for more specialized species and generally reduces the diversity of forest birds by simplifying structure and composition of forest stands and shortening the rotation period. Therefore, careful planning of spatial arrangement of treatment units with different management, retention of natural forest and/or structures and legacies such as dead wood and deciduous trees are necessary to promote avian diversity in intensified forest management schemes. (C) 2012 Elsevier B.V. All rights reserved.</t>
  </si>
  <si>
    <t>[Edenius, Lars] Swedish Univ Agr Sci, Dept Wildlife Fish &amp; Environm Sci, SE-90183 Umea, Sweden; [Mikusinski, Grzegorz] Swedish Univ Agr Sci, Dept Ecol, Grimso Wildlife Res Stn, SE-731091 Riddarhyttan, Sweden; [Mikusinski, Grzegorz] Swedish Univ Agr Sci, Sch Forest Management, SE-73921 Skinnskatteberg, Sweden; [Witzell, Johanna; Bergh, Johan] Swedish Univ Agr Sci, So Swedish Forest Res Ctr, SE-23053 Alnarp, Sweden</t>
  </si>
  <si>
    <t>Swedish University of Agricultural Sciences; Swedish University of Agricultural Sciences; Swedish University of Agricultural Sciences; Swedish University of Agricultural Sciences</t>
  </si>
  <si>
    <t>Edenius, L (corresponding author), Swedish Univ Agr Sci, Dept Wildlife Fish &amp; Environm Sci, SE-90183 Umea, Sweden.</t>
  </si>
  <si>
    <t>lars.edenius@slu.se</t>
  </si>
  <si>
    <t>; Bergh, Johan/R-4501-2016; Witzell, Johanna/H-9987-2019</t>
  </si>
  <si>
    <t>Mikusinski, Grzegorz/0000-0003-1400-913X; Witzell, Johanna/0000-0003-1741-443X</t>
  </si>
  <si>
    <t>Swedish Energy Agency</t>
  </si>
  <si>
    <t>Swedish Energy Agency(Swedish Energy Agency)</t>
  </si>
  <si>
    <t>We gratefully acknowledge the Swedish Energy Agency for funding this study. Thanks to Johan Frisk, Sodra, for help in planning the fieldwork and Ake Nordstrom and Iryna Semashko for field and lab work. The manuscript benefitted from the comments by Raimo Virkkala, Knut Kielland and one anonymous reviewer.</t>
  </si>
  <si>
    <t>AUG 1</t>
  </si>
  <si>
    <t>10.1016/j.foreco.2012.04.021</t>
  </si>
  <si>
    <t>966TL</t>
  </si>
  <si>
    <t>WOS:000305860200004</t>
  </si>
  <si>
    <t>Otto, R; García-del-Rey, E; Méndez, J; Fernández-Palacios, JM</t>
  </si>
  <si>
    <t>Otto, Ruediger; Garcia-del-Rey, Eduardo; Mendez, Javier; Maria Fernandez-Palacios, Jose</t>
  </si>
  <si>
    <t>Thinning; Regeneration; Diversity; GLMM; MRPP; Conservation</t>
  </si>
  <si>
    <t>MIXED-CONIFER FOREST; CONE PRODUCTION; PONDEROSA PINE; RESTORATION TREATMENTS; SPECIES-DIVERSITY; GAP SIZE; GROWTH; ESTABLISHMENT; FIRE; RESPONSES</t>
  </si>
  <si>
    <t>Stand density management in even-aged coniferous plantations may increase biodiversity and enhance natural tree regeneration. Thinning of pine plantations has only recently been started on the Canary Islands, yet the ecological effects of this treatment are relatively unknown. Our objective was to investigate the impact of thinning on pine seed rain, natural pine regeneration and diversity of understory vegetation in Pinus canariensis plantations. Seven years after thinning, we sampled 60-year old plantations thinned by 60% of basal area, unthinned stands and adjacent semi-natural old-growth forests. Thinning significantly increased pine seed rain to levels similar to semi-natural stands. This is probably a result of fast crown development and enhanced cone production due to the immediate release of resources and reduction in competition. In contrast, plantations with the highest tree densities had very low seed production, limiting pine regeneration. Seed rain showed seasonal fluctuations with clear summer peaks of seed release. Thinning also significantly increased seedling, sapling and juvenile densities. However, thinned plantations still differed from old-growth forests in seedling and juvenile densities. Thinning promoted understory plant diversity, including typical endemic pine forest species, without triggering plant invasion, which is of great conservation interest. This study provides evidence that heavy thinning represents an important management tool to enhance naturalization and local biodiversity of Canary pine plantations, common in large areas of this Archipelago. (C) 2012 Elsevier B.V. All rights reserved.</t>
  </si>
  <si>
    <t>[Otto, Ruediger; Garcia-del-Rey, Eduardo; Mendez, Javier; Maria Fernandez-Palacios, Jose] Univ La Laguna, Dept Ecol, Fac Biol, E-38206 Tenerife, Canary Islands, Spain</t>
  </si>
  <si>
    <t>Universidad de la Laguna</t>
  </si>
  <si>
    <t>Otto, R (corresponding author), Univ La Laguna, Dept Ecol, Fac Biol, E-38206 Tenerife, Canary Islands, Spain.</t>
  </si>
  <si>
    <t>rudiotto@ull.es</t>
  </si>
  <si>
    <t>Fernández-Palacios, José María/H-2054-2015</t>
  </si>
  <si>
    <t>Fernández-Palacios, José María/0000-0001-9741-6878</t>
  </si>
  <si>
    <t>Cabildo Insular de Tenerife; Area de Medio Ambiente; Sostenibilidad Territorial y Aguas</t>
  </si>
  <si>
    <t>We thank the local authorities (Cabildo Insular de Tenerife, Area de Medio Ambiente, Sostenibilidad Territorial y Aguas) for funding the investigation and Pascual Gil Munoz for his excellent collaboration. We are grateful to Silvia Fernandez Lugo, Celia Garcia Dominguez and Maruxa Aguilar Garcia for field data collection and to Cristina Blandino for the help with the statistical program R.</t>
  </si>
  <si>
    <t>SEP 15</t>
  </si>
  <si>
    <t>10.1016/j.foreco.2012.05.027</t>
  </si>
  <si>
    <t>991HZ</t>
  </si>
  <si>
    <t>WOS:000307693400009</t>
  </si>
  <si>
    <t>Imai, N; Seino, T; Aiba, S; Takyu, M; Titin, J; Kitayama, K</t>
  </si>
  <si>
    <t>Imai, Nobuo; Seino, Tatsuyuki; Aiba, Shin-ichiro; Takyu, Masaaki; Titin, Jupiri; Kitayama, Kanehiro</t>
  </si>
  <si>
    <t>Borneo; Forest heterogeneity; Nonmetric multidimensional scaling (NMDS); PERMANOVA; Species-accumulation curves</t>
  </si>
  <si>
    <t>REDUCED-IMPACT; BIODIVERSITY CONSERVATION; FLORISTIC COMPOSITION; HABITAT MODIFICATION; WOOD DENSITY; DISTURBANCE; MANAGEMENT; SECONDARY; KALIMANTAN; RICHNESS</t>
  </si>
  <si>
    <t>Reduced-impact logging (RIL) is known to be beneficial in biodiversity conservation, but its effects on tree diversity remain unknown. Pattern of tree diversity following disturbance usually varies with spatial scale of sampling (i.e., plot size). We examined the impacts of RIL on species richness and community composition of tree species at different spatial scales, and the scale (plot size) dependency of the two metrics; species richness versus community similarity. One 2-ha and three to four 0.2-ha plots were established in each of primary, RIL, and conventionally logged (CL) forest in Sabah, Malaysia. Species richness (the number of species per unit number of stems) was higher in the RIL than in the CL forest at both scales. The relationship between species richness and logging intensity varied with plot size. Species richness was greater in the RIL than in the primary forest at the 2-ha scale, while it was similar between the two forests at 0.2-ha scale. Similarly, species richness in the CL forest demonstrated a greater value at the 2-ha scale than at the 0.2-ha scale. Greater species richness in the two logged forests at the 2-ha scale is attributable to a greater probability of encountering the species-rich, small patches that are distributed heterogeneously. Community composition of the RIL forest more resembled that of the primary forest than that of the CL forest, regardless of plot size. Accordingly, species richness is a scale-dependent metric, while community similarity is a more robust metric to indicate the response of tree assemblage to anthropogenic disturbance.</t>
  </si>
  <si>
    <t>[Imai, Nobuo; Kitayama, Kanehiro] Kyoto Univ, Grad Sch Agr, Sakyo Ku, Kyoto 6068502, Japan; [Seino, Tatsuyuki] Univ Tsukuba, Grad Sch Life &amp; Environm Sci, Tsukuba, Ibaraki 3058577, Japan; [Aiba, Shin-ichiro] Kagoshima Univ, Grad Sch Sci &amp; Engn, Kagoshima 8900065, Japan; [Takyu, Masaaki] Tokyo Univ Agr, Fac Reg Environm Sci, Setagaya Ku, Tokyo 1568502, Japan; [Titin, Jupiri] Forest Res Ctr, Sabah Forestry Dept, Sandakan 90715, Sabah, Malaysia</t>
  </si>
  <si>
    <t>Kyoto University; University of Tsukuba; Kagoshima University; Tokyo University of Agriculture; Pusat Penyelidikan Hutan</t>
  </si>
  <si>
    <t>Imai, N (corresponding author), Kyoto Univ, Grad Sch Agr, Sakyo Ku, Oiwake Cho, Kyoto 6068502, Japan.</t>
  </si>
  <si>
    <t>inobuo@kais.kyoto-u.ac.jp</t>
  </si>
  <si>
    <t>; Seino, Tatsuyuki/ABD-8302-2021; Imai, Nobuo/AAR-7008-2020; Aiba, Shin-ichiro/A-3011-2010</t>
  </si>
  <si>
    <t>Imai, Nobuo/0000-0002-8435-7693; Aiba, Shin-ichiro/0000-0002-3844-0138; Seino, Tatsuyuki/0000-0003-2103-9599;</t>
  </si>
  <si>
    <t>Ministry of the Environment, Japan [F-071, D-1006]</t>
  </si>
  <si>
    <t>Ministry of the Environment, Japan(Ministry of the Environment, Japan)</t>
  </si>
  <si>
    <t>This study was supported by the Global Environment Research Fund F-071 and D-1006 of the Ministry of the Environment, Japan, to KK. We thank D. K. M. Esther for assisting research plot establishment, M. Poster and D. Joel for tree species identification, R. Ajon and many other persons for assisting field survey, R. Aoyagi, A. Langner and A. Tanaka for remote sensing analysis, P. Lagan for generous support for every aspect. We acknowledge the kind assistance from Sabah Forestry Department and Forest Research Centre, Sabah.</t>
  </si>
  <si>
    <t>10.1007/s11258-012-0100-y</t>
  </si>
  <si>
    <t>991RG</t>
  </si>
  <si>
    <t>WOS:000307718300004</t>
  </si>
  <si>
    <t>Mastrangelo, ME; Gavin, MC</t>
  </si>
  <si>
    <t>Mastrangelo, Matias E.; Gavin, Michael C.</t>
  </si>
  <si>
    <t>Trade-Offs between Cattle Production and Bird Conservation in an Agricultural Frontier of the Gran Chaco of Argentina</t>
  </si>
  <si>
    <t>dry forests; food production; land-use planning; silvopastoral systems</t>
  </si>
  <si>
    <t>BIODIVERSITY CONSERVATION; GLOBAL CHANGE; AGROECOSYSTEMS; QUESTIONS; WOODLAND; FORESTS; POLICY</t>
  </si>
  <si>
    <t>Intensification of food production in tropical landscapes in the absence of land-use planning can pose a major threat to biological diversity. Decisions on whether to spatially integrate or segregate lands for production and conservation depend in part on the functional relations between biological diversity and agricultural productivity. We measured diversity, density, and species composition of birds along a gradient of production intensification on an agricultural frontier of the Argentine Chaco, where dry tropical forests are cleared for cattle production. Bird species diversity in intact forests was higher than in any type of cattle-production system. Bird species richness decreased nonlinearly as cattle yield increased. Intermediate-intensity silvopastoral systems, those in which forest understory is selectively cleared to grow pastures of non-native plants beneath the tree canopy, produced 80% of the mean cattle yield obtained in pastures on cleared areas and were occupied by 70-90% of the number of bird species present in the nearest forest fragments. Densities of &gt;50% of bird species were significantly lower in open pastures than in silvopastoral systems. Therefore, intermediate-intensity silvopastoral systems may have the greatest potential to sustain cattle yield and conserve a large percentage of bird species. However, compared with low-intensity production systems, in which forest structure and extent were intact, intermediate-intensity silvopastoral systems supported significantly fewer forest-restricted bird species and fewer frugivorous birds. These data suggest that the integration of production and conservation through intermediate-intensity silvopastoral systems combined with the protection of forest fragments may be required to maintain cattle yield, bird diversity, and conservation of forest-restricted species in this agricultural frontier.</t>
  </si>
  <si>
    <t>[Mastrangelo, Matias E.; Gavin, Michael C.] Victoria Univ Wellington, Sch Geog Environm &amp; Earth Sci, Wellington 6140, New Zealand</t>
  </si>
  <si>
    <t>Victoria University Wellington</t>
  </si>
  <si>
    <t>Mastrangelo, ME (corresponding author), Univ Nacl Mar del Plata, Fac Ciencias Agr, Unidad Integrada INTA Balcarce, POB 276, RA-7620 Balcarce, Argentina.</t>
  </si>
  <si>
    <t>matias.mastrangelo@vuw.ac.nz</t>
  </si>
  <si>
    <t>Mastrangelo, Matias/0000-0002-3049-3534; Gavin, Michael/0000-0002-2169-4668</t>
  </si>
  <si>
    <t>New Zealand Agency for International Development (NZAID)</t>
  </si>
  <si>
    <t>We are grateful to cattle ranchers and rural extension agents who contributed to this research in the field. This study was possible thanks to a postgraduate scholarship granted by the New Zealand Agency for International Development (NZAID).</t>
  </si>
  <si>
    <t>10.1111/j.1523-1739.2012.01904.x</t>
  </si>
  <si>
    <t>033LQ</t>
  </si>
  <si>
    <t>WOS:000310798400011</t>
  </si>
  <si>
    <t>Seiwa, K; Eto, Y; Hishita, M; Masaka, K</t>
  </si>
  <si>
    <t>Seiwa, Kenji; Eto, Yukino; Hishita, Masahiro; Masaka, Kazuhiko</t>
  </si>
  <si>
    <t>JOURNAL OF FOREST RESEARCH</t>
  </si>
  <si>
    <t>Hardwood-conifer mixed forest; Management goal; Net primary production; Timber production; Trade-off</t>
  </si>
  <si>
    <t>BROAD-LEAVED FORESTS; UNDERSTORY VEGETATION; MANAGED FORESTS; SEEDLING MORTALITY; BROADLEAVED TREES; SPATIAL-PATTERNS; LEAF SURVIVAL; WOODY-PLANTS; BIODIVERSITY; LIGHT</t>
  </si>
  <si>
    <t>In conifer plantations, enhancement of species diversity has become an important management goal. Although thinning is a useful method to enhance diversity, determining optimum thinning intensities may be rather complicated because of potential trade-offs among a broad array of management goals (e.g., recovery of biodiversity, increasing individual tree sizes, increasing net primary production, saving management costs). To evaluate the optimum thinning intensity by analyzing these relationships, we conducted a thinning experiment with three different thinning intensities-unthinned, 33% thinned, and 67% thinned-in a Cryptomeria japonica plantation in 2003, and investigated the number, diameter at breast height (DBH), and diversity of hardwoods (height &gt; 1.5 m) in 2008, and the growth of conifers over five years. In hardwoods, the number of individuals, number of species, mean DBH, and total basal area were greatest in the 67% thinned treatment, irrespective of successional status. However, Shannon's diversity index did not differ among the three treatments due to a disproportionate increase with thinning intensity in the abundance of a mid-successional species, Cornus controversa. Diameter growth of conifers was also highest in the 67% thinned and lowest in the unthinned treatment, whereas the reverse was true for stand volume increment. These results suggest that intensive thinning is a reliable method to convert conifer plantations into conifer-hardwood mixed forests at canopy level much more quickly and consistently than weak thinning, although primary production is to some extent reduced. If forest managers prefer sustainable timber production of conifers rather than full recovery of diversity, weak thinning may be suitable.</t>
  </si>
  <si>
    <t>[Seiwa, Kenji; Eto, Yukino; Hishita, Masahiro] Tohoku Univ, Grad Sch Agr Sci, Lab Forest Ecol, Osaki, Miyagi 9896711, Japan; [Masaka, Kazuhiko] Forestry Res Inst Koshunai, Bibai, Hokkaido 0790198, Japan</t>
  </si>
  <si>
    <t>Tohoku University</t>
  </si>
  <si>
    <t>Seiwa, K (corresponding author), Tohoku Univ, Grad Sch Agr Sci, Lab Forest Ecol, Osaki, Miyagi 9896711, Japan.</t>
  </si>
  <si>
    <t>seiwa@bios.tohoku.ac.jp</t>
  </si>
  <si>
    <t>Ministry of Education, Culture, Sports, Science and Technology, Japan [20380084]; Grants-in-Aid for Scientific Research [23380079] Funding Source: KAKEN</t>
  </si>
  <si>
    <t>Ministry of Education, Culture, Sports, Science and Technology, Japan(Ministry of Education, Culture, Sports, Science and Technology, Japan (MEXT)); Grants-in-Aid for Scientific Research(Ministry of Education, Culture, Sports, Science and Technology, Japan (MEXT)Japan Society for the Promotion of ScienceGrants-in-Aid for Scientific Research (KAKENHI))</t>
  </si>
  <si>
    <t>We thank Yoich Hasegawa, Miki Yamazaki, Aya Imaji, Mikio Terabaru, Naoto Numano, Hiroshi Kanno, Naoto Ueno, Megumi Kimura, Kenichi Kano, Fumihiro Yusa, Noboru Igarashi, and Tomoyuki Umetsu for help with the field observations. This work was supported by a grant from the Ministry of Education, Culture, Sports, Science and Technology, Japan (no. 20380084).</t>
  </si>
  <si>
    <t>1341-6979</t>
  </si>
  <si>
    <t>1610-7403</t>
  </si>
  <si>
    <t>J FOREST RES-JPN</t>
  </si>
  <si>
    <t>J. For. Res.</t>
  </si>
  <si>
    <t>10.1007/s10310-011-0316-z</t>
  </si>
  <si>
    <t>035OW</t>
  </si>
  <si>
    <t>WOS:000310957800003</t>
  </si>
  <si>
    <t>Müller, J; Klaus, VH; Kleinebecker, T; Prati, D; Hölzel, N; Fischer, M</t>
  </si>
  <si>
    <t>Mueller, Joerg; Klaus, Valentin H.; Kleinebecker, Till; Prati, Daniel; Hoelzel, Norbert; Fischer, Markus</t>
  </si>
  <si>
    <t>Impact of Land-Use Intensity and Productivity on Bryophyte Diversity in Agricultural Grasslands</t>
  </si>
  <si>
    <t>PLOS ONE</t>
  </si>
  <si>
    <t>MONTANE CALCAREOUS FENS; PLANT-SPECIES RICHNESS; VASCULAR PLANTS; CHALK GRASSLAND; FERTILIZER APPLICATION; SEEDLING EMERGENCE; COMMUNITY BIOMASS; INDICATOR VALUES; NITROGEN; VEGETATION</t>
  </si>
  <si>
    <t>While bryophytes greatly contribute to plant diversity of semi-natural grasslands, little is known about the relationships between land-use intensity, productivity, and bryophyte diversity in these habitats. We recorded vascular plant and bryophyte vegetation in 85 agricultural used grasslands in two regions in northern and central Germany and gathered information on land-use intensity. To assess grassland productivity, we harvested aboveground vascular plant biomass and analyzed nutrient concentrations of N, P, K, Ca and Mg. Further we calculated mean Ellenberg indicator values of vascular plant vegetation. We tested for effects of land-use intensity and productivity on total bryophyte species richness and on the species richness of acrocarpous (small &amp; erect) and pleurocarpous (creeping, including liverworts) growth forms separately. Bryophyte species were found in almost all studied grasslands, but species richness differed considerably between study regions in northern Germany (2.8 species per 16 m(2)) and central Germany (6.4 species per 16 m(2)) due environmental differences as well as land-use history. Increased fertilizer application, coinciding with high mowing frequency, reduced bryophyte species richness significantly. Accordingly, productivity estimates such as plant biomass and nitrogen concentration were strongly negatively related to bryophyte species richness, although productivity decreased only pleurocarpous species. Ellenberg indicator values for nutrients proved to be useful indicators of species richness and productivity. In conclusion, bryophyte composition was strongly dependent on productivity, with smaller bryophytes that were likely negatively affected by greater competition for light. Intensive land-use, however, can also indirectly decrease bryophyte species richness by promoting grassland productivity. Thus, increasing productivity is likely to cause a loss of bryophyte species and a decrease in species diversity.</t>
  </si>
  <si>
    <t>[Mueller, Joerg; Fischer, Markus] Univ Potsdam, Inst Biochem &amp; Biol, Potsdam, Germany; [Klaus, Valentin H.; Kleinebecker, Till; Hoelzel, Norbert] Univ Munster, Inst Landscape Ecol, D-48149 Munster, Germany; [Prati, Daniel; Fischer, Markus] Univ Bern, Inst Plant Sci, Bern, Switzerland</t>
  </si>
  <si>
    <t>University of Potsdam; University of Munster; University of Bern</t>
  </si>
  <si>
    <t>Müller, J (corresponding author), Univ Potsdam, Inst Biochem &amp; Biol, Potsdam, Germany.</t>
  </si>
  <si>
    <t>muellerj@uni-potsdam.de</t>
  </si>
  <si>
    <t>Fischer, Markus/C-6411-2008; Hölzel, Norbert/H-8753-2013; Klaus, Valentin H/JBJ-7038-2023</t>
  </si>
  <si>
    <t>Hölzel, Norbert/0000-0002-6367-3400; Klaus, Valentin H/0000-0002-7469-6800; Kleinebecker, Till/0000-0003-1121-2861</t>
  </si>
  <si>
    <t>DFG (German Research Foundation) [SSP 1374 (FI 1246/6-1)]; DFG [FI 1246/6-1, FI 1246/9-1, HO 3830/2-1]</t>
  </si>
  <si>
    <t>DFG (German Research Foundation)(German Research Foundation (DFG)); DFG(German Research Foundation (DFG))</t>
  </si>
  <si>
    <t>The DFG (German Research Foundation; http://www.dfg.de/en/index.jsp) funded the study in the framework of the Biodiversity Exploratories SSP 1374 (FI 1246/6-1). The funders had no role in study design, data collection and analysis, decision to publish, or preparation of the manuscript. We thank all project members, field teams and managers of the Exploratories, Sonja Gockel, Andreas Hemp and Martin Gorke and Simone Pfeiffer for their work in maintaining the plot and project infrastructure. Furthermore, we thank Franc, ois Buscot, Dominik Hessenmoller, the late Elisabeth Kalko, Eduard Linsenmair, Jens Nieschulze, Ingo Schoning, Ernst-Detlef Schulze and Wolfgang W. Weisser for their role in setting up the Biodiversity Exploratories. Further we thank Ariel Bergamini and Ewald Weber for review and critical remarks on an earlier draft of this manuscript. The work has been funded by the DFG Priority Program 1374 Infrastructure-Biodiversity-Exploratories (grants FI 1246/ 6-1, FI 1246/9-1, HO 3830/2-1). Field work permits were obtained from the responsible state environmental offices of Thuringia and Brandenburg (according to 1 72 BbgNatSchG).</t>
  </si>
  <si>
    <t>PUBLIC LIBRARY SCIENCE</t>
  </si>
  <si>
    <t>SAN FRANCISCO</t>
  </si>
  <si>
    <t>1160 BATTERY STREET, STE 100, SAN FRANCISCO, CA 94111 USA</t>
  </si>
  <si>
    <t>1932-6203</t>
  </si>
  <si>
    <t>PLoS One</t>
  </si>
  <si>
    <t>DEC 12</t>
  </si>
  <si>
    <t>e51520</t>
  </si>
  <si>
    <t>10.1371/journal.pone.0051520</t>
  </si>
  <si>
    <t>Multidisciplinary Sciences</t>
  </si>
  <si>
    <t>Science &amp; Technology - Other Topics</t>
  </si>
  <si>
    <t>066QV</t>
  </si>
  <si>
    <t>WOS:000313236200129</t>
  </si>
  <si>
    <t>Batáry, P; Sutcliffe, L; Dormann, CF; Tscharntke, T</t>
  </si>
  <si>
    <t>Batary, Perer; Sutcliffe, Laura; Dormann, Carsten F.; Tscharntke, Teja</t>
  </si>
  <si>
    <t>Organic Farming Favours Insect-Pollinated over Non-Insect Pollinated Forbs in Meadows and Wheat Fields</t>
  </si>
  <si>
    <t>AGRI-ENVIRONMENT SCHEMES; FARMLAND BIODIVERSITY; CEREAL CROPS; LANDSCAPE; PLANT; DIVERSITY; BEES; MANAGEMENT; WEED; CONSERVATION</t>
  </si>
  <si>
    <t>The aim of this study was to determine the relative effects of landscape-scale management intensity, local management intensity and edge effect on diversity patterns of insect-pollinated vs. non-insect pollinated forbs in meadows and wheat fields. Nine landscapes were selected differing in percent intensively used agricultural area (IAA), each with a pair of organic and conventional winter wheat fields and a pair of organic and conventional meadows. Within fields, forbs were surveyed at the edge and in the interior. Both diversity and cover of forbs were positively affected by organic management in meadows and wheat fields. This effect, however, differed significantly between pollination types for species richness in both agroecosystem types (i.e. wheat fields and meadows) and for cover in meadows. Thus, we show for the first time in a comprehensive analysis that insect-pollinated plants benefit more from organic management than non-insect pollinated plants regardless of agroecosystem type and landscape complexity. These benefits were more pronounced in meadows than wheat fields. Finally, the community composition of insect-pollinated and non-insect-pollinated forbs differed considerably between management types. In summary, our findings in both agroecosystem types indicate that organic management generally supports a higher species richness and cover of insect-pollinated plants, which is likely to be favourable for the density and diversity of bees and other pollinators.</t>
  </si>
  <si>
    <t>[Batary, Perer; Sutcliffe, Laura; Tscharntke, Teja] Univ Gottingen, D-37073 Gottingen, Germany; [Batary, Perer] MTA ELTE MTM Ecol Res Grp, Budapest, Hungary; [Dormann, Carsten F.] UFZ Helmholtz Ctr Environm Res, Leipzig, Germany; [Dormann, Carsten F.] Univ Freiburg, D-79106 Freiburg, Germany</t>
  </si>
  <si>
    <t>University of Gottingen; HUN-REN; Office for Supported Research Groups (ELKH); Helmholtz Association; Helmholtz Center for Environmental Research (UFZ); University of Freiburg</t>
  </si>
  <si>
    <t>Batáry, P (corresponding author), Univ Gottingen, D-37073 Gottingen, Germany.</t>
  </si>
  <si>
    <t>pbatary@gmail.com</t>
  </si>
  <si>
    <t>Tscharntke, Teja/N-5123-2014; Dormann, Carsten/AFN-0998-2022; Batary, Peter/A-2349-2008; Sutcliffe, Laura/AAF-6241-2020</t>
  </si>
  <si>
    <t>Dormann, Carsten F/0000-0002-9835-1794; Batary, Peter/0000-0002-1017-6996; Tscharntke, Teja/0000-0002-4482-3178; Sutcliffe, Laura/0000-0002-3610-0017</t>
  </si>
  <si>
    <t>Alexander von Humboldt Foundation; Deutsche Forschungsgemeinschaft [DFG BA 4438/1-1]; University of Gottingen</t>
  </si>
  <si>
    <t>Alexander von Humboldt Foundation(Alexander von Humboldt FoundationUniversity of Maryland Baltimore); Deutsche Forschungsgemeinschaft(German Research Foundation (DFG)); University of Gottingen</t>
  </si>
  <si>
    <t>P.B. was supported by the Alexander von Humboldt Foundation and during the preparation of the paper by the Deutsche Forschungsgemeinschaft (DFG BA 4438/1-1). The publication was funded by the University of Gottingen in the funding programme Open Access Publishing. The funders had no role in study design, data collection and analysis, decision to publish, or preparation of the manuscript.</t>
  </si>
  <si>
    <t>JAN 28</t>
  </si>
  <si>
    <t>e54818</t>
  </si>
  <si>
    <t>10.1371/journal.pone.0054818</t>
  </si>
  <si>
    <t>093SF</t>
  </si>
  <si>
    <t>WOS:000315211500031</t>
  </si>
  <si>
    <t>Boch, S; Prati, D; Hessenmöller, D; Schulze, ED; Fischer, M</t>
  </si>
  <si>
    <t>Boch, Steffen; Prati, Daniel; Hessenmoeller, Dominik; Schulze, Ernst-Detlef; Fischer, Markus</t>
  </si>
  <si>
    <t>Richness of Lichen Species, Especially of Threatened Ones, Is Promoted by Management Methods Furthering Stand Continuity</t>
  </si>
  <si>
    <t>EPIPHYTIC LICHENS; OLD-GROWTH; BRYOPHYTE COMMUNITIES; BEECH FORESTS; DIVERSITY; CONSERVATION; BIODIVERSITY; DISPERSAL; INDICATOR; QUALITY</t>
  </si>
  <si>
    <t>Lichens are a key component of forest biodiversity. However, a comprehensive study analyzing lichen species richness in relation to several management types, extending over different regions and forest stages and including information on site conditions is missing for temperate European forests. In three German regions (Schwabische Alb, Hainich-Dun, Schorfheide-Chorin), the so-called Biodiversity Exploratories, we studied lichen species richness in 631 forest plots of 400 m(2) comprising different management types (unmanaged, selection cutting, deciduous and coniferous age-class forests resulting from clear cutting or shelterwood logging), various stand ages, and site conditions, typical for large parts of temperate Europe. We analyzed how lichen species richness responds to management and habitat variables (standing biomass, cover of deadwood, cover of rocks). We found strong regional differences with highest lichen species richness in the Schwabische Alb, probably driven by regional differences in former air pollution, and in precipitation and habitat variables. Overall, unmanaged forests harbored 22% more threatened lichen species than managed age-class forests. In general, total, corticolous, and threatened lichen species richness did not differ among management types of deciduous forests. However, in the Schwabische-Alb region, deciduous forests had 61% more lichen species than coniferous forests and they had 279% more threatened and 76% more corticolous lichen species. Old deciduous age classes were richer in corticolous lichen species than young ones, while old coniferous age-classes were poorer than young ones. Overall, our findings highlight the importance of stand continuity for conservation. To increase total and threatened lichen species richness we suggest (1) conserving unmanaged forests, (2) promoting silvicultural methods assuring stand continuity, (3) conserving old trees in managed forests, (4) promoting stands of native deciduous tree species instead of coniferous plantations, and (5) increasing the amount of deadwood in forests.</t>
  </si>
  <si>
    <t>[Boch, Steffen; Prati, Daniel; Fischer, Markus] Univ Bern, Inst Plant Sci, Bern, Switzerland; [Boch, Steffen; Prati, Daniel; Fischer, Markus] Univ Bern, Bot Gardens, Bern, Switzerland; [Boch, Steffen; Prati, Daniel; Fischer, Markus] Univ Bern, Oeschger Ctr, Bern, Switzerland; [Hessenmoeller, Dominik; Schulze, Ernst-Detlef] Max Planck Inst Biogeochem, D-07745 Jena, Germany</t>
  </si>
  <si>
    <t>University of Bern; University of Bern; University of Bern; Max Planck Society</t>
  </si>
  <si>
    <t>Boch, S (corresponding author), Univ Bern, Inst Plant Sci, Bern, Switzerland.</t>
  </si>
  <si>
    <t>steffen.boch@ips.unibe.ch</t>
  </si>
  <si>
    <t>Boch, Steffen/L-5436-2016; Fischer, Markus/C-6411-2008; Schulze, Ernst-Detlef/K-9627-2014</t>
  </si>
  <si>
    <t>Schulze, Ernst-Detlef/0000-0001-6188-9219; Boch, Steffen/0000-0003-2814-5343</t>
  </si>
  <si>
    <t>DFG (German Research Foundation) in the framework of the Biodiversity Exploratories Infrastructure-Biodiversity-Exploratories [SSP 1374, FI 1246/6-1, FI 1246/9-1]</t>
  </si>
  <si>
    <t>DFG (German Research Foundation) in the framework of the Biodiversity Exploratories Infrastructure-Biodiversity-Exploratories(German Research Foundation (DFG))</t>
  </si>
  <si>
    <t>The DFG (German Research Foundation; http://www.dfg.de/en/index.jsp) funded the study in the framework of the Biodiversity Exploratories SSP 1374 Infrastructure-Biodiversity-Exploratories (FI 1246/6-1, FI 1246/9-1). The funders had no role in study design, data collection and analysis, decision to publish, or preparation of the manuscript.</t>
  </si>
  <si>
    <t>JAN 29</t>
  </si>
  <si>
    <t>e55461</t>
  </si>
  <si>
    <t>10.1371/journal.pone.0055461</t>
  </si>
  <si>
    <t>097OK</t>
  </si>
  <si>
    <t>WOS:000315483200052</t>
  </si>
  <si>
    <t>Mudrák, O; Dolezal, J; Hájek, M; Dancák, M; Klimes, L; Klimesová, J</t>
  </si>
  <si>
    <t>Mudrak, Ondrej; Dolezal, Jiri; Hajek, Michal; Dancak, Martin; Klimes, Leos; Klimesova, Jitka</t>
  </si>
  <si>
    <t>APPLIED VEGETATION SCIENCE</t>
  </si>
  <si>
    <t>Bile Karpaty Mountains; Bromus erectus; Calamagrostis epigejos; Litter; Molinia arundinacea; Mowing; Wooded grasslands</t>
  </si>
  <si>
    <t>LITTER; RECRUITMENT; GRASSLANDS; DYNAMICS; DATABASE; PRODUCTIVITY; DISPERSAL</t>
  </si>
  <si>
    <t>Questions (1) How do various mowing regimes used for the preservation of diverse meadow biota affect the occurrence of plant seedlings? (2) Does the effect of mowing regime on seedlings differ among vegetation types? (3) Are the seedlings occurring under a particular management type characterized by distinct functional traits? (4) Do the traits of seedlings differ from those of resident adult plant species? Location White Carpathians (Bile Karpaty) Mountains, Czech Republic. Methods In a species-rich meadow, seedlings (non-graminoids only) were identified to species and counted in an experiment that included management cessation and five mowing regimes in three types of vegetation for 2yr. The abundance-weighted averages of functional traits were compared between seedling and adult plant communities. Results Seedling occurrence was suppressed by management cessation (abandonment) but differences among the five mowing treatments were small for all vegetation types. Seedling density and species richness were highest in vegetation dominated by Bromus erectus, intermediate in vegetation dominated by Molinia arundinacea, and lowest in vegetation dominated by Calamagrostis epigejos. Comparison of functional trait composition of seedlings with that of adult plants revealed that seedlings were largely produced by species with no or limited clonal growth and with low stature, and therefore with lower competitive ability. Conclusions The results indicate that short-term alteration of the mowing regime does not change conditions conducive to seedling occurrence, but even short-term abandonment hinders the establishment of small, non-clonal species. Rapid changes in species composition after abandonment in temperate meadows are therefore due not only to competitive exclusion of subordinate plant species, but also to their inability to establish from seeds.</t>
  </si>
  <si>
    <t>[Mudrak, Ondrej; Dolezal, Jiri; Klimes, Leos; Klimesova, Jitka] Acad Sci Czech Republ, Inst Bot, Sect Plant Ecol, CZ-37982 Trebon, Czech Republic; [Hajek, Michal] Masaryk Univ, Dept Bot &amp; Zool, CZ-61137 Brno, Czech Republic; [Dancak, Martin] Palacky Univ, Fac Sci, Dept Ecol &amp; Environm Sci, CZ-78371 Olomouc, Czech Republic; [Dolezal, Jiri] Univ South Bohemia, Fac Sci, CZ-37005 Ceske Budejovice, Czech Republic</t>
  </si>
  <si>
    <t>Czech Academy of Sciences; Institute of Botany of the Czech Academy of Sciences; Masaryk University; Palacky University Olomouc; University of South Bohemia Ceske Budejovice</t>
  </si>
  <si>
    <t>Mudrák, O (corresponding author), Acad Sci Czech Republ, Inst Bot, Sect Plant Ecol, Dukelska 135, CZ-37982 Trebon, Czech Republic.</t>
  </si>
  <si>
    <t>ondrej.mudrak@centrum.cz; dolezal@butbn.cas.cz; hajek@sci.muni.cz; martin.dancak@upol.cz; klimes@butbn.cas.cz; klimesova@butbn.cas.cz</t>
  </si>
  <si>
    <t>Hájek, Michal/H-1648-2014; Mudrák, Ondřej/H-1614-2014; Doležal, Jiří/H-1583-2014; Klimešová, Jitka/ABC-6307-2020; Dančák, Martin/AAB-9537-2019</t>
  </si>
  <si>
    <t>Hájek, Michal/0000-0002-5201-2682; Mudrák, Ondřej/0000-0001-7775-0414; Dančák, Martin/0000-0002-3851-4969; Dolezal, Jiri/0000-0002-5829-4051;</t>
  </si>
  <si>
    <t>long-term research development project [RVO 67 985 939]; Czech Science Foundation [GA CR 526/09/0963]</t>
  </si>
  <si>
    <t>long-term research development project; Czech Science Foundation(Grant Agency of the Czech Republic)</t>
  </si>
  <si>
    <t>This study was supported by a long-term research development project (no. RVO 67 985 939) and Czech Science Foundation (GA CR 526/09/0963). We thank Dr. B. Jaffee (JaffeeRevises, Bellingham, WA, USA) and J. W. Jongepier for improving the language. This work would not have been possible without cooperation and logistic support of the Bile Karpaty Protected Landscape Area Authority, namely Ivana Jongepierova.</t>
  </si>
  <si>
    <t>1402-2001</t>
  </si>
  <si>
    <t>1654-109X</t>
  </si>
  <si>
    <t>APPL VEG SCI</t>
  </si>
  <si>
    <t>Appl. Veg. Sci.</t>
  </si>
  <si>
    <t>10.1111/avsc.12001</t>
  </si>
  <si>
    <t>100HZ</t>
  </si>
  <si>
    <t>WOS:000315690500013</t>
  </si>
  <si>
    <t>Sircely, J; Naeem, S</t>
  </si>
  <si>
    <t>Sircely, Jason; Naeem, Shahid</t>
  </si>
  <si>
    <t>AGROFORESTRY SYSTEMS</t>
  </si>
  <si>
    <t>Ecosystem service interaction; Synergy; Trade-off; Forage quality; Improved fallow; Grazed fallow</t>
  </si>
  <si>
    <t>SOIL FERTILITY MANAGEMENT; TROPICAL AGROECOSYSTEMS; FUNCTIONAL DIVERSITY; RESOURCE QUALITY; ORGANIC-MATTER; PLANTS; FACILITATION; COMMUNITY; FRAMEWORK; RICHNESS</t>
  </si>
  <si>
    <t>Interactions among ecosystem services are increasingly perceived as important to ecosystem service delivery. Synergies and trade-offs among ecosystem services arise through direct ecological interactions or indirectly through correlated responses to other factors. To investigate whether and how interactions of overstory trees and shrubs with livestock forage species growing beneath generate ecosystem service interactions, overstory and forage species were examined in smallholder fallows in western Kenya. In 18 grazed and 21 improved fallows, we estimated biomass and quantified soil properties. We assessed whether the overstory reduces forage biomass and quality through competition, and whether overstory niche complementarity ameliorates competition or enhances facilitation. In improved fallows, forage biomass declined with overstory biomass, indicating competition and a wood-forage trade-off. In grazed fallows, biomass of higher quality forage species increased with overstory biomass, indicating a synergy, likely indirect. Niche complementarity, quantified as taxonomic and functional diversity, did not appear influential. Forage quality was not associated with overstory characteristics, but declined with grazing intensity. The contrasting relationships between overstory and forage species among fallow types appear ultimately attributable to the presence and intensity of grazing and the dense overstory in improved fallows.</t>
  </si>
  <si>
    <t>[Sircely, Jason; Naeem, Shahid] Columbia Univ, Dept Ecol Evolut &amp; Environm Biol, New York, NY 10027 USA</t>
  </si>
  <si>
    <t>Columbia University</t>
  </si>
  <si>
    <t>Sircely, J (corresponding author), Columbia Univ, Dept Ecol Evolut &amp; Environm Biol, 10th Floor Schermerhorn Extens,1200 Amsterdam Ave, New York, NY 10027 USA.</t>
  </si>
  <si>
    <t>jas2162@columbia.edu</t>
  </si>
  <si>
    <t>0167-4366</t>
  </si>
  <si>
    <t>1572-9680</t>
  </si>
  <si>
    <t>AGROFOREST SYST</t>
  </si>
  <si>
    <t>Agrofor. Syst.</t>
  </si>
  <si>
    <t>10.1007/s10457-012-9566-9</t>
  </si>
  <si>
    <t>Agronomy; Forestry</t>
  </si>
  <si>
    <t>Agriculture; Forestry</t>
  </si>
  <si>
    <t>104PL</t>
  </si>
  <si>
    <t>WOS:000316006500019</t>
  </si>
  <si>
    <t>Gabriel, D; Sait, SM; Kunin, WE; Benton, TG</t>
  </si>
  <si>
    <t>Gabriel, Doreen; Sait, Steven M.; Kunin, William E.; Benton, Tim G.</t>
  </si>
  <si>
    <t>agri-environment schemes; agro-ecology; conservation; diversity; land sharing; land sparing; landscape; organic farming; wheat; yield</t>
  </si>
  <si>
    <t>DIFFERENT SPATIAL SCALES; FARMLAND BIODIVERSITY; EUROPEAN FARMLAND; LANDSCAPE CONTEXT; FARMING SYSTEMS; LAND; DIVERSITY; YIELD; INTENSIFICATION; COMMUNITIES</t>
  </si>
  <si>
    <t>A substantial proportion of the global land surface is used for agricultural production. Agricultural land serves multiple societal purposes; it provides food, fuel and fibre and also acts as habitat for organisms and supports the services they provide. Biodiversity conservation and food production need to be balanced: production needs to be sustainable, while conservation cannot be totally at the expense of crop yield. To identify the benefits (in terms of biodiversity conservation) and costs (in terms of reduction in yields) of agricultural management, we examined the relationship between crop yield and abundance and species density of important taxa in winter cereal fields on both organic and conventional farms in lowland England. Of eight species groups examined, five (farmland plants, bumblebees, butterflies, solitary bees and epigeal arthropods) were negatively associated with crop yield, but the shape of this relationship varied between taxa. It was linear for the abundance of bumblebees and species density of butterflies, concave up for the abundance of epigeal arthropods and butterflies and concave down for species density of plants and bumblebees. Grain production per unit area was 54% lower in organic compared with conventional fields. When controlling for yield, diversity of bumblebees, butterflies, hoverflies and epigeal arthropods did not differ between farming systems, indicating that observed differences in biodiversity between organic and conventional fields are explained by lower yields in organic fields and not by different management practices per se. Only percentage cover and species density of plants were increased by organic field management after controlling for yield. The abundance of solitary wild bees and hoverflies was increased in landscapes with high amount of organic land. Synthesis and applications. Our results indicate that considerable gains in biodiversity require roughly proportionate reductions in yield in highly productive agricultural systems. They suggest that conservation efforts may be more cost effective in low-productivity agricultural systems or on non-agricultural land. In less productive agricultural landscapes, biodiversity benefit can be gained by concentrating organic farms into hotspots without a commensurate reduction in yield.</t>
  </si>
  <si>
    <t>[Gabriel, Doreen; Sait, Steven M.; Kunin, William E.; Benton, Tim G.] Univ Leeds, Sch Biol, Leeds LS2 9JT, W Yorkshire, England; [Gabriel, Doreen] Fed Res Ctr Cultivated Plants, Julius Kuhn Inst, Inst Crop &amp; Soil Sci, D-38116 Braunschweig, Germany; [Gabriel, Doreen] Fed Res Inst Rural Areas Fisheries &amp; Forestry, Thunen Inst, Inst Biodivers, D-38116 Braunschweig, Germany</t>
  </si>
  <si>
    <t>University of Leeds; Julius Kuhn-Institut; Johann Heinrich von Thunen Institute</t>
  </si>
  <si>
    <t>Gabriel, D (corresponding author), Univ Leeds, Sch Biol, Leeds LS2 9JT, W Yorkshire, England.</t>
  </si>
  <si>
    <t>Doreen.Gabriel@jki.bund.de</t>
  </si>
  <si>
    <t>; Benton, Tim/C-6493-2009; Kunin, William/ADG-8874-2022</t>
  </si>
  <si>
    <t>Sait, Steven/0000-0002-7208-8617; Benton, Tim/0000-0002-7448-1973;</t>
  </si>
  <si>
    <t>UK Research Councils' Rural Economy and Land Use Programme (RELU) [RES-227-25-0006]; British Ecological Society; UKPopNet; Economic and Social Research Council [RES-227-25-0006] Funding Source: researchfish</t>
  </si>
  <si>
    <t>UK Research Councils' Rural Economy and Land Use Programme (RELU); British Ecological Society; UKPopNet; Economic and Social Research Council(UK Research &amp; Innovation (UKRI)Economic &amp; Social Research Council (ESRC))</t>
  </si>
  <si>
    <t>We thank the farmers, the field and laboratory assistants and the RELU SCALE team for collaboration, J. Hodgson for the 2008 butterfly data, U. Schmutz for farm economics data and R. Morris, F. Burger and A. Dietzsch for pollinator ID. Thanks to Janne Bengtsson and one anonymous referee for their critical and helpful comments. The research was funded as part of the UK Research Councils' Rural Economy and Land Use Programme (RELU) (RES-227-25-0006). D. G. was supported by the British Ecological Society and the UKPopNet.</t>
  </si>
  <si>
    <t>10.1111/1365-2664.12035</t>
  </si>
  <si>
    <t>117QX</t>
  </si>
  <si>
    <t>WOS:000316969300009</t>
  </si>
  <si>
    <t>Boreux, V; Kushalappa, CG; Vaast, P; Ghazoul, J</t>
  </si>
  <si>
    <t>Boreux, Virginie; Kushalappa, Cheppudira G.; Vaast, Philippe; Ghazoul, Jaboury</t>
  </si>
  <si>
    <t>Interactive effects among ecosystem services and management practices on crop production: Pollination in coffee agroforestry systems</t>
  </si>
  <si>
    <t>PROCEEDINGS OF THE NATIONAL ACADEMY OF SCIENCES OF THE UNITED STATES OF AMERICA</t>
  </si>
  <si>
    <t>Apis; Coffea canephora; India; Tetragonula</t>
  </si>
  <si>
    <t>BIODIVERSITY CONSERVATION; ARABICA; CHALLENGES; LANDSCAPES; CANEPHORA; DIVERSITY; PLANT</t>
  </si>
  <si>
    <t>Crop productivity is improved by ecosystem services, including pollination, but this should be set in the context of trade-offs among multiple management practices. We investigated the impact of pollination services on coffee production, considering variation in fertilization, irrigation, shade cover, and environmental variables such as rainfall (which stimulates coffee flowering across all plantations), soil pH, and nitrogen availability. After accounting for management interventions, bee abundance improved coffee production (number of berries harvested). Some management interventions, such as irrigation, used once to trigger asynchronous flowering, dramatically increased bee abundance at coffee trees. Others, such as the extent and type of tree cover, revealed interacting effects on pollination and, ultimately, crop production. The effects of management interventions, notably irrigation and addition of lime, had, however, far more substantial positive effects on coffee production than tree cover. These results suggest that pollination services matter, but managing the asynchrony of flowering was a more effective tool for securing good pollination than maintaining high shade tree densities as pollinator habitat. Complex interactions across farm and landscape scales, including both management practices and environmental conditions, shape pollination outcomes. Effective production systems therefore require the integrated consideration of management practices in the context of the surrounding habitat structure. This paper points toward a more strategic use of ecosystem services in agricultural systems, where ecosystem services are shaped by the coupling of management interventions and environmental variables.</t>
  </si>
  <si>
    <t>[Boreux, Virginie; Ghazoul, Jaboury] ETH, Inst Terr Ecosyst, Dept Environm Syst Sci, CH-8092 Zurich, Switzerland; [Kushalappa, Cheppudira G.] Univ Agr Sci Bangalore, Coll Forestry, Ponnampet 571216, Kodagu, India; [Vaast, Philippe] Ctr Cooperat Rech Agron Dev, Unite Mixte Rech Ecol Fonct &amp; Biogeochim Sols &amp; A, F-34060 Montpellier 2, France</t>
  </si>
  <si>
    <t>Swiss Federal Institutes of Technology Domain; ETH Zurich; University of Agricultural Sciences Bangalore</t>
  </si>
  <si>
    <t>Ghazoul, J (corresponding author), ETH, Inst Terr Ecosyst, Dept Environm Syst Sci, CH-8092 Zurich, Switzerland.</t>
  </si>
  <si>
    <t>jaboury.ghazoul@env.ethz.ch</t>
  </si>
  <si>
    <t>Kushalappa, Cheppudira/AAY-8491-2020; Ghazoul, Jaboury/B-2121-2018</t>
  </si>
  <si>
    <t>Ghazoul, Jaboury/0000-0002-8319-1636</t>
  </si>
  <si>
    <t>Swiss Centre for International Agriculture; French Institute of Pondicherry</t>
  </si>
  <si>
    <t>We thank the Swiss Centre for International Agriculture and the French Institute of Pondicherry for supporting this study. We thank Prof. Uma Shaanker and Dr. Claude Garcia, who contributed through discussions and comments to the study. This study would not have been possible without the collaboration of the many farmers as well as the many field assistants who worked relentlessly to collect the data, in particular Lavin Madappa. Statistical advice was provided by Christian Cilas and Ernest Hennig.</t>
  </si>
  <si>
    <t>NATL ACAD SCIENCES</t>
  </si>
  <si>
    <t>WASHINGTON</t>
  </si>
  <si>
    <t>2101 CONSTITUTION AVE NW, WASHINGTON, DC 20418 USA</t>
  </si>
  <si>
    <t>0027-8424</t>
  </si>
  <si>
    <t>P NATL ACAD SCI USA</t>
  </si>
  <si>
    <t>Proc. Natl. Acad. Sci. U. S. A.</t>
  </si>
  <si>
    <t>MAY 21</t>
  </si>
  <si>
    <t>10.1073/pnas.1210590110</t>
  </si>
  <si>
    <t>163IE</t>
  </si>
  <si>
    <t>Green Submitted, Bronze</t>
  </si>
  <si>
    <t>WOS:000320328700029</t>
  </si>
  <si>
    <t>Norvez, O; Hébert, C; Bélanger, L</t>
  </si>
  <si>
    <t>Norvez, Olivier; Hebert, Christian; Belanger, Louis</t>
  </si>
  <si>
    <t>Spruce budworm outbreak; Disturbance; Boreal balsam fir forest; Dead wood; Beetle diversity; Ecosystem management</t>
  </si>
  <si>
    <t>SAPROXYLIC BEETLES; DEAD WOOD; MANAGEMENT RECOMMENDATIONS; BIODIVERSITY CONSERVATION; SUSTAINABLE MANAGEMENT; NATURAL-DISTURBANCE; ECOSYSTEM FUNCTION; NATIONAL-PARK; DYNAMICS; ASSEMBLAGES</t>
  </si>
  <si>
    <t>Spruce budworm outbreaks represent the most important natural disturbance in the boreal balsam fir (Abies balsamea (L.) Mill.) forest of Canada, killing trees over wide areas and thus generating large amounts of dead wood. This disturbance is part of the dynamic processes occurring within balsam fir forests, and its effects on biodiversity need to be understood in order to move closer towards sustainable forest management. We described stand structure and used beetles as biodiversity indicators to compare the ecological value of salvaged stands, managed afterwards with three different silvicultural treatments, with unsalvaged stands, 20 years after the last spruce budworm outbreak. Our experimental design involved five replicated stands of each of the four disturbance types for a total of 20 stands. A total of 3124 Coleoptera belonging to 47 families and 269 taxa were captured over 3 months of sampling. Results showed that habitat attributes still differed 20 years after a spruce budworm outbreak between unsalvaged and treated salvaged stands, such as more abundant and diverse dead wood in unsalvaged stands. Salvage logging and silvicultural treatments led to different beetle communities than in unsalvaged stands, even though abundance and richness did not change significantly. Most indicator species identified were saproxylic and associated with unsalvaged stands, suggesting salvage logging generated the largest changes to the original ecosystem while additional effects of the silvicultural treatments were less pronounced. This may result from the 67% reduction in downed dead wood volumes (e.g., 138 m(3)/ha in unsalvaged stands vs 46 m(3)/ha in managed stands). Even if this volume of dead wood is still relatively high, it is less diverse than in unsalvaged stands and includes almost no recent dead wood. Salvage logging affected saproxylic beetle communities, suggesting that the retention of naturally disturbed stands may help in implementing ecosystem management in boreal balsam fir forest and move closer towards sustainable management. Crown Copyright (C) 2013 Published by Elsevier B.V. All rights reserved.</t>
  </si>
  <si>
    <t>[Norvez, Olivier; Belanger, Louis] Univ Laval, Fac Foresterie Geog &amp; Geomat, Dept Sci Bois &amp; Foret, Quebec City, PQ G1V 0A6, Canada; [Hebert, Christian] Nat Resources Canada, Canadian Forest Serv, Laurentian Forestry Ctr, Stn St Foy, Quebec City, PQ G1V 4C7, Canada</t>
  </si>
  <si>
    <t>Laval University; Natural Resources Canada; Canadian Forest Service</t>
  </si>
  <si>
    <t>Hébert, C (corresponding author), Nat Resources Canada, Canadian Forest Serv, Laurentian Forestry Ctr, Stn St Foy, 1055 PEPS,POB 10380, Quebec City, PQ G1V 4C7, Canada.</t>
  </si>
  <si>
    <t>Christian.Hebert@RNCan-NRCan.gc.ca</t>
  </si>
  <si>
    <t>; Hébert, Christian/M-1922-2015</t>
  </si>
  <si>
    <t>Norvez, Olivier/0000-0001-7696-3493;</t>
  </si>
  <si>
    <t>Fonds quebecois de la recherche sur la nature et les technologies (FQRNT)</t>
  </si>
  <si>
    <t>Fonds quebecois de la recherche sur la nature et les technologies (FQRNT)(Fonds de recherche du Quebec (FRQ)Fonds de recherche du Quebec - Nature et technologies (FRQNT))</t>
  </si>
  <si>
    <t>We thank Ermias T. Azeria, from the Canadian Forest Service of Natural Resources Canada (CFS-NRCan), and Jonathan Boucher J.B.), from Universite Laval, for statistical advice and J.B. for producing the map of the study sites. We also thank Jean-Claude Ruel from Universite Laval, Yan Boulanger from the CFS-NRCan and three anonymous reviewers for their comments on earlier versions of the manuscript. We are grateful to Yves Dubuc of the CFS-NRCan, Francis Belanger, Eric Domaine (CFS students), Daniel Chalifour, Andree Rousseau and Olivier Jeffrey from Universite Laval for technical support, as well as Georges Pelletier, taxonomist at CFS-NRCan for taxonomic training, assistance throughout the identification process and the identification of Staphylinidae. Special thanks to Isabelle Lamarre and Pamela Cheers (NRCan-CFS) for improving the language and editing the manuscript. We thank the Societe des etablissements de plein air du Quebec (Sepaq) and managers of the Forest Montmorency of Universite Laval for providing access to the land and facilitating accommodation. This study was financially supported by the Fonds quebecois de la recherche sur la nature et les technologies (FQRNT).</t>
  </si>
  <si>
    <t>AUG 15</t>
  </si>
  <si>
    <t>10.1016/j.foreco.2013.03.018</t>
  </si>
  <si>
    <t>168XN</t>
  </si>
  <si>
    <t>WOS:000320741300013</t>
  </si>
  <si>
    <t>Adekunle, VAJ; Olagoke, AO; Ogundare, LF</t>
  </si>
  <si>
    <t>Adekunle, V. A. J.; Olagoke, A. O.; Ogundare, L. F.</t>
  </si>
  <si>
    <t>TIMBER EXPLOITATION RATE IN TROPICAL RAINFOREST ECOSYSTEM OF SOUTHWEST NIGERIA AND ITS IMPLICATIONS ON SUSTAINABLE FOREST MANAGEMENT</t>
  </si>
  <si>
    <t>APPLIED ECOLOGY AND ENVIRONMENTAL RESEARCH</t>
  </si>
  <si>
    <t>Timber exploitation; log removal; illegal logging; forest estate; Sustainable Forest Management; Conservation measures</t>
  </si>
  <si>
    <t>DIVERSITY</t>
  </si>
  <si>
    <t>Timber exploitation data that are very essential for sustainable management of the forest resources, where available in Nigeria, are not analyzed and studied to provide information on the rate of log removal from the forest estate. Timber exploitation rate in Nigeria using Ondo State as a case study was examined in this study. Secondary data on the volume and number of economic timber species exploited from the reserved and free areas forests in four forest administrative zones on monthly basis between 2003 and 2005 were collected from the state department of forestry. Analysis was done with student t-test and two-way analysis of variance. The result revealed that the highest number of species, families and stems was exploited in the free areas when compared with what was exploited from the reserves for the three-year period. During the study period, a total of 60 and 57 species were exploited from the free areas and the reserves respectively from the four administrative zones. The total number of stems exploited from both the free areas and reserves totaled 111377 with an estimated volume of 295089.67m(3). A steady increase was recorded in logging activities between year 2003 and 2004 but there was a decline in year 2005. This reveals how fast economic timbers are disappearing from the forests and consequently, how the ecosystem is seriously disturbed during logging activities. Principles for achieving the goals of sustainable forest management (SFM) and urgent conservation measures to mitigate these consequences were suggested.</t>
  </si>
  <si>
    <t>[Adekunle, V. A. J.; Olagoke, A. O.] Fed Univ Technol Akure, Dept Forestry &amp; Wood Technol, Akure 340001, Ondo State, Nigeria; [Ogundare, L. F.] Forestry &amp; Wildlife Serv, Ondo State Minist Agr Forestry &amp; Fisheries, Akure, Nigeria</t>
  </si>
  <si>
    <t>Olagoke, AO (corresponding author), Fed Univ Technol Akure, Dept Forestry &amp; Wood Technol, PMB 704, Akure 340001, Ondo State, Nigeria.</t>
  </si>
  <si>
    <t>woleola@justice.com</t>
  </si>
  <si>
    <t>; Olagoke, Adewole/F-9913-2013</t>
  </si>
  <si>
    <t>Olagoke, Adewole/0000-0002-0869-329X;</t>
  </si>
  <si>
    <t>CORVINUS UNIV BUDAPEST</t>
  </si>
  <si>
    <t>BUDAPEST</t>
  </si>
  <si>
    <t>VILLANYI UT 29/43, BUDAPEST, H-1118, HUNGARY</t>
  </si>
  <si>
    <t>1589-1623</t>
  </si>
  <si>
    <t>1785-0037</t>
  </si>
  <si>
    <t>APPL ECOL ENV RES</t>
  </si>
  <si>
    <t>Appl. Ecol. Environ. Res.</t>
  </si>
  <si>
    <t>10.15666/aeer/1101_123136</t>
  </si>
  <si>
    <t>172IG</t>
  </si>
  <si>
    <t>WOS:000320994600008</t>
  </si>
  <si>
    <t>Murrieta-Galindo, R; González-Romero, A; López-Barrera, F; Parra-Olea, G</t>
  </si>
  <si>
    <t>Murrieta-Galindo, Rene; Gonzalez-Romero, Alberto; Lopez-Barrera, Fabiola; Parra-Olea, Gabriela</t>
  </si>
  <si>
    <t>Tropical montane cloud forest; Forest conversion; Agroforestry systems; Coffee plantation management</t>
  </si>
  <si>
    <t>HABITAT FRAGMENTATION; POPULATION DECLINES; CLOUD-FOREST; DIVERSITY; CONSERVATION; FROGS; LANDSCAPE; EDGE; BIODIVERSITY; MANAGEMENT</t>
  </si>
  <si>
    <t>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t>
  </si>
  <si>
    <t>[Lopez-Barrera, Fabiola] Inst Ecol, Red Ecol Func, Xalapa 91070, Veracruz, Mexico; [Parra-Olea, Gabriela] Univ Nacl Autonoma Mexico, Inst Biol, Dept Zool, Mexico City 04510, DF, Mexico</t>
  </si>
  <si>
    <t>Instituto de Ecologia - Mexico; Universidad Nacional Autonoma de Mexico</t>
  </si>
  <si>
    <t>Murrieta-Galindo, R (corresponding author), Inst Ecol, Red Biol &amp; Conservac Vertebrados, Carretera Antigua Coatepec 351,AP 63, Xalapa 91070, Veracruz, Mexico.</t>
  </si>
  <si>
    <t>murrieta13@gmail.com</t>
  </si>
  <si>
    <t>López-Barrera, Fabiola/Q-6271-2018; Murrieta-Galindo, Rene/J-6093-2016; Murrieta-Galindo, Rene/M-6426-2019; González-Romero, Alberto/Q-6701-2018</t>
  </si>
  <si>
    <t>López-Barrera, Fabiola/0000-0002-6092-6230; Murrieta-Galindo, Rene/0000-0001-5555-4455;</t>
  </si>
  <si>
    <t>Consejo Nacional de Ciencia y Tecnologia (CONACyT) [165879]</t>
  </si>
  <si>
    <t>Consejo Nacional de Ciencia y Tecnologia (CONACyT)(Consejo Nacional de Ciencia y Tecnologia (CONACyT))</t>
  </si>
  <si>
    <t>Rene Murrieta Galindo is grateful to the Consejo Nacional de Ciencia y Tecnologia (CONACyT) for National Doctoral scholarship No. 165879. We thank the Direccion de Vida Silvestre office of SEMARNAT for permits SPGA/DGVS/0265 and SPGA/DGVS/05892/08 allowing us to collect, handle and free the amphibians. We are grateful to the owners of the Finca La Onza, El Mirador, Esmeralda, La Vequia, and the cloud forests, all of which are private properties, for allowing us to sample there. We also thank Ricardo Romero (Las Canadas), and Orlik Gomez Garcia (Santuario del Bosque de Niebla). Rene A. Murrieta Hernandez, Rosalinda Castillo Hernandez and Cynthia Alfaro Martinez provided valuable help in the field and three anonymous reviewers for their valuable comments and suggestions to improve the manuscript. Bianca Delfosse translated the manuscript from the original in Spanish.</t>
  </si>
  <si>
    <t>10.1007/s10457-013-9595-z</t>
  </si>
  <si>
    <t>179KN</t>
  </si>
  <si>
    <t>WOS:000321519300004</t>
  </si>
  <si>
    <t>Boch, S; Prati, D; Müller, J; Socher, S; Baumbach, H; Buscot, F; Gockel, S; Hemp, A; Hessenmöller, D; Kalko, EKV; Linsenmair, KE; Pfeiffer, S; Pommer, U; Schöning, I; Schulze, ED; Seilwinder, C; Weisser, WW; Wells, K; Fischer, M</t>
  </si>
  <si>
    <t>Boch, Steffen; Prati, Daniel; Mueller, Joerg; Socher, Stephanie; Baumbach, Henryk; Buscot, Francois; Gockel, Sonja; Hemp, Andreas; Hessenmoeller, Dominik; Kalko, Elisabeth K. V.; Linsenmair, K. Eduard; Pfeiffer, Simone; Pommer, Ulf; Schoening, Ingo; Schulze, Ernst-Detlef; Seilwinder, Claudia; Weisser, Wolfgang W.; Wells, Konstans; Fischer, Markus</t>
  </si>
  <si>
    <t>Biodiversity Exploratories; Coniferous plantations; Disturbance; Ellenberg indicator values; Forest management; Selection vs. age-class forests; Silviculture; Standing biomass; Typical forest species; Unmanaged vs. managed forests</t>
  </si>
  <si>
    <t>HERB LAYER VEGETATION; DECIDUOUS FORESTS; OAK FORESTS; BIODIVERSITY; DIVERSITY; RESTORATION; TEMPERATE; COLONIZATION; SELECTION; BEECH</t>
  </si>
  <si>
    <t>There is a wealth of smaller-scale studies on the effects of forest management on plant diversity. However, studies comparing plant species diversity in forests with different management types and intensity, extending over different regions and forest stages, and including detailed information on site conditions are missing. We studied vascular plants on 1500 20 m x 20 m forest plots in three regions of Germany (Schwabische Alb, Hainich-Dun, Schorfheide-Chorin). In all regions, our study plots comprised different management types (unmanaged, selection cutting, deciduous and coniferous age-class forests, which resulted from clear cutting or shelterwood logging), various stand ages, site conditions, and levels of management-related disturbances. We analyzed how overall richness and richness of different plant functional groups (trees, shrubs, herbs, herbaceous species typically growing in forests and herbaceous light-demanding species) responded to the different management types. On average, plant species richness was 13% higher in age-class than in unmanaged forests, and did not differ between deciduous age-class and selection forests. In age-class forests of the Schwabische Alb and Hainich-Dun, coniferous stands had higher species richness than deciduous stands. Among age-class forests, older stands with large quantities of standing biomass were slightly poorer in shrub and light-demanding herb species than younger stands. Among deciduous forests, the richness of herbaceous forest species was generally lower in unmanaged than in managed forests, and it was even 20% lower in unmanaged than in selection forests in Hainich-Dun. Overall, these findings show that disturbances by management generally increase plant species richness. This suggests that total plant species richness is not suited as an indicator for the conservation status of forests, but rather indicates disturbances.</t>
  </si>
  <si>
    <t>[Boch, Steffen; Prati, Daniel; Socher, Stephanie; Fischer, Markus] Univ Bern, Inst Plant Sci, CH-3013 Bern, Switzerland; [Boch, Steffen; Prati, Daniel; Socher, Stephanie; Fischer, Markus] Univ Bern, Oeschger Ctr, CH-3013 Bern, Switzerland; [Mueller, Joerg; Hemp, Andreas; Pfeiffer, Simone; Pommer, Ulf] Univ Potsdam, Inst Biochem &amp; Biol, D-14469 Potsdam, Germany; [Baumbach, Henryk] Univ Jena, Inst Systemat Bot, D-07743 Jena, Germany; [Buscot, Francois] UFZ Helmholtz Ctr Environm Res, Dept Soil Ecol, D-06120 Halle, Germany; [Buscot, Francois] Univ Leipzig, Inst Bot, D-04103 Leipzig, Germany; [Gockel, Sonja; Seilwinder, Claudia; Weisser, Wolfgang W.] Tech Univ Munich, Chair Terr Ecol, Dept Ecol &amp; Ecosyst Management, D-85354 Freising Weihenstephan, Germany; [Hessenmoeller, Dominik; Schoening, Ingo; Schulze, Ernst-Detlef] Max Planck Inst Biogeochem, D-07745 Jena, Germany; [Kalko, Elisabeth K. V.; Wells, Konstans] Univ Ulm, Inst Expt Ecol, D-89069 Ulm, Germany; [Linsenmair, K. Eduard] Univ Wurzburg, Theodor Boveri Inst Biosci Anim Ecol &amp; Trop Biol, D-97074 Wurzburg, Germany</t>
  </si>
  <si>
    <t>University of Bern; University of Bern; University of Potsdam; Friedrich Schiller University of Jena; Helmholtz Association; Helmholtz Center for Environmental Research (UFZ); Leipzig University; Technical University of Munich; Max Planck Society; Ulm University; University of Wurzburg</t>
  </si>
  <si>
    <t>Boch, S (corresponding author), Univ Bern, Inst Plant Sci, Altenbergrain 21, CH-3013 Bern, Switzerland.</t>
  </si>
  <si>
    <t>Wells, Konstans/A-7232-2010; Linsenmair, Karl Eduard/Q-2268-2018; Schulze, Ernst-Detlef/K-9627-2014; Weisser, Wolfgang/B-9718-2014; Boch, Steffen/L-5436-2016; Linsenmair, Karl/Q-2268-2018; Schöning, Ingo/D-3341-2009; BUSCOT, Francois/A-4125-2016; Fischer, Markus/C-6411-2008; Buscot, Francois/A-4125-2016</t>
  </si>
  <si>
    <t>Wells, Konstans/0000-0003-0377-2463; Linsenmair, Karl Eduard/0000-0002-2132-8721; Schulze, Ernst-Detlef/0000-0001-6188-9219; Weisser, Wolfgang/0000-0002-2757-8959; Schöning, Ingo/0000-0002-9830-5026; Socher, Stephanie/0000-0002-0090-4005; BUSCOT, Francois/0000-0002-2364-0006; Boch, Steffen/0000-0003-2814-5343;</t>
  </si>
  <si>
    <t>DFG [1374, Fi-1246/6-1]</t>
  </si>
  <si>
    <t>DFG(German Research Foundation (DFG))</t>
  </si>
  <si>
    <t>The work has been funded by the DFG Priority Program 1374 Infrastructure - Biodiversity Exploratories (Fi-1246/6-1). Field work permits were issued by the responsible state environmental offices of Baden-Wurttemberg, Thuringen, and Brandenburg (according to 72 BbgNatSchG). We thank all further members of the local implementation teams and the Biodiversity Exploratory Office.</t>
  </si>
  <si>
    <t>10.1016/j.baae.2013.06.001</t>
  </si>
  <si>
    <t>213DX</t>
  </si>
  <si>
    <t>WOS:000324035600006</t>
  </si>
  <si>
    <t>Yan, XL; Bao, WK; Pang, XY; Zhang, NX; Chen, JQ</t>
  </si>
  <si>
    <t>Yan, Xiao Li; Bao, Wei Kai; Pang, Xue Yong; Zhang, Ning Xuan; Chen, Jiquan</t>
  </si>
  <si>
    <t>Bryophyte; Regeneration strategy; Planted forest; Clearcutting; Natural forest; Biodiversity conservation</t>
  </si>
  <si>
    <t>STAND STRUCTURE; OLD-GROWTH; PLANTATIONS; COMMUNITIES; UNDERSTOREY; VEGETATION; TEMPERATE; RICHNESS; CANOPY</t>
  </si>
  <si>
    <t>Natural regeneration with broadleaved species and reforestation with coniferous trees are two widely practiced forest regeneration strategies after timber harvesting. They lead to different tree species composition and may cause different understory biodiversity, but the effects on ground bryophyte composition and diversity are not well-known. We tested whether natural regeneration with broadleaved species and reforestation with spruce induced different diversities of the ground bryophyte populations 20-40 years after old-growth spruce forest clearcutting in the subalpine regions of southwestern China. Differences between natural stands and plantations were compared through the analysis of 13 paired stands, with 78 plots, 390 shrub/herb quadrats, and a total of 1,560 bryophyte quadrats. Naturally regenerated forests were characterized by lower density and cover and lower tree height but higher herbaceous plant height, shrub cover, and bryophyte diversity. They also harbored many more ground bryophytes. The species richness of pleurocarpous mosses and fans, mats, and turfs were significantly higher in naturally regenerated forests. Frequency difference analysis demonstrated that more bryophyte species preferred ground habitats in naturally regenerated forests than in plantations (116 vs. 48 species). The canonical correspondence analysis indicated that stand structure attributes were more important determinants of ground bryophyte diversity and abundance. Natural regeneration and reforestation resulted in large differences in ground bryophyte populations. A larger diversity was observed in the former case, and natural regeneration practices can be an effective measure for the protection of ground bryophyte diversity after clearcutting.</t>
  </si>
  <si>
    <t>[Yan, Xiao Li; Bao, Wei Kai; Pang, Xue Yong; Zhang, Ning Xuan] Chinese Acad Sci, Chengdu Inst Biol, Ecol Restorat Biodivers Conservat Key Lab Sichuan, Key Lab Mt Ecol Restorat &amp; Bio Resource Utilizat, Chengdu 610041, Sichuan, Peoples R China; [Yan, Xiao Li] Chinese Acad Sci, Grad Univ, Beijing 100049, Peoples R China; [Chen, Jiquan] Univ Toledo, Dept Environm Sci, Toledo, OH 43606 USA</t>
  </si>
  <si>
    <t>Chinese Academy of Sciences; Chengdu Institute of Biology, CAS; Chinese Academy of Sciences; University of Chinese Academy of Sciences, CAS; University System of Ohio; University of Toledo</t>
  </si>
  <si>
    <t>Bao, WK (corresponding author), Chinese Acad Sci, Chengdu Inst Biol, Ecol Restorat Biodivers Conservat Key Lab Sichuan, Key Lab Mt Ecol Restorat &amp; Bio Resource Utilizat, 9,Sect 4,Renmin Nan Ave,POB 416, Chengdu 610041, Sichuan, Peoples R China.</t>
  </si>
  <si>
    <t>Baowk@cib.ac.cn</t>
  </si>
  <si>
    <t>; Chen, Jiquan/D-1955-2009; Bao, Weikai/H-1938-2012</t>
  </si>
  <si>
    <t>Pang, Xueyong/0000-0002-7397-5824; Chen, Jiquan/0000-0003-0761-9458;</t>
  </si>
  <si>
    <t>National Natural Science Foundation of China [30972350, 30570333, 31270492]</t>
  </si>
  <si>
    <t>National Natural Science Foundation of China(National Natural Science Foundation of China (NSFC))</t>
  </si>
  <si>
    <t>This work was funded by three grants from the National Natural Science Foundation of China (numbers 30972350, 30570333, and 31270492). We are grateful to several bryologists (Dr. Jia Yu, Prof. Xiong Yuanxing, and Prof. Wang Youfang) for assisting in some specimen identification, several graduates (Wang Cheng, You Qiuhua, Long Hai, and Yi Minbo) for their invaluable field assistance, and the three Forestry Bureaus of Jinchuan, Barkam, and Li Counties for their logistic support. We also thank two anonymous reviewers for their helpful comments for revising the manuscript. Finally, we appreciate the help from Lisa Delp Taylor for kindly correcting the English of the manuscript.</t>
  </si>
  <si>
    <t>10.1007/s13595-013-0323-7</t>
  </si>
  <si>
    <t>247EJ</t>
  </si>
  <si>
    <t>WOS:000326598000009</t>
  </si>
  <si>
    <t>Dickson, TL; Gross, KL</t>
  </si>
  <si>
    <t>Dickson, Timothy L.; Gross, Katherine L.</t>
  </si>
  <si>
    <t>OECOLOGIA</t>
  </si>
  <si>
    <t>Clonal; Grassland; Long-term; Nitrogen fertilization; Species traits</t>
  </si>
  <si>
    <t>GOLDENROD SOLIDAGO-ALTISSIMA; RESOURCE HETEROGENEITY; DIVERSITY; NITROGEN; BIODIVERSITY; PRODUCTIVITY; VEGETATION; FERTILITY; GRASSLAND; HERBIVORY</t>
  </si>
  <si>
    <t>Declines in species richness due to fertilization are typically rapid and associated with increases in aboveground production. However, in a long-term experiment examining the impacts of fertilization in an early successional community, we found it took 14 years for plant species richness to significantly decline in fertilized plots, despite fertilization causing a rapid increase in aboveground production. To determine what accounted for this lag in the species richness response, we examined several potential mechanisms. We found evidence suggesting the abundance of one functional group-tall species with long-distance (runner) clonality-drove changes in species richness, and we found little support for other mechanisms. Tall runner species initially increased in abundance due to fertilization, then declined dramatically and were not abundant again until later in the experiment, when species richness and the combined biomass of all other functional groups (non-tall runner) declined. Over 86 % of the species found throughout the course of our study are non-tall runner, and there is a strong negative relationship between non-tall runner and tall runner biomass. We therefore suggest that declines in species richness in the fertilized treatment are due to high tall runner abundance that decreases the abundance and richness of non-tall runner species. By identifying the functional group that drives declines in richness due to fertilization, our results help to elucidate how fertilization decreases plant richness and also suggest that declines in richness due to fertilization can be lessened by controlling the abundance of species with a tall runner growth form.</t>
  </si>
  <si>
    <t>[Dickson, Timothy L.; Gross, Katherine L.] Michigan State Univ, WK Kellogg Biol Stn, Hickory Corners, MI 49060 USA; [Gross, Katherine L.] Michigan State Univ, Dept Plant Biol, E Lansing, MI 48824 USA</t>
  </si>
  <si>
    <t>Michigan State University; Michigan State University</t>
  </si>
  <si>
    <t>Dickson, TL (corresponding author), Univ Nebraska, Dept Biol, Omaha, NE 68182 USA.</t>
  </si>
  <si>
    <t>dicksontl@gmail.com</t>
  </si>
  <si>
    <t>National Science Foundation [DEB 87-0232, 9211771, DIR 9113598, BIR 9120006]; Direct For Biological Sciences; Division Of Environmental Biology [9211771] Funding Source: National Science Foundation; Division Of Environmental Biology; Direct For Biological Sciences [1027253] Funding Source: National Science Foundation</t>
  </si>
  <si>
    <t>National Science Foundation(National Science Foundation (NSF)); Direct For Biological Sciences; Division Of Environmental Biology(National Science Foundation (NSF)NSF - Directorate for Biological Sciences (BIO)); Division Of Environmental Biology; Direct For Biological Sciences(National Science Foundation (NSF)NSF - Directorate for Biological Sciences (BIO))</t>
  </si>
  <si>
    <t>We gratefully acknowledge Carol Baker, Pam Moseley, and many field workers whom have maintained and sampled the experiment over its long history. We received helpful comments on earlier drafts of this manuscript from Bryan Foster, Laura Gough, and two anonymous reviewers. The work was supported by several National Science Foundation grants: DEB 87-0232 and 9211771, DIR 9113598, and BIR 9120006. This is Kellogg Biological Station contribution 1723.</t>
  </si>
  <si>
    <t>0029-8549</t>
  </si>
  <si>
    <t>1432-1939</t>
  </si>
  <si>
    <t>Oecologia</t>
  </si>
  <si>
    <t>10.1007/s00442-013-2722-8</t>
  </si>
  <si>
    <t>268ZR</t>
  </si>
  <si>
    <t>WOS:000328210000032</t>
  </si>
  <si>
    <t>Gamoun, M</t>
  </si>
  <si>
    <t>Gamoun, Mouldi</t>
  </si>
  <si>
    <t>JOURNAL OF ARID LAND</t>
  </si>
  <si>
    <t>rangelands management; grazing pressure; richness; diversity; productivity</t>
  </si>
  <si>
    <t>FLORISTIC DIVERSITY; ARID RANGELANDS; INNER-MONGOLIA; STOCKING RATE; MANAGEMENT; PROTECTION; SOIL; GRASSLAND; COMMUNITY; DESERTIFICATION</t>
  </si>
  <si>
    <t>Although the effects of non-grazing and heavy grazing on vegetation structure have been extensively studied in a wide range of ecosystems, the effects of moderate grazing on desert land are still largely unknown. Many management opportunities exist for increasing forage intake. In order to determine an optimal management method of desert rangelands with high heritage value, we examined the respective effects of heavy grazing, moderate grazing and non-grazing on total vegetation cover, species richness, the Shannon-Wiener diversity index and rangeland productivity. Sampling was done from 2010 to 2012 (from the second year after treatments were imposed) using permanent transects under different grazing intensities. While total vegetation cover, species richness, Shannon-Wiener diversity index, species composition and primary production were significantly greater on the un-grazed site and significantly weaker on the heavily grazed site, in contrast, moderate grazing had no significant effect on total vegetation cover, species richness, Shannon diversity index, species composition and primary production. These studies suggest that desert rangelands plant communities in general lack response to moderate grazing disturbance, and if managed properly they can provide a valuable source of feed for livestock.</t>
  </si>
  <si>
    <t>Arid Reg Inst IRA, Lab Range Ecol, Medenine 4119, Tunisia</t>
  </si>
  <si>
    <t>Institut des Regions Arides</t>
  </si>
  <si>
    <t>Gamoun, M (corresponding author), Arid Reg Inst IRA, Lab Range Ecol, Medenine 4119, Tunisia.</t>
  </si>
  <si>
    <t>gamoun.mouldi@yahoo.fr</t>
  </si>
  <si>
    <t>Gamoun, Mouldi/0000-0003-3714-7674; Gamoun, Mouldi/0000-0003-0049-623X</t>
  </si>
  <si>
    <t>SPRINGER HEIDELBERG</t>
  </si>
  <si>
    <t>HEIDELBERG</t>
  </si>
  <si>
    <t>TIERGARTENSTRASSE 17, D-69121 HEIDELBERG, GERMANY</t>
  </si>
  <si>
    <t>1674-6767</t>
  </si>
  <si>
    <t>2194-7783</t>
  </si>
  <si>
    <t>J ARID LAND</t>
  </si>
  <si>
    <t>J. Arid Land</t>
  </si>
  <si>
    <t>10.1007/s40333-013-0202-y</t>
  </si>
  <si>
    <t>Environmental Sciences</t>
  </si>
  <si>
    <t>297DJ</t>
  </si>
  <si>
    <t>WOS:000330235300008</t>
  </si>
  <si>
    <t>Gourlet-Fleury, S; Mortier, F; Fayolle, A; Baya, F; Ouédraogo, D; Bénédet, F; Picard, N</t>
  </si>
  <si>
    <t>Gourlet-Fleury, Sylvie; Mortier, Frederic; Fayolle, Adeline; Baya, Fidele; Ouedraogo, Dakis; Benedet, Fabrice; Picard, Nicolas</t>
  </si>
  <si>
    <t>Tropical forest recovery from logging: a 24 year silvicultural experiment from Central Africa</t>
  </si>
  <si>
    <t>PHILOSOPHICAL TRANSACTIONS OF THE ROYAL SOCIETY B-BIOLOGICAL SCIENCES</t>
  </si>
  <si>
    <t>moist semi-deciduous forests; silviculture; permanent sample plots; above-ground biomass; timber species</t>
  </si>
  <si>
    <t>TREE SPECIES COMPOSITION; RAIN-FOREST; FLORISTIC COMPOSITION; ABOVEGROUND BIOMASS; CONSERVATION VALUES; IMPACTS; GROWTH; CONGO; SUSTAINABILITY; MANAGEMENT</t>
  </si>
  <si>
    <t>Large areas of African moist forests are being logged in the context of supposedly sustainable management plans. It remains however controversial whether harvesting a few trees per hectare can be maintained in the long term while preserving other forest services as well. We used a unique 24 year silvicultural experiment, encompassing 10 4 ha plots established in the Central African Republic, to assess the effect of disturbance linked to logging (two to nine trees ha(-1) greater than or equal to 80 cm DBH) and thinning (11-41 trees ha(-1) greater than or equal to 50 cm DBH) on the structure and dynamics of the forest. Before silvicultural treatments, above-ground biomass (AGB) and timber stock (i.e. the volume of commercial trees greater than or equal to 80 cm DBH) in the plots amounted 374.5 +/- 58.2 Mg ha(-1) and 79.7 +/- 45.9 m(3) ha(-1), respectively. We found that (i) natural control forest was increasing in AGB (2.58 +/- 1.73 Mg dry mass ha(-1) yr(-1)) and decreasing in timber stock (20.33 +/- 1.57 m(3) ha(-1) yr(-1)); (ii) the AGB recovered very quickly after logging and thinning, at a rate proportional to the disturbance intensity (mean recovery after 24 years: 144%). Compared with controls, the gain almost doubled in the logged plots (4.82 +/- 1.22 Mg ha(-1) yr(-1)) and tripled in the logged + thinned plots (8.03 +/- 1.41 Mg ha(-1) yr(-1)); (iii) the timber stock recovered slowly (mean recovery after 24 years: 41%), at a rate of 0.75 +/- 0.51 m(3) ha(-1) yr(-1) in the logged plots, and 0.81 +/- 0.74 m(3) ha(-1) yr(-1) in the logged + thinned plots. Although thinning significantly increased the gain in biomass, it had no effect on the gain in timber stock. However, thinning did foster the growth and survival of small-and medium-sized timber trees and should have a positive effect over the next felling cycle.</t>
  </si>
  <si>
    <t>[Gourlet-Fleury, Sylvie; Mortier, Frederic; Ouedraogo, Dakis; Benedet, Fabrice; Picard, Nicolas] CIRAD, BSEF, F-34398 Montpellier, France; [Fayolle, Adeline] Univ Liege, Agro Biotech, B-5030 Gembloux, Belgium; [Baya, Fidele] Minist Eaux Forets Chasse &amp; Peche, Bangui, Cent Afr Republ; [Picard, Nicolas] CIRAD, BSEF, Libreville, Gabon</t>
  </si>
  <si>
    <t>CIRAD; University of Liege; CIRAD</t>
  </si>
  <si>
    <t>Gourlet-Fleury, S (corresponding author), CIRAD, BSEF, F-34398 Montpellier, France.</t>
  </si>
  <si>
    <t>sylvie.gourlet-fleury@cirad.fr</t>
  </si>
  <si>
    <t>; Picard, Nicolas/T-2447-2018; FAYOLLE, Adeline/ODM-2232-2025</t>
  </si>
  <si>
    <t>Mortier, Frédéric/0000-0001-5473-709X; FAYOLLE, Adeline/0000-0002-6770-0031; Ouéaogo, Dakis-Yaoba/0000-0003-2674-2259; Picard, Nicolas/0000-0001-5548-9171;</t>
  </si>
  <si>
    <t>ROYAL SOC</t>
  </si>
  <si>
    <t>6-9 CARLTON HOUSE TERRACE, LONDON SW1Y 5AG, ENGLAND</t>
  </si>
  <si>
    <t>0962-8436</t>
  </si>
  <si>
    <t>1471-2970</t>
  </si>
  <si>
    <t>PHILOS T R SOC B</t>
  </si>
  <si>
    <t>Philos. Trans. R. Soc. B-Biol. Sci.</t>
  </si>
  <si>
    <t>SEP 5</t>
  </si>
  <si>
    <t>10.1098/rstb.2012.0302</t>
  </si>
  <si>
    <t>Biology</t>
  </si>
  <si>
    <t>Life Sciences &amp; Biomedicine - Other Topics</t>
  </si>
  <si>
    <t>AA6PO</t>
  </si>
  <si>
    <t>WOS:000331220500007</t>
  </si>
  <si>
    <t>Hautier, Y; Seabloom, EW; Borer, ET; Adler, PB; Harpole, WS; Hillebrand, H; Lind, EM; MacDougall, AS; Stevens, CJ; Bakker, JD; Buckley, YM; Chu, CJ; Collins, SL; Daleo, P; Damschen, EI; Davies, KF; Fay, PA; Firn, J; Gruner, DS; Jin, VL; Klein, JA; Knops, JMH; La Pierre, KJ; Li, W; McCulley, RL; Melbourne, BA; Moore, JL; O'Halloran, LR; Prober, SM; Risch, AC; Sankaran, M; Schuetz, M; Hector, A</t>
  </si>
  <si>
    <t>Hautier, Yann; Seabloom, Eric W.; Borer, Elizabeth T.; Adler, Peter B.; Harpole, W. Stanley; Hillebrand, Helmut; Lind, Eric M.; MacDougall, Andrew S.; Stevens, Carly J.; Bakker, Jonathan D.; Buckley, Yvonne M.; Chu, Chengjin; Collins, Scott L.; Daleo, Pedro; Damschen, Ellen I.; Davies, Kendi F.; Fay, Philip A.; Firn, Jennifer; Gruner, Daniel S.; Jin, Virginia L.; Klein, Julia A.; Knops, Johannes M. H.; La Pierre, Kimberly J.; Li, Wei; McCulley, Rebecca L.; Melbourne, Brett A.; Moore, Joslin L.; O'Halloran, Lydia R.; Prober, Suzanne M.; Risch, Anita C.; Sankaran, Mahesh; Schuetz, Martin; Hector, Andy</t>
  </si>
  <si>
    <t>NATURE</t>
  </si>
  <si>
    <t>ECOSYSTEM STABILITY; PLANT DIVERSITY; BIODIVERSITY LOSS; PRODUCTIVITY; ECOLOGY; LOSSES; POPULATION; RESISTANCE; IMPACT</t>
  </si>
  <si>
    <t>Studies of experimental grassland communities(1-7) have demonstrated that plant diversity can stabilize productivity through species asynchrony, in which decreases in the biomass of some species are compensated for by increases in others(1,2). However, it remains unknown whether these findings are relevant to natural ecosystems, especially those for which species diversity is threatened by anthropogenic global change(8-11). Here we analyse diversity-stability relationships from 41 grasslands on five continents and examine how these relationships are affected by chronic fertilization, one of the strongest drivers of species loss globally(8). Unmanipulated communities with more species had greater species asynchrony, resulting in more stable biomass production, generalizing a result from biodiversity experiments to real-world grasslands. However, fertilization weakened the positive effect of diversity on stability. Contrary to expectations, this was not due to species loss after eutrophication but rather to an increase in the temporal variation of productivity in combination with a decrease in species asynchrony in diverse communities. Our results demonstrate separate and synergistic effects of diversity and eutrophication on stability, emphasizing the need to understand how drivers of global change interactively affect the reliable provisioning of ecosystem services in real-world systems.</t>
  </si>
  <si>
    <t>[Hautier, Yann; Seabloom, Eric W.; Borer, Elizabeth T.; Lind, Eric M.] Univ Minnesota, Dept Ecol Evolut &amp; Behav, St Paul, MN 55108 USA; [Hautier, Yann] Univ Zurich, Inst Evolutionary Biol &amp; Environm Studies, CH-8057 Zurich, Switzerland; [Adler, Peter B.] Utah State Univ, Dept Wildland Resources, Logan, UT 84322 USA; [Adler, Peter B.] Utah State Univ, Ctr Ecol, Logan, UT 84322 USA; [Harpole, W. Stanley] Iowa State Univ, Dept Ecol Evolut &amp; Organismal Biol, Ames, IA 50011 USA; [Hillebrand, Helmut] Carl von Ossietzky Univ Oldenburg, Inst Chem &amp; Biol Marine Environm, D-26111 Oldenburg, Germany; [MacDougall, Andrew S.] Univ Guelph, Dept Integrat Biol, Guelph, ON N1G 2W1, Canada; [Stevens, Carly J.] Univ Lancaster, Lancaster Environm Ctr, Lancaster LA1 4YQ, England; [Bakker, Jonathan D.] Univ Washington, Sch Environm &amp; Forest Sci, Seattle, WA 98195 USA; [Buckley, Yvonne M.] Univ Queensland, Sch Biol Sci, Australian Res Council Ctr Excellence Environm De, Brisbane, Qld 4072, Australia; [Buckley, Yvonne M.] Trinity Coll Dublin, Dept Zool, Sch Nat Sci, Dublin 2, Ireland; [Chu, Chengjin] Lanzhou Univ, Sch Life Sci, Res Stn Alpine Meadow &amp; Wetland Ecosyst, State Key Lab Grassland &amp; Agroecosyst, Lanzhou 730000, Peoples R China; [Collins, Scott L.] Univ New Mexico, Dept Biol, Albuquerque, NM 87131 USA; [Daleo, Pedro] UNMdP, CONICET, IIMyC, RA-7600 Mar Del Plata, Argentina; [Damschen, Ellen I.] Univ Wisconsin, Dept Zool, Madison, WI 53706 USA; [Damschen, Ellen I.] Univ Wisconsin, Dept Zool, Madison, WI 53706 USA; [Davies, Kendi F.; Melbourne, Brett A.] Univ Colorado, Dept Ecol &amp; Evolutionary Biol, Boulder, CO 80309 USA; [Fay, Philip A.] USDA ARS, Grassland Soil &amp; Water Res Lab, Temple, TX 76502 USA; [Firn, Jennifer] Queensland Univ Technol, Sch Biol Sci, Brisbane, Qld 4000, Australia; [Gruner, Daniel S.] Univ Maryland, Dept Entomol, College Pk, MD 20742 USA; [Jin, Virginia L.] USDA ARS, Agroecosyst Management Res Unit, Lincoln, NE 68583 USA; [Klein, Julia A.] Colorado State Univ, Dept Forest Rangeland &amp; Watershed Stewardship, Ft Collins, CO 80523 USA; [Knops, Johannes M. H.] Univ Nebraska, Sch Biol Sci, Lincoln, NE 68588 USA; [La Pierre, Kimberly J.] Univ Calif Berkeley, Berkeley Initiat Global Change Biol, Berkeley, CA 94720 USA; [Li, Wei] Southwest Forestry Univ, Yunnan Acad Biodivers, Kunming 650224, Peoples R China; [McCulley, Rebecca L.] Univ Kentucky, Dept Plant &amp; Soil Sci, Lexington, KY 40546 USA; [Moore, Joslin L.] Univ Melbourne, Sch Bot, Australian Res Ctr Urban Ecol, Melbourne, Vic 3010, Australia; [Moore, Joslin L.] Monash Univ, Sch Biol Sci, Clayton, Vic 3800, Australia; [O'Halloran, Lydia R.] Oregon State Univ, Dept Zool, Corvallis, OR 97331 USA; [Prober, Suzanne M.] CSIRO Ecosyst Sci, Wembley, WA 6913, Australia; [Risch, Anita C.; Schuetz, Martin] Swiss Fed Inst Forest Snow &amp; Landscape Res, CH-8903 Birmensdorf, Switzerland; [Sankaran, Mahesh] Univ Leeds, Sch Biol, Leeds LS2 9JT, W Yorkshire, England; [Sankaran, Mahesh] Natl Ctr Biol Sci, Bangalore 560065, Karnataka, India; [Hector, Andy] Univ Oxford, Dept Plant Sci, Oxford OX1 3RB, England</t>
  </si>
  <si>
    <t>University of Minnesota System; University of Minnesota Twin Cities; University of Zurich; Utah System of Higher Education; Utah State University; Utah System of Higher Education; Utah State University; Iowa State University; Carl von Ossietzky Universitat Oldenburg; University of Guelph; Lancaster University; University of Washington; University of Washington Seattle; University of Queensland; Trinity College Dublin; Lanzhou University; University of New Mexico; University of Wisconsin System; University of Wisconsin Madison; University of Wisconsin System; University of Wisconsin Madison; University of Colorado System; University of Colorado Boulder; United States Department of Agriculture (USDA); Queensland University of Technology (QUT); University System of Maryland; University of Maryland College Park; United States Department of Agriculture (USDA); Colorado State University System; Colorado State University Fort Collins; University of Nebraska System; University of Nebraska Lincoln; University of California System; University of California Berkeley; Southwest Forestry University - China; University of Kentucky; University of Melbourne; Monash University; Oregon State University; Commonwealth Scientific &amp; Industrial Research Organisation (CSIRO); Swiss Federal Institutes of Technology Domain; Swiss Federal Institute for Forest, Snow &amp; Landscape Research; University of Leeds; Tata Institute of Fundamental Research (TIFR); National Centre for Biological Sciences (NCBS); University of Oxford</t>
  </si>
  <si>
    <t>Hautier, Y (corresponding author), Univ Minnesota, Dept Ecol Evolut &amp; Behav, St Paul, MN 55108 USA.</t>
  </si>
  <si>
    <t>hauti001@umn.edu</t>
  </si>
  <si>
    <t>; Fay, Philip/I-1853-2012; Damschen, Ellen/E-4919-2011; Chu, Chu/T-6038-2019; Risch, Anita C/A-9836-2012; Prober, Suzanne/G-6465-2010; Harpole, William/C-2814-2013; Buckley, Yvonne/B-1281-2008; MacDougall, Andrew/F-2037-2011; Adler, Peter/D-3781-2009; Hautier, Yann/I-2526-2019; Bakker, Jonathan/I-6960-2013; Moore, Joslin/AAE-3819-2020; Collins, Scott/P-7742-2014; Hillebrand, Helmut/I-1717-2014; Harpole, W Stanley/C-2814-2013; Risch, Anita/A-9836-2012; Melbourne, Brett/KBQ-9784-2024; Knops, Johannes/AAA-8546-2020; Borer, Elizabeth/OUI-0649-2025; Gruner, Daniel/A-5166-2010; Seabloom, Eric/AFT-3729-2022; Hector, Andrew/H-4199-2011; Hautier, Yann/D-5426-2015</t>
  </si>
  <si>
    <t>Komatsu, Kimberly/0000-0001-7056-4547; Fay, Philip/0000-0002-8291-6316; Chu, Chengjin/0000-0002-0606-449X; Risch, Anita C/0000-0003-0531-8336; Firn, Jennifer/0000-0001-6026-8912; Prober, Suzanne/0000-0002-6518-239X; Buckley, Yvonne/0000-0001-7599-3201; Stevens, Carly/0000-0002-2390-1763; Daleo, Peo/0000-0001-9759-1203; Lind, Eric/0000-0003-3051-7724; Collins, Scott/0000-0002-0193-2892; Borer, Elizabeth/0000-0003-2259-5853; Hillebrand, Helmut/0000-0001-7449-1613; Harpole, W Stanley/0000-0002-3404-9174; Seabloom, Eric/0000-0001-6780-9259; Gruner, Daniel/0000-0002-3153-4297; Bakker, Jonathan/0000-0002-8973-2771; Melbourne, Brett/0000-0002-8843-4131; Hautier, Yann/0000-0003-4347-7741</t>
  </si>
  <si>
    <t>European Union [298935]; National Science Foundation Research Coordination Network [NSF-DEB-1042132]; Long Term Ecological Research (LTER) programme [NSF-DEB-1234162]; Institute on the Environment at the University of Minnesota [DG-0001-13]; Direct For Biological Sciences; Division Of Environmental Biology [1440484] Funding Source: National Science Foundation; Division Of Environmental Biology; Direct For Biological Sciences [0823380, 1232294, 0823341, 1042132] Funding Source: National Science Foundation; National Health and Medical Research Council (NHMRC) [298935] Funding Source: National Health and Medical Research Council (NHMRC)</t>
  </si>
  <si>
    <t>European Union(European Union (EU)); National Science Foundation Research Coordination Network(National Science Foundation (NSF)); Long Term Ecological Research (LTER) programme; Institute on the Environment at the University of Minnesota(University of Minnesota System); Direct For Biological Sciences; Division Of Environmental Biology(National Science Foundation (NSF)NSF - Directorate for Biological Sciences (BIO)); Division Of Environmental Biology; Direct For Biological Sciences(National Science Foundation (NSF)NSF - Directorate for Biological Sciences (BIO)); National Health and Medical Research Council (NHMRC)(National Health &amp; Medical Research Council (NHMRC) of Australia)</t>
  </si>
  <si>
    <t>The research leading to these results has received funding from the European Union Seventh Framework Programme (FP7/2007-2013) under grant agreement no. 298935 to Y.H. (with A. H. and E. W. S.). This work was generated using data from the Nutrient Network (http://www.nutnet.org) experiment, funded at the site-scale by individual researchers. Coordination and data management have been supported by funding to E. T. B. and E. W. S. from the National Science Foundation Research Coordination Network (NSF-DEB-1042132), the Long Term Ecological Research (LTER) programme (NSF-DEB-1234162 to Cedar Creek as well as other LTER sites), and the Institute on the Environment at the University of Minnesota (DG-0001-13). We also thank the Minnesota Supercomputer Institute for hosting project data, and the Institute on the Environment for hosting Network meetings. We thank R. S. L. Veiga, F. Isbell, R. K. Didham, H. McGinness and M. O'Brien for suggestions that improved the manuscript.</t>
  </si>
  <si>
    <t>NATURE PUBLISHING GROUP</t>
  </si>
  <si>
    <t>MACMILLAN BUILDING, 4 CRINAN ST, LONDON N1 9XW, ENGLAND</t>
  </si>
  <si>
    <t>0028-0836</t>
  </si>
  <si>
    <t>1476-4687</t>
  </si>
  <si>
    <t>Nature</t>
  </si>
  <si>
    <t>APR 24</t>
  </si>
  <si>
    <t>+</t>
  </si>
  <si>
    <t>10.1038/nature13014</t>
  </si>
  <si>
    <t>AF5GI</t>
  </si>
  <si>
    <t>WOS:000334741600036</t>
  </si>
  <si>
    <t>SMITH, RS; RUSHTON, SP</t>
  </si>
  <si>
    <t>THE EFFECTS OF GRAZING MANAGEMENT ON THE VEGETATION OF MESOTROPHIC (MEADOW) GRASSLAND IN NORTHERN ENGLAND</t>
  </si>
  <si>
    <t>CATTLE; PLANT SPECIES DIVERSITY; SHEEP; VEGETATION DYNAMICS</t>
  </si>
  <si>
    <t>SPECIES-RICHNESS; PLANT; COMMUNITIES; SUCCESSION</t>
  </si>
  <si>
    <t>1. Haymeadows in the Yorkshire Dales and the North Pennines in Northern England are grazed with cattle and sheep outside the 2-3-month summer period, when a hay or silage crop is grown. Experimental exclosures were used from August 1987 to June 1991 to prevent this grazing for various periods in the year in a meadow at Ravenstonedale, Cumbria. Vegetation change was investigated using biomass samples taken in June of each year. 2. Experimental treatments were: (i) no grazing at any time of the year, (ii) no grazing from the time of the hay cut until 1 January; (iii) no grazing from 1 January to the time of the hay cut; (iv) control plots in which the normal grazing regime was followed each year. All other management factors were kept constant. 3. All plots showed vegetation changes related to treatment and to time. The main trend was the treatment effect, with the greatest reduction in species richness occurring in the ungrazed plots. Changes in the species composition of the plots were associated with species' strategies (sensu Grime 1979) in the established and regenerative phase. 4. The results are discussed in the context of management designed to manipulate plant species composition in old meadowland.</t>
  </si>
  <si>
    <t>SMITH, RS (corresponding author), UNIV NEWCASTLE UPON TYNE,DEPT AGR &amp; ENVIRONM SCI,NEWCASTLE TYNE NE1 7RU,TYNE &amp; WEAR,ENGLAND.</t>
  </si>
  <si>
    <t>BLACKWELL SCIENCE LTD</t>
  </si>
  <si>
    <t>OSNEY MEAD, OXFORD, OXON, ENGLAND OX2 0EL</t>
  </si>
  <si>
    <t>10.2307/2404595</t>
  </si>
  <si>
    <t>ND763</t>
  </si>
  <si>
    <t>WOS:A1994ND76300002</t>
  </si>
  <si>
    <t>GREENBERG, CH; THOMAS, MC</t>
  </si>
  <si>
    <t>EFFECTS OF FOREST MANAGEMENT-PRACTICES ON TERRESTRIAL COLEOPTERAN ASSEMBLAGES IN SAND PINE SCRUB</t>
  </si>
  <si>
    <t>FLORIDA ENTOMOLOGIST</t>
  </si>
  <si>
    <t>BEETLE ASSEMBLAGE; CLEARCUTTING; WILDFIRE</t>
  </si>
  <si>
    <t>CARABID BEETLES; GROUND BEETLES; CONSERVATION; DIVERSITY; FRAGMENTS; FLORIDA</t>
  </si>
  <si>
    <t>Coleopteran assemblages were sampled monthly for one year using pitfall traps in replicated sites of three 5- to 7-year-old disturbance treatments and mature forested sand pine scrub in the Ocala National Forest, Marion County, Florida. Disturbance treatments were (1) burning at high-intensity and salvage-logging; (2) clearcutting, roller-chopping and broadcast seeding, and; (3) clearcutting and bracke-seeding. Community similarity of coleopterans was high. No differences in species richness, diversity, density, or evenness were detected. Of 40 species captured, only seven were common (n &gt; 50). Predaceous beetles were numerically dominant followed by scavengers. Few xylophagous or herbivorous coleopterans were captured, probably due to trap bias. Peaks of annual above-ground terrestrial activity varied among species. An absence of differences among treatments may reflect similar plant communities or structural habitat features. Additionally, a dearth of mature forest specialists might be predicted in systems where mature forest was historically rare due to large-scale, high-intensity, and low-frequency wildfire.</t>
  </si>
  <si>
    <t>UNIV FLORIDA,DEPT WILDLIFE &amp; RANGE SCI,GAINESVILLE,FL 32604; FLORIDA DEPT AGR &amp; CONSUMER SERV,DIV PLANT IND,FLORIDA STATE COLLECT ARTHROPODS,GAINESVILLE,FL 32614</t>
  </si>
  <si>
    <t>GREENBERG, CH (corresponding author), US FOREST SERV,SE FOREST EXPT STN,118 NEWINS ZEIGLER HALL,POB 14524,GAINESVILLE,FL 32604, USA.</t>
  </si>
  <si>
    <t>FLORIDA ENTOMOLOGICAL SOC</t>
  </si>
  <si>
    <t>GAINESVILLE</t>
  </si>
  <si>
    <t>BOX GAINESVILLE, FL 32604</t>
  </si>
  <si>
    <t>0015-4040</t>
  </si>
  <si>
    <t>FLA ENTOMOL</t>
  </si>
  <si>
    <t>Fla. Entomol.</t>
  </si>
  <si>
    <t>10.2307/3495900</t>
  </si>
  <si>
    <t>Entomology</t>
  </si>
  <si>
    <t>RF564</t>
  </si>
  <si>
    <t>WOS:A1995RF56400007</t>
  </si>
  <si>
    <t>DRINKWATER, LE; LETOURNEAU, DK; WORKNEH, F; VANBRUGGEN, AHC; SHENNAN, C</t>
  </si>
  <si>
    <t>FUNDAMENTAL DIFFERENCES BETWEEN CONVENTIONAL AND ORGANIC TOMATO AGROECOSYSTEMS IN CALIFORNIA</t>
  </si>
  <si>
    <t>CALIFORNIA AGRICULTURE; CANONICAL DISCRIMINANT ANALYSIS; FRESH MARKET TOMATOES; INSECT ABUNDANCE AND DIVERSITY; NITROGEN; ORGANIC AGRICULTURE; PRINCIPAL COMPONENTS ANALYSIS; PYRENOCHAETA LYCOPERSICI; ROOT PATHOGENS; SOIL QUALITY</t>
  </si>
  <si>
    <t>SOIL MICROBIAL BIOMASS; PREDICTING SUPPRESSIVENESS; SUSTAINABLE AGRICULTURE; FLUORESCEIN DIACETATE; CROPPING SYSTEMS; NITROGEN-CONTENT; CONTAINER MEDIA; PYTHIUM-ULTIMUM; FARMING SYSTEMS; POTTING MIXES</t>
  </si>
  <si>
    <t>In an integrated, multidisciplinary study we compared ecological characteristics and productivity of commercial farms categorized as either organic (ORG) or conventional (CNV) based on their use of synthetic fertilizers and pesticides or reliance on organic soil amendments and biological pest control. We measured belowground parameters: various soil chemical and biological properties and root disease severity; common agronomic indicators: biomass, fruit yield and insect pest damage; and community level indicators, including arthropod diversity and soil microbial activity and diversity. CNV and ORG production systems could not be distinguished based on agronomic criteria such as fruit yield and arthropod pest damage levels. However, differences were demonstrated in many soil, plant, disease, and diversity indicators suggesting that the ecological processes determining yields and pest levels in these two management systems are distinct. In particular, nitrogen mineralization potential and microbial and parasitoid abundance and diversity were higher in ORG farms. Differences between the agroecosystems were sufficiently robust to be distinguished from environmental variation and suggest that biological processes compensated for reductions in the use of synthetic fertilizers and pesticides.</t>
  </si>
  <si>
    <t>UNIV CALIF DAVIS,DEPT VEGETABLE CROPS,DAVIS,CA 95616; UNIV CALIF SANTA CRUZ,BOARD ENVIRONM STUDIES,SANTA CRUZ,CA 95064; UNIV CALIF DAVIS,DEPT PLANT PATHOL,DAVIS,CA 95616</t>
  </si>
  <si>
    <t>University of California System; University of California Davis; University of California System; University of California Santa Cruz; University of California System; University of California Davis</t>
  </si>
  <si>
    <t>Drinkwater, Laurie/AEG-7189-2022; Shennan, Carol/I-1694-2013; Letourneau, Deborah/G-3694-2011</t>
  </si>
  <si>
    <t>inkwater, Laurie/0000-0002-0746-6765; Shennan, Carol/0000-0001-6401-5007;</t>
  </si>
  <si>
    <t>ECOLOGICAL SOC AMER</t>
  </si>
  <si>
    <t>TEMPE</t>
  </si>
  <si>
    <t>ARIZONA STATE UNIV CENTER ENVIRONMENTAL STUDIES, TEMPE, AZ 85287</t>
  </si>
  <si>
    <t>10.2307/2269357</t>
  </si>
  <si>
    <t>TF375</t>
  </si>
  <si>
    <t>WOS:A1995TF37500022</t>
  </si>
  <si>
    <t>Oomes, MJM; VanderWerf, A</t>
  </si>
  <si>
    <t>Restoration of species diversity in grasslands: The effect of grassland management and changes in ground water level</t>
  </si>
  <si>
    <t>ACTA BOTANICA GALLICA</t>
  </si>
  <si>
    <t>grassland production; nutrient yield; species replacement; rewetting; sod stripping</t>
  </si>
  <si>
    <t>VEGETATION; MEADOWS; ENGLAND; YIELD; SEED</t>
  </si>
  <si>
    <t>Results are presented of a grassland restoration experiment on a humic sandy soil and on a nutrient rich humic clay. The effect of cutting time and frequency, sod stripping and a rise in ground water level is studied on the decrease in dry matter and nutrient yield and changes in botanical composition. When the annual production is lower than 6 tonnes a second cut hardly contributes to a faster soil impoverishment. But a second cut creates a favourable vegetation structure for seedling establishment. Sod stripping to 5 cm caused only for a short period a lower production, but it stimulates the establishment of species from the soil seedbank. The yield of N and P is lower in the longer run, that of K is very low with and without scd stripping. The changes in yield and concentration of K in the biomass show that the availability of K is very low and possibly limits the further decrease in the dry matter production. Establishment and generative spread of plant species in the undisturbed sward are low, but can be stimulated by cutting after their seed production. Rising the ground water level in a productive system hardly lowers the production on the short term, but it stimulates the replacement by species indicative for wet growing conditions. The results show that alter the first phase of restoration management, which is aimed at a decrease in production, other factors become limiting for the increase in diversity: presence of seeds, favourable conditions for seedling establishment and co-limitation of nutrients.</t>
  </si>
  <si>
    <t>Oomes, MJM (corresponding author), DLO, AB, RES INST AGROBIOL &amp; SOIL FERTIL, POB 14, NL-6700 AA WAGENINGEN, NETHERLANDS.</t>
  </si>
  <si>
    <t>SOC BOTANIQUE FRANCE</t>
  </si>
  <si>
    <t>CHATENAY-MALABRY CEDEX</t>
  </si>
  <si>
    <t>RUE J B CLEMENT, 92296 CHATENAY-MALABRY CEDEX, FRANCE</t>
  </si>
  <si>
    <t>1253-8078</t>
  </si>
  <si>
    <t>ACTA BOT GALLICA</t>
  </si>
  <si>
    <t>Acta Bot. Gall.</t>
  </si>
  <si>
    <t>4-5</t>
  </si>
  <si>
    <t>10.1080/12538078.1996.10515741</t>
  </si>
  <si>
    <t>XZ617</t>
  </si>
  <si>
    <t>WOS:A1996XZ61700023</t>
  </si>
  <si>
    <t>Annand, EM; Thompson, FR</t>
  </si>
  <si>
    <t>JOURNAL OF WILDLIFE MANAGEMENT</t>
  </si>
  <si>
    <t>central hardwoods forest; clearcut; group selection; Missouri Ozarks; nesting success; shelterwood; single-tree selection; songbirds</t>
  </si>
  <si>
    <t>BREEDING BIRDS; POPULATION; MANAGEMENT; DIVERSITY; SUCCESS</t>
  </si>
  <si>
    <t>We studied breeding songbird populations in a managed, predominantly forested landscape, in southeastern Missouri. We determined differences in the relative abundance of breeding birds in forest stands that had been harvested by the clearcut (n = 12), shelterwood (n = 12), group selection (n = 12), and single-tree selection (n = 10) forest regeneration methods, and mature even-aged stands (n = 12). Five migrant songbirds, the blue-winged warbler (Vermivora pinus), prairie warbler (Dendroica discolor), rufous-sided towhee (Pipilo erythrophthalmus), white-eyed vireo (Vireo griseus), and yellow-breasted chat (Icteria virens), were more abundant in clearcut treatments than other treatments (P &lt; 0.001). Indigo buntings (Passerina cyanea) and field sparrows (Spizella pusilla) were more abundant in clearcut and shelterwood treatments than other treatments (P &lt; 0.001). Hooded warblers (Wilsonia citrina) and northern parulas (Parula americana) were more abundant in the selection treatments than other treatments (P &lt; 0.001). Ovenbirds (Seiurus aurocapillus) and wood thrushes (Hylocichla mustelina) were most abundant in mature sites (P &lt; 0.001). Acadian flycatchers (Empidonax virescens) and red-eyed vireos (Vireo olivaceus) were more abundant in group and single-tree selection treatments and mature stands than in clearcut or shelterwood treatments (P &lt; 0.02). Numbers of brown-headed cowbirds (Molothrus ater) were greater in clearcut treatments than in other treatments (P &lt; 0.001). The abundances of 2 avian nest predators, the blue lay (Cyanocitta cristata), and the American crow (Corvus brachyrhyches), were not significantly greater in any of the 5 treatments (P &gt; 0.30). Nest success of species nesting in clearcut and shelterwood treatments was 18-50%. The percent of the sire in gaps, shrub stem density, and tree-diameter distribution differed among forest regeneration methods (P &lt; 0.001). We believe habitat requirements of birds in managed forests can be best met by a mixture of even- and uneven-aged forest management that creates a range of disturbance sizes.</t>
  </si>
  <si>
    <t>UNIV MISSOURI, N CENT FOREST EXPT STN, COLUMBIA, MO 65211 USA</t>
  </si>
  <si>
    <t>United States Department of Agriculture (USDA); United States Forest Service; University of Missouri System; University of Missouri Columbia</t>
  </si>
  <si>
    <t>Annand, EM (corresponding author), UNIV MISSOURI, SCH NAT RESOURCES, 112 STEPHENS HALL, COLUMBIA, MO 65211 USA.</t>
  </si>
  <si>
    <t>0022-541X</t>
  </si>
  <si>
    <t>1937-2817</t>
  </si>
  <si>
    <t>J WILDLIFE MANAGE</t>
  </si>
  <si>
    <t>J. Wildl. Manage.</t>
  </si>
  <si>
    <t>10.2307/3802425</t>
  </si>
  <si>
    <t>WL788</t>
  </si>
  <si>
    <t>WOS:A1997WL78800017</t>
  </si>
  <si>
    <t>Baker, MD; Lacki, MJ</t>
  </si>
  <si>
    <t>clearcut; deferment cut; fragmentation; harvesting; neotropical migratory birds; residual trees</t>
  </si>
  <si>
    <t>MIGRATORY BIRDS; BREEDING BIRDS; FOREST FRAGMENTATION; AVIAN COMMUNITIES; DIVERSITY; MANAGEMENT; LANDSCAPE; ABUNDANCE; DECLINE; SUCCESS</t>
  </si>
  <si>
    <t>Bird communities were surveyed on the Daniel Boone National Forest, Kentucky, using point-counts in May and June of 1993, 1994, and 1995. Sixteen stands were surveyed among four silvicultural prescriptions, including no-harvest, two-age high-leave harvest (i.e. 7 m(2) residual basal area ha(-1)), two-age low-leave harvest (i.e. 3.5 m(2) residual basal area ha(-1)) and clearcut harvest. Data were collected for 1 year preharvest (1993) and 2 years post-harvest (1994 and 1995). Pre-harvest surveys revealed no differences in abundance, richness or diversity of bird communities among stands. After harvest, all indices were higher for bird communities in harvested stands than in no-harvest stands, with no difference among clearcut or two-age stands. Two forest interior species and one interior edge species were negatively affected by timber harvest in some stands, whereas Hooded warblers (Wilsonia citrina) were detected most frequently in low-leave and high-leave harvested stands. Three shrub-scrub species were positively affected by timber harvest. The Brown-headed cowbird (Molothrus ater) was the most commonly detected species in all harvested stands after harvest. These data indicate that a shift to two-age harvest prescriptions on the Daniel Boone National Forest will not alleviate the negative short-term responses associated with fragmentation on forest interior species, and will continue to enhance conditions for species preferring early successional habitat. (C) 1997 Elsevier Science B.V.</t>
  </si>
  <si>
    <t>UNIV KENTUCKY,DEPT FORESTRY,LEXINGTON,KY 40546</t>
  </si>
  <si>
    <t>University of Kentucky</t>
  </si>
  <si>
    <t>1-2</t>
  </si>
  <si>
    <t>10.1016/S0378-1127(97)00052-2</t>
  </si>
  <si>
    <t>XV220</t>
  </si>
  <si>
    <t>WOS:A1997XV22000003</t>
  </si>
  <si>
    <t>105 Records returned</t>
  </si>
  <si>
    <t>DO = (
"10.1007/978-90-481-2795-5_16" OR
"10.1007/s00374-009-0370-2" OR
"10.1007/s00442-013-2722-8" OR
"10.1007/s10310-011-0316-z" OR
"10.1007/s10342-007-0173-7" OR
"10.1007/s10457-012-9566-9" OR
"10.1007/s10457-013-9595-z" OR
"10.1007/s10531-006-9146-2" OR
"10.1007/s10531-007-9267-2" OR
"10.1007/s10531-007-9276-1" OR
"10.1007/s10841-006-9065-2" OR
"10.1007/s11258-008-9490-2" OR
"10.1007/s11258-012-0100-y" OR
"10.1007/s11284-007-0423-7" OR
"10.1007/s12224-010-9062-9" OR
"10.1007/s13593-011-0008-2" OR
"10.1007/s13595-013-0323-7" OR
"10.1007/s40333-013-0202-y" OR
"10.1016/j.agee.2003.09.014" OR
"10.1016/j.agee.2006.05.028" OR
"10.1016/j.agee.2008.01.005" OR
"10.1016/j.agee.2009.02.005" OR
"10.1016/j.agee.2010.09.018" OR
"10.1016/j.agee.2011.06.009" OR
"10.1016/j.baae.2008.10.004" OR
"10.1016/j.baae.2009.09.001" OR
"10.1016/j.baae.2013.06.001" OR
"10.1016/j.biocon.2003.12.007" OR
"10.1016/j.biocon.2010.08.011" OR
"10.1016/j.cropro.2010.05.001" OR
"10.1016/j.cropro.2011.09.016" OR
"10.1016/j.foreco.2006.03.034" OR
"10.1016/j.foreco.2006.12.019" OR
"10.1016/j.foreco.2007.08.005" OR
"10.1016/j.foreco.2008.01.069" OR
"10.1016/j.foreco.2010.01.028" OR
"10.1016/j.foreco.2011.02.012" OR
"10.1016/j.foreco.2011.08.014" OR
"10.1016/j.foreco.2011.08.032" OR
"10.1016/j.foreco.2012.04.021" OR
"10.1016/j.foreco.2012.05.027" OR
"10.1016/j.foreco.2013.03.018" OR
"10.1016/j.soilbio.2005.12.019" OR
"10.1016/S0006-3207(01)00079-9" OR
"10.1016/S0006-3207(02)00097-6" OR
"10.1016/S0038-0717(99)00089-9" OR
"10.1016/S0167-1987(99)00017-3" OR
"10.1016/S0167-8809(00)00158-4" OR
"10.1016/S0167-8809(02)00204-9" OR
"10.1016/S0378-1127(00)00463-1" OR
"10.1016/S0378-1127(01)00758-7" OR
"10.1016/S0378-1127(01)00775-7" OR
"10.1016/S0378-1127(02)00331-6" OR
"10.1016/S0378-1127(03)00012-4" OR
"10.1016/S0378-1127(03)00333-5" OR
"10.1016/S0378-1127(97)00052-2" OR
"10.1016/S0378-1127(98)00256-4" OR
"10.1017/S1742170511000111" OR
"10.1023/A:1008949407385" OR
"10.1023/A:1014812701423" OR
"10.1023/A:1023603813163" OR
"10.1038/nature13014" OR
"10.1046/j.1365-2664.2000.00566.x" OR
"10.1046/j.1365-2664.2003.00794.x" OR
"10.1051/forest:2006087" OR
"10.1071/RJ05012" OR
"10.1073/pnas.1210590110" OR
"10.1080/00288233.2011.558904" OR
"10.1080/12538078.1996.10515741" OR
"10.1098/rstb.2012.0302" OR
"10.1111/1365-2664.12035" OR
"10.1111/avsc.12001" OR
"10.1111/j.0021-8901.2004.00960.x" OR
"10.1111/j.1365-2028.2009.01084.x" OR
"10.1111/j.1365-2494.2009.00709.x" OR
"10.1111/j.1365-2494.2009.00713.x" OR
"10.1111/j.1365-2664.2012.02144.x" OR
"10.1111/j.1445-6664.2011.00430.x" OR
"10.1111/j.1523-1739.2004.00199.x" OR
"10.1111/j.1523-1739.2005.00170.x" OR
"10.1111/j.1523-1739.2012.01904.x" OR
"10.1139/X05-133" OR
"10.1139/X05-200" OR
"10.1139/X05-208" OR
"10.1371/journal.pone.0051520" OR
"10.1371/journal.pone.0054818" OR
"10.1371/journal.pone.0055461" OR
"10.15666/aeer/1101_123136" OR
"10.1614/0043-1745(2002)050[0196:LTEOHA]2.0.CO;2" OR
"10.1658/1100-9233(2007)18[625:FEOFEO]2.0.CO;2" OR
"10.1890/10-0715.1" OR
"10.1890/1051-0761(2001)011[1151:SSASMI]2.0.CO;2" OR
"10.1890/1051-0761(2002)012[0820:EOTHOF]2.0.CO;2" OR
"10.1890/11-1362.1" OR
"10.1894/CLG-10.1" OR
"10.2307/2269357" OR
"10.2307/2404595" OR
"10.2307/3495900" OR
"10.2307/3802425" OR
"10.3832/ifor0470-0010145"
)
OR TI = (
"Effects of Mulching Blueberry Plants With Cranberry Fruits and Leaves On Yield, Nutrient Uptake and Weed Suppression" OR
"Sustainable Management of Nardus stricta L. Grasslands in Romania's Carpathians" OR
"Beetle diversity in timberline forests: a comparison between old-growth and regeneration areas in Finnish Lapland" OR
"Semi-natural grasslands: The effects of cutting frequency on long-term changes of floristic composition" OR
"Effects of management on the composition and structure of northern hardwood forests in Upper Michigan"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</si>
</sst>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u/>
      <color rgb="FF0000FF"/>
    </font>
    <font>
      <b/>
      <color theme="1"/>
      <name val="Arial"/>
      <scheme val="minor"/>
    </font>
    <font>
      <b/>
      <color theme="1"/>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0" fillId="0" fontId="3" numFmtId="0" xfId="0" applyAlignment="1" applyFont="1">
      <alignment readingOrder="0"/>
    </xf>
    <xf borderId="1" fillId="0" fontId="4" numFmtId="0" xfId="0" applyAlignment="1" applyBorder="1" applyFont="1">
      <alignment readingOrder="0"/>
    </xf>
    <xf borderId="1" fillId="0" fontId="5" numFmtId="0" xfId="0" applyAlignment="1" applyBorder="1" applyFont="1">
      <alignment readingOrder="0" shrinkToFit="0" wrapText="1"/>
    </xf>
    <xf borderId="1" fillId="0" fontId="1" numFmtId="0" xfId="0" applyAlignment="1" applyBorder="1" applyFont="1">
      <alignment readingOrder="0"/>
    </xf>
    <xf borderId="1" fillId="0" fontId="2" numFmtId="0" xfId="0" applyAlignment="1" applyBorder="1" applyFont="1">
      <alignment readingOrder="0" shrinkToFit="0" wrapText="1"/>
    </xf>
    <xf borderId="0" fillId="0" fontId="5" numFmtId="0" xfId="0" applyAlignment="1" applyFont="1">
      <alignment horizontal="center"/>
    </xf>
    <xf borderId="0" fillId="0" fontId="2" numFmtId="0" xfId="0" applyFont="1"/>
    <xf borderId="0" fillId="0" fontId="5" numFmtId="0" xfId="0" applyFont="1"/>
    <xf borderId="0" fillId="0" fontId="2" numFmtId="0" xfId="0" applyAlignment="1" applyFont="1">
      <alignment readingOrder="0"/>
    </xf>
    <xf borderId="0" fillId="0" fontId="1"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nlinelibrary.wiley.com/doi/10.1111/gcb.1460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75"/>
    <col customWidth="1" min="3" max="3" width="71.13"/>
    <col customWidth="1" min="4" max="5" width="12.63"/>
  </cols>
  <sheetData>
    <row r="1" ht="15.75" customHeight="1">
      <c r="B1" s="1" t="s">
        <v>0</v>
      </c>
      <c r="C1" s="2"/>
    </row>
    <row r="2" ht="15.75" customHeight="1">
      <c r="B2" s="3" t="s">
        <v>1</v>
      </c>
      <c r="C2" s="2"/>
    </row>
    <row r="3" ht="15.75" customHeight="1">
      <c r="B3" s="4" t="s">
        <v>2</v>
      </c>
      <c r="C3" s="5" t="s">
        <v>3</v>
      </c>
    </row>
    <row r="4" ht="15.75" customHeight="1">
      <c r="B4" s="6" t="s">
        <v>4</v>
      </c>
      <c r="C4" s="7" t="s">
        <v>5</v>
      </c>
    </row>
    <row r="5" ht="15.75" customHeight="1">
      <c r="B5" s="6" t="s">
        <v>6</v>
      </c>
      <c r="C5" s="7" t="s">
        <v>7</v>
      </c>
    </row>
    <row r="6" ht="15.75" customHeight="1">
      <c r="B6" s="6" t="s">
        <v>8</v>
      </c>
      <c r="C6" s="7" t="s">
        <v>9</v>
      </c>
    </row>
    <row r="7" ht="15.75" customHeight="1">
      <c r="B7" s="6" t="s">
        <v>10</v>
      </c>
      <c r="C7" s="7" t="s">
        <v>11</v>
      </c>
    </row>
    <row r="8" ht="15.75" customHeight="1">
      <c r="B8" s="6" t="s">
        <v>12</v>
      </c>
      <c r="C8" s="7" t="s">
        <v>13</v>
      </c>
    </row>
    <row r="9" ht="15.75" customHeight="1">
      <c r="B9" s="6" t="s">
        <v>14</v>
      </c>
      <c r="C9" s="7" t="s">
        <v>15</v>
      </c>
    </row>
    <row r="10" ht="15.75" customHeight="1">
      <c r="C10" s="2"/>
    </row>
    <row r="11" ht="15.75" customHeight="1">
      <c r="C11" s="2"/>
    </row>
    <row r="12" ht="15.75" customHeight="1">
      <c r="C12" s="2"/>
    </row>
    <row r="13" ht="15.75" customHeight="1">
      <c r="C13" s="2"/>
    </row>
    <row r="14" ht="15.75" customHeight="1">
      <c r="C14" s="2"/>
    </row>
    <row r="15" ht="15.75" customHeight="1">
      <c r="C15" s="2"/>
    </row>
    <row r="16" ht="15.75" customHeight="1">
      <c r="C16" s="2"/>
    </row>
    <row r="17" ht="15.75" customHeight="1">
      <c r="C17" s="2"/>
    </row>
    <row r="18" ht="15.75" customHeight="1">
      <c r="C18" s="2"/>
    </row>
    <row r="19" ht="15.75" customHeight="1">
      <c r="C19" s="2"/>
    </row>
    <row r="20" ht="15.75" customHeight="1">
      <c r="C20" s="2"/>
    </row>
    <row r="21" ht="15.75" customHeight="1">
      <c r="C21" s="2"/>
    </row>
    <row r="22" ht="15.75" customHeight="1">
      <c r="C22" s="2"/>
    </row>
    <row r="23" ht="15.75" customHeight="1">
      <c r="C23" s="2"/>
    </row>
    <row r="24" ht="15.75" customHeight="1">
      <c r="C24" s="2"/>
    </row>
    <row r="25" ht="15.75" customHeight="1">
      <c r="C25" s="2"/>
    </row>
    <row r="26" ht="15.75" customHeight="1">
      <c r="C26" s="2"/>
    </row>
    <row r="27" ht="15.75" customHeight="1">
      <c r="C27" s="2"/>
    </row>
    <row r="28" ht="15.75" customHeight="1">
      <c r="C28" s="2"/>
    </row>
    <row r="29" ht="15.75" customHeight="1">
      <c r="C29" s="2"/>
    </row>
    <row r="30" ht="15.75" customHeight="1">
      <c r="C30" s="2"/>
    </row>
    <row r="31" ht="15.75" customHeight="1">
      <c r="C31" s="2"/>
    </row>
    <row r="32" ht="15.75" customHeight="1">
      <c r="C32" s="2"/>
    </row>
    <row r="33" ht="15.75" customHeight="1">
      <c r="C33" s="2"/>
    </row>
    <row r="34" ht="15.75" customHeight="1">
      <c r="C34" s="2"/>
    </row>
    <row r="35" ht="15.75" customHeight="1">
      <c r="C35" s="2"/>
    </row>
    <row r="36" ht="15.75" customHeight="1">
      <c r="C36" s="2"/>
    </row>
    <row r="37" ht="15.75" customHeight="1">
      <c r="C37" s="2"/>
    </row>
    <row r="38" ht="15.75" customHeight="1">
      <c r="C38" s="2"/>
    </row>
    <row r="39" ht="15.75" customHeight="1">
      <c r="C39" s="2"/>
    </row>
    <row r="40" ht="15.75" customHeight="1">
      <c r="C40" s="2"/>
    </row>
    <row r="41" ht="15.75" customHeight="1">
      <c r="C41" s="2"/>
    </row>
    <row r="42" ht="15.75" customHeight="1">
      <c r="C42" s="2"/>
    </row>
    <row r="43" ht="15.75" customHeight="1">
      <c r="C43" s="2"/>
    </row>
    <row r="44" ht="15.75" customHeight="1">
      <c r="C44" s="2"/>
    </row>
    <row r="45" ht="15.75" customHeight="1">
      <c r="C45" s="2"/>
    </row>
    <row r="46" ht="15.75" customHeight="1">
      <c r="C46" s="2"/>
    </row>
    <row r="47" ht="15.75" customHeight="1">
      <c r="C47" s="2"/>
    </row>
    <row r="48" ht="15.75" customHeight="1">
      <c r="C48" s="2"/>
    </row>
    <row r="49" ht="15.75" customHeight="1">
      <c r="C49" s="2"/>
    </row>
    <row r="50" ht="15.75" customHeight="1">
      <c r="C50" s="2"/>
    </row>
    <row r="51" ht="15.75" customHeight="1">
      <c r="C51" s="2"/>
    </row>
    <row r="52" ht="15.75" customHeight="1">
      <c r="C52" s="2"/>
    </row>
    <row r="53" ht="15.75" customHeight="1">
      <c r="C53" s="2"/>
    </row>
    <row r="54" ht="15.75" customHeight="1">
      <c r="C54" s="2"/>
    </row>
    <row r="55" ht="15.75" customHeight="1">
      <c r="C55" s="2"/>
    </row>
    <row r="56" ht="15.75" customHeight="1">
      <c r="C56" s="2"/>
    </row>
    <row r="57" ht="15.75" customHeight="1">
      <c r="C57" s="2"/>
    </row>
    <row r="58" ht="15.75" customHeight="1">
      <c r="C58" s="2"/>
    </row>
    <row r="59" ht="15.75" customHeight="1">
      <c r="C59" s="2"/>
    </row>
    <row r="60" ht="15.75" customHeight="1">
      <c r="C60" s="2"/>
    </row>
    <row r="61" ht="15.75" customHeight="1">
      <c r="C61" s="2"/>
    </row>
    <row r="62" ht="15.75" customHeight="1">
      <c r="C62" s="2"/>
    </row>
    <row r="63" ht="15.75" customHeight="1">
      <c r="C63" s="2"/>
    </row>
    <row r="64" ht="15.75" customHeight="1">
      <c r="C64" s="2"/>
    </row>
    <row r="65" ht="15.75" customHeight="1">
      <c r="C65" s="2"/>
    </row>
    <row r="66" ht="15.75" customHeight="1">
      <c r="C66" s="2"/>
    </row>
    <row r="67" ht="15.75" customHeight="1">
      <c r="C67" s="2"/>
    </row>
    <row r="68" ht="15.75" customHeight="1">
      <c r="C68" s="2"/>
    </row>
    <row r="69" ht="15.75" customHeight="1">
      <c r="C69" s="2"/>
    </row>
    <row r="70" ht="15.75" customHeight="1">
      <c r="C70" s="2"/>
    </row>
    <row r="71" ht="15.75" customHeight="1">
      <c r="C71" s="2"/>
    </row>
    <row r="72" ht="15.75" customHeight="1">
      <c r="C72" s="2"/>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13"/>
    <col customWidth="1" min="2" max="2" width="12.63"/>
    <col customWidth="1" min="3" max="3" width="109.5"/>
    <col customWidth="1" min="4" max="6" width="12.63"/>
  </cols>
  <sheetData>
    <row r="1" ht="15.75" customHeight="1">
      <c r="A1" s="8" t="s">
        <v>16</v>
      </c>
      <c r="B1" s="8" t="s">
        <v>17</v>
      </c>
      <c r="C1" s="8" t="s">
        <v>18</v>
      </c>
    </row>
    <row r="2" ht="15.75" customHeight="1">
      <c r="A2" s="9" t="s">
        <v>19</v>
      </c>
      <c r="B2" s="9">
        <v>1995.0</v>
      </c>
      <c r="C2" s="9" t="s">
        <v>20</v>
      </c>
    </row>
    <row r="3" ht="15.75" customHeight="1">
      <c r="A3" s="9" t="s">
        <v>21</v>
      </c>
      <c r="B3" s="9">
        <v>2013.0</v>
      </c>
      <c r="C3" s="9" t="s">
        <v>22</v>
      </c>
    </row>
    <row r="4" ht="15.75" customHeight="1">
      <c r="A4" s="9" t="s">
        <v>23</v>
      </c>
      <c r="B4" s="9">
        <v>1999.0</v>
      </c>
      <c r="C4" s="9" t="s">
        <v>24</v>
      </c>
    </row>
    <row r="5" ht="15.75" customHeight="1">
      <c r="A5" s="9" t="s">
        <v>25</v>
      </c>
      <c r="B5" s="9">
        <v>2005.0</v>
      </c>
      <c r="C5" s="9" t="s">
        <v>26</v>
      </c>
    </row>
    <row r="6" ht="15.75" customHeight="1">
      <c r="A6" s="9" t="s">
        <v>27</v>
      </c>
      <c r="B6" s="9">
        <v>2007.0</v>
      </c>
      <c r="C6" s="9" t="s">
        <v>28</v>
      </c>
    </row>
    <row r="7" ht="15.75" customHeight="1">
      <c r="A7" s="9" t="s">
        <v>29</v>
      </c>
      <c r="B7" s="9">
        <v>2013.0</v>
      </c>
      <c r="C7" s="9" t="s">
        <v>30</v>
      </c>
    </row>
    <row r="8" ht="15.75" customHeight="1">
      <c r="A8" s="9" t="s">
        <v>31</v>
      </c>
      <c r="B8" s="9">
        <v>2004.0</v>
      </c>
      <c r="C8" s="9" t="s">
        <v>32</v>
      </c>
    </row>
    <row r="9" ht="15.75" customHeight="1">
      <c r="A9" s="9" t="s">
        <v>33</v>
      </c>
      <c r="B9" s="9">
        <v>2007.0</v>
      </c>
      <c r="C9" s="9" t="s">
        <v>34</v>
      </c>
    </row>
    <row r="10" ht="15.75" customHeight="1">
      <c r="A10" s="9" t="s">
        <v>35</v>
      </c>
      <c r="B10" s="9">
        <v>2013.0</v>
      </c>
      <c r="C10" s="9" t="s">
        <v>36</v>
      </c>
    </row>
    <row r="11" ht="15.75" customHeight="1">
      <c r="A11" s="9" t="s">
        <v>37</v>
      </c>
      <c r="B11" s="9">
        <v>2013.0</v>
      </c>
      <c r="C11" s="9" t="s">
        <v>38</v>
      </c>
    </row>
    <row r="12" ht="15.75" customHeight="1">
      <c r="A12" s="9" t="s">
        <v>39</v>
      </c>
      <c r="B12" s="9">
        <v>2007.0</v>
      </c>
      <c r="C12" s="9" t="s">
        <v>40</v>
      </c>
    </row>
    <row r="13" ht="15.75" customHeight="1">
      <c r="A13" s="9" t="s">
        <v>41</v>
      </c>
      <c r="B13" s="9">
        <v>2005.0</v>
      </c>
      <c r="C13" s="9" t="s">
        <v>42</v>
      </c>
    </row>
    <row r="14" ht="15.75" customHeight="1">
      <c r="A14" s="9" t="s">
        <v>43</v>
      </c>
      <c r="B14" s="9">
        <v>2005.0</v>
      </c>
      <c r="C14" s="9" t="s">
        <v>44</v>
      </c>
    </row>
    <row r="15" ht="15.75" customHeight="1">
      <c r="A15" s="9" t="s">
        <v>45</v>
      </c>
      <c r="B15" s="9">
        <v>2007.0</v>
      </c>
      <c r="C15" s="9" t="s">
        <v>46</v>
      </c>
    </row>
    <row r="16" ht="15.75" customHeight="1">
      <c r="A16" s="9" t="s">
        <v>47</v>
      </c>
      <c r="B16" s="9">
        <v>2002.0</v>
      </c>
      <c r="C16" s="9" t="s">
        <v>48</v>
      </c>
    </row>
    <row r="17" ht="15.75" customHeight="1">
      <c r="A17" s="9" t="s">
        <v>49</v>
      </c>
      <c r="B17" s="9">
        <v>2011.0</v>
      </c>
      <c r="C17" s="9" t="s">
        <v>50</v>
      </c>
    </row>
    <row r="18" ht="15.75" customHeight="1">
      <c r="A18" s="9" t="s">
        <v>51</v>
      </c>
      <c r="B18" s="9">
        <v>2009.0</v>
      </c>
      <c r="C18" s="9" t="s">
        <v>52</v>
      </c>
    </row>
    <row r="19" ht="15.75" customHeight="1">
      <c r="A19" s="9" t="s">
        <v>53</v>
      </c>
      <c r="B19" s="9">
        <v>2008.0</v>
      </c>
      <c r="C19" s="9" t="s">
        <v>54</v>
      </c>
    </row>
    <row r="20" ht="15.75" customHeight="1">
      <c r="A20" s="9" t="s">
        <v>55</v>
      </c>
      <c r="B20" s="9">
        <v>2001.0</v>
      </c>
      <c r="C20" s="9" t="s">
        <v>56</v>
      </c>
    </row>
    <row r="21" ht="15.75" customHeight="1">
      <c r="A21" s="9" t="s">
        <v>57</v>
      </c>
      <c r="B21" s="9">
        <v>2011.0</v>
      </c>
      <c r="C21" s="9" t="s">
        <v>58</v>
      </c>
    </row>
    <row r="22" ht="15.75" customHeight="1">
      <c r="A22" s="9" t="s">
        <v>59</v>
      </c>
      <c r="B22" s="9">
        <v>2006.0</v>
      </c>
      <c r="C22" s="9" t="s">
        <v>60</v>
      </c>
    </row>
    <row r="23" ht="15.75" customHeight="1">
      <c r="A23" s="9" t="s">
        <v>61</v>
      </c>
      <c r="B23" s="9">
        <v>2011.0</v>
      </c>
      <c r="C23" s="9" t="s">
        <v>62</v>
      </c>
    </row>
    <row r="24" ht="15.75" customHeight="1">
      <c r="A24" s="9" t="s">
        <v>63</v>
      </c>
      <c r="B24" s="9">
        <v>2011.0</v>
      </c>
      <c r="C24" s="9" t="s">
        <v>64</v>
      </c>
    </row>
    <row r="25" ht="15.75" customHeight="1">
      <c r="A25" s="9" t="s">
        <v>65</v>
      </c>
      <c r="B25" s="9">
        <v>2013.0</v>
      </c>
      <c r="C25" s="9" t="s">
        <v>66</v>
      </c>
    </row>
    <row r="26" ht="15.75" customHeight="1">
      <c r="A26" s="9" t="s">
        <v>67</v>
      </c>
      <c r="B26" s="9">
        <v>2003.0</v>
      </c>
      <c r="C26" s="9" t="s">
        <v>68</v>
      </c>
    </row>
    <row r="27" ht="15.75" customHeight="1">
      <c r="A27" s="9" t="s">
        <v>69</v>
      </c>
      <c r="B27" s="9">
        <v>2011.0</v>
      </c>
      <c r="C27" s="9" t="s">
        <v>70</v>
      </c>
    </row>
    <row r="28" ht="15.75" customHeight="1">
      <c r="A28" s="9" t="s">
        <v>71</v>
      </c>
      <c r="B28" s="9">
        <v>1998.0</v>
      </c>
      <c r="C28" s="9" t="s">
        <v>72</v>
      </c>
    </row>
    <row r="29" ht="15.75" customHeight="1">
      <c r="A29" s="9" t="s">
        <v>73</v>
      </c>
      <c r="B29" s="9">
        <v>2004.0</v>
      </c>
      <c r="C29" s="9" t="s">
        <v>74</v>
      </c>
    </row>
    <row r="30" ht="15.75" customHeight="1">
      <c r="A30" s="9" t="s">
        <v>75</v>
      </c>
      <c r="B30" s="9">
        <v>1999.0</v>
      </c>
      <c r="C30" s="9" t="s">
        <v>76</v>
      </c>
    </row>
    <row r="31" ht="15.75" customHeight="1">
      <c r="A31" s="9" t="s">
        <v>77</v>
      </c>
      <c r="B31" s="9">
        <v>2004.0</v>
      </c>
      <c r="C31" s="9" t="s">
        <v>78</v>
      </c>
    </row>
    <row r="32" ht="15.75" customHeight="1">
      <c r="A32" s="9" t="s">
        <v>79</v>
      </c>
      <c r="B32" s="9">
        <v>2005.0</v>
      </c>
      <c r="C32" s="9" t="s">
        <v>80</v>
      </c>
    </row>
    <row r="33" ht="15.75" customHeight="1">
      <c r="A33" s="9" t="s">
        <v>81</v>
      </c>
      <c r="B33" s="9">
        <v>2002.0</v>
      </c>
      <c r="C33" s="9" t="s">
        <v>82</v>
      </c>
    </row>
    <row r="34" ht="15.75" customHeight="1">
      <c r="A34" s="9" t="s">
        <v>83</v>
      </c>
      <c r="B34" s="9">
        <v>2009.0</v>
      </c>
      <c r="C34" s="9" t="s">
        <v>84</v>
      </c>
    </row>
    <row r="35" ht="15.75" customHeight="1">
      <c r="A35" s="9" t="s">
        <v>85</v>
      </c>
      <c r="B35" s="9">
        <v>2009.0</v>
      </c>
      <c r="C35" s="9" t="s">
        <v>86</v>
      </c>
    </row>
    <row r="36" ht="15.75" customHeight="1">
      <c r="A36" s="9" t="s">
        <v>87</v>
      </c>
      <c r="B36" s="9">
        <v>2002.0</v>
      </c>
      <c r="C36" s="9" t="s">
        <v>88</v>
      </c>
    </row>
    <row r="37" ht="15.75" customHeight="1">
      <c r="A37" s="9" t="s">
        <v>89</v>
      </c>
      <c r="B37" s="9">
        <v>2008.0</v>
      </c>
      <c r="C37" s="9" t="s">
        <v>90</v>
      </c>
    </row>
    <row r="38" ht="15.75" customHeight="1">
      <c r="A38" s="9" t="s">
        <v>91</v>
      </c>
      <c r="B38" s="9">
        <v>2011.0</v>
      </c>
      <c r="C38" s="9" t="s">
        <v>92</v>
      </c>
    </row>
    <row r="39" ht="15.75" customHeight="1">
      <c r="A39" s="9" t="s">
        <v>93</v>
      </c>
      <c r="B39" s="9">
        <v>2009.0</v>
      </c>
      <c r="C39" s="9" t="s">
        <v>94</v>
      </c>
    </row>
    <row r="40" ht="15.75" customHeight="1">
      <c r="A40" s="9" t="s">
        <v>95</v>
      </c>
      <c r="B40" s="9">
        <v>2000.0</v>
      </c>
      <c r="C40" s="9" t="s">
        <v>96</v>
      </c>
    </row>
    <row r="41" ht="15.75" customHeight="1">
      <c r="A41" s="9" t="s">
        <v>97</v>
      </c>
      <c r="B41" s="9">
        <v>2012.0</v>
      </c>
      <c r="C41" s="9" t="s">
        <v>98</v>
      </c>
    </row>
    <row r="42" ht="15.75" customHeight="1">
      <c r="A42" s="9" t="s">
        <v>99</v>
      </c>
      <c r="B42" s="9">
        <v>2007.0</v>
      </c>
      <c r="C42" s="9" t="s">
        <v>100</v>
      </c>
    </row>
    <row r="43" ht="15.75" customHeight="1">
      <c r="A43" s="9" t="s">
        <v>101</v>
      </c>
      <c r="B43" s="9">
        <v>2012.0</v>
      </c>
      <c r="C43" s="9" t="s">
        <v>102</v>
      </c>
    </row>
    <row r="44" ht="15.75" customHeight="1">
      <c r="A44" s="9" t="s">
        <v>103</v>
      </c>
      <c r="B44" s="9">
        <v>2012.0</v>
      </c>
      <c r="C44" s="9" t="s">
        <v>104</v>
      </c>
    </row>
    <row r="45" ht="15.75" customHeight="1">
      <c r="A45" s="9" t="s">
        <v>105</v>
      </c>
      <c r="B45" s="9">
        <v>2002.0</v>
      </c>
      <c r="C45" s="9" t="s">
        <v>106</v>
      </c>
    </row>
    <row r="46" ht="15.75" customHeight="1">
      <c r="A46" s="9" t="s">
        <v>107</v>
      </c>
      <c r="B46" s="9">
        <v>2014.0</v>
      </c>
      <c r="C46" s="9" t="s">
        <v>108</v>
      </c>
    </row>
    <row r="47" ht="15.75" customHeight="1">
      <c r="A47" s="9" t="s">
        <v>109</v>
      </c>
      <c r="B47" s="9">
        <v>2007.0</v>
      </c>
      <c r="C47" s="9" t="s">
        <v>110</v>
      </c>
    </row>
    <row r="48" ht="15.75" customHeight="1">
      <c r="A48" s="9" t="s">
        <v>111</v>
      </c>
      <c r="B48" s="9">
        <v>2013.0</v>
      </c>
      <c r="C48" s="9" t="s">
        <v>112</v>
      </c>
    </row>
    <row r="49" ht="15.75" customHeight="1">
      <c r="A49" s="9" t="s">
        <v>113</v>
      </c>
      <c r="B49" s="9">
        <v>1997.0</v>
      </c>
      <c r="C49" s="9" t="s">
        <v>114</v>
      </c>
    </row>
    <row r="50" ht="15.75" customHeight="1">
      <c r="A50" s="9" t="s">
        <v>115</v>
      </c>
      <c r="B50" s="9">
        <v>1995.0</v>
      </c>
      <c r="C50" s="9" t="s">
        <v>116</v>
      </c>
    </row>
    <row r="51" ht="15.75" customHeight="1">
      <c r="A51" s="9" t="s">
        <v>117</v>
      </c>
      <c r="B51" s="9">
        <v>2010.0</v>
      </c>
      <c r="C51" s="9" t="s">
        <v>118</v>
      </c>
    </row>
    <row r="52" ht="15.75" customHeight="1">
      <c r="A52" s="9" t="s">
        <v>119</v>
      </c>
      <c r="B52" s="9">
        <v>2014.0</v>
      </c>
      <c r="C52" s="9" t="s">
        <v>120</v>
      </c>
    </row>
    <row r="53" ht="15.75" customHeight="1">
      <c r="A53" s="9" t="s">
        <v>121</v>
      </c>
      <c r="B53" s="9">
        <v>2006.0</v>
      </c>
      <c r="C53" s="9" t="s">
        <v>122</v>
      </c>
    </row>
    <row r="54" ht="15.75" customHeight="1">
      <c r="A54" s="9" t="s">
        <v>123</v>
      </c>
      <c r="B54" s="9">
        <v>2002.0</v>
      </c>
      <c r="C54" s="9" t="s">
        <v>124</v>
      </c>
    </row>
    <row r="55" ht="15.75" customHeight="1">
      <c r="A55" s="9" t="s">
        <v>125</v>
      </c>
      <c r="B55" s="9" t="s">
        <v>126</v>
      </c>
      <c r="C55" s="9" t="s">
        <v>127</v>
      </c>
    </row>
    <row r="56" ht="15.75" customHeight="1">
      <c r="A56" s="9" t="s">
        <v>128</v>
      </c>
      <c r="B56" s="9">
        <v>2012.0</v>
      </c>
      <c r="C56" s="9" t="s">
        <v>129</v>
      </c>
    </row>
    <row r="57" ht="15.75" customHeight="1">
      <c r="A57" s="9" t="s">
        <v>130</v>
      </c>
      <c r="B57" s="9">
        <v>2002.0</v>
      </c>
      <c r="C57" s="9" t="s">
        <v>131</v>
      </c>
    </row>
    <row r="58" ht="15.75" customHeight="1">
      <c r="A58" s="9" t="s">
        <v>132</v>
      </c>
      <c r="B58" s="9">
        <v>2013.0</v>
      </c>
      <c r="C58" s="9" t="s">
        <v>133</v>
      </c>
    </row>
    <row r="59" ht="15.75" customHeight="1">
      <c r="A59" s="9" t="s">
        <v>134</v>
      </c>
      <c r="B59" s="9">
        <v>2004.0</v>
      </c>
      <c r="C59" s="9" t="s">
        <v>135</v>
      </c>
    </row>
    <row r="60" ht="15.75" customHeight="1">
      <c r="A60" s="9" t="s">
        <v>136</v>
      </c>
      <c r="B60" s="9">
        <v>2008.0</v>
      </c>
      <c r="C60" s="9" t="s">
        <v>137</v>
      </c>
    </row>
    <row r="61" ht="15.75" customHeight="1">
      <c r="A61" s="9" t="s">
        <v>138</v>
      </c>
      <c r="B61" s="9">
        <v>2002.0</v>
      </c>
      <c r="C61" s="9" t="s">
        <v>139</v>
      </c>
    </row>
    <row r="62" ht="15.75" customHeight="1">
      <c r="A62" s="9" t="s">
        <v>140</v>
      </c>
      <c r="B62" s="9">
        <v>2009.0</v>
      </c>
      <c r="C62" s="9" t="s">
        <v>141</v>
      </c>
    </row>
    <row r="63" ht="15.75" customHeight="1">
      <c r="A63" s="9" t="s">
        <v>142</v>
      </c>
      <c r="B63" s="9">
        <v>2011.0</v>
      </c>
      <c r="C63" s="9" t="s">
        <v>143</v>
      </c>
    </row>
    <row r="64" ht="15.75" customHeight="1">
      <c r="A64" s="9" t="s">
        <v>144</v>
      </c>
      <c r="B64" s="9">
        <v>2008.0</v>
      </c>
      <c r="C64" s="9" t="s">
        <v>145</v>
      </c>
    </row>
    <row r="65" ht="15.75" customHeight="1">
      <c r="A65" s="9" t="s">
        <v>146</v>
      </c>
      <c r="B65" s="9">
        <v>2012.0</v>
      </c>
      <c r="C65" s="9" t="s">
        <v>147</v>
      </c>
    </row>
    <row r="66" ht="15.75" customHeight="1">
      <c r="A66" s="9" t="s">
        <v>148</v>
      </c>
      <c r="B66" s="9">
        <v>2013.0</v>
      </c>
      <c r="C66" s="9" t="s">
        <v>149</v>
      </c>
    </row>
    <row r="67" ht="15.75" customHeight="1">
      <c r="A67" s="9" t="s">
        <v>150</v>
      </c>
      <c r="B67" s="9">
        <v>2010.0</v>
      </c>
      <c r="C67" s="9" t="s">
        <v>151</v>
      </c>
    </row>
    <row r="68" ht="15.75" customHeight="1">
      <c r="A68" s="9" t="s">
        <v>152</v>
      </c>
      <c r="B68" s="9">
        <v>2002.0</v>
      </c>
      <c r="C68" s="9" t="s">
        <v>153</v>
      </c>
    </row>
    <row r="69" ht="15.75" customHeight="1">
      <c r="A69" s="9" t="s">
        <v>154</v>
      </c>
      <c r="B69" s="9">
        <v>2008.0</v>
      </c>
      <c r="C69" s="9" t="s">
        <v>155</v>
      </c>
    </row>
    <row r="70" ht="15.75" customHeight="1">
      <c r="A70" s="9" t="s">
        <v>156</v>
      </c>
      <c r="B70" s="9">
        <v>2008.0</v>
      </c>
      <c r="C70" s="9" t="s">
        <v>157</v>
      </c>
    </row>
    <row r="71" ht="15.75" customHeight="1">
      <c r="A71" s="9" t="s">
        <v>158</v>
      </c>
      <c r="B71" s="9">
        <v>2011.0</v>
      </c>
      <c r="C71" s="9" t="s">
        <v>159</v>
      </c>
    </row>
    <row r="72" ht="15.75" customHeight="1">
      <c r="A72" s="9" t="s">
        <v>160</v>
      </c>
      <c r="B72" s="9">
        <v>2013.0</v>
      </c>
      <c r="C72" s="9" t="s">
        <v>161</v>
      </c>
    </row>
    <row r="73" ht="15.75" customHeight="1">
      <c r="A73" s="9" t="s">
        <v>162</v>
      </c>
      <c r="B73" s="9">
        <v>2007.0</v>
      </c>
      <c r="C73" s="9" t="s">
        <v>163</v>
      </c>
    </row>
    <row r="74" ht="15.75" customHeight="1">
      <c r="A74" s="9" t="s">
        <v>164</v>
      </c>
      <c r="B74" s="9">
        <v>2011.0</v>
      </c>
      <c r="C74" s="9" t="s">
        <v>165</v>
      </c>
    </row>
    <row r="75" ht="15.75" customHeight="1">
      <c r="A75" s="9" t="s">
        <v>166</v>
      </c>
      <c r="B75" s="9">
        <v>2005.0</v>
      </c>
      <c r="C75" s="9" t="s">
        <v>167</v>
      </c>
    </row>
    <row r="76" ht="15.75" customHeight="1">
      <c r="A76" s="9" t="s">
        <v>168</v>
      </c>
      <c r="B76" s="9">
        <v>2008.0</v>
      </c>
      <c r="C76" s="9" t="s">
        <v>169</v>
      </c>
    </row>
    <row r="77" ht="15.75" customHeight="1">
      <c r="A77" s="9" t="s">
        <v>170</v>
      </c>
      <c r="B77" s="9">
        <v>2013.0</v>
      </c>
      <c r="C77" s="9" t="s">
        <v>171</v>
      </c>
    </row>
    <row r="78" ht="15.75" customHeight="1">
      <c r="A78" s="9" t="s">
        <v>172</v>
      </c>
      <c r="B78" s="9">
        <v>2004.0</v>
      </c>
      <c r="C78" s="9" t="s">
        <v>173</v>
      </c>
    </row>
    <row r="79" ht="15.75" customHeight="1">
      <c r="A79" s="9" t="s">
        <v>174</v>
      </c>
      <c r="B79" s="9">
        <v>2013.0</v>
      </c>
      <c r="C79" s="9" t="s">
        <v>175</v>
      </c>
    </row>
    <row r="80" ht="15.75" customHeight="1">
      <c r="A80" s="9" t="s">
        <v>176</v>
      </c>
      <c r="B80" s="9">
        <v>2004.0</v>
      </c>
      <c r="C80" s="9" t="s">
        <v>177</v>
      </c>
    </row>
    <row r="81" ht="15.75" customHeight="1">
      <c r="A81" s="9" t="s">
        <v>178</v>
      </c>
      <c r="B81" s="9">
        <v>2003.0</v>
      </c>
      <c r="C81" s="9" t="s">
        <v>179</v>
      </c>
    </row>
    <row r="82" ht="15.75" customHeight="1">
      <c r="A82" s="9" t="s">
        <v>180</v>
      </c>
      <c r="B82" s="9">
        <v>2012.0</v>
      </c>
      <c r="C82" s="9" t="s">
        <v>181</v>
      </c>
    </row>
    <row r="83" ht="15.75" customHeight="1">
      <c r="A83" s="9" t="s">
        <v>182</v>
      </c>
      <c r="B83" s="9">
        <v>2013.0</v>
      </c>
      <c r="C83" s="9" t="s">
        <v>183</v>
      </c>
    </row>
    <row r="84" ht="15.75" customHeight="1">
      <c r="A84" s="9" t="s">
        <v>184</v>
      </c>
      <c r="B84" s="9">
        <v>2013.0</v>
      </c>
      <c r="C84" s="9" t="s">
        <v>185</v>
      </c>
    </row>
    <row r="85" ht="15.75" customHeight="1">
      <c r="A85" s="9" t="s">
        <v>186</v>
      </c>
      <c r="B85" s="9">
        <v>2005.0</v>
      </c>
      <c r="C85" s="9" t="s">
        <v>187</v>
      </c>
    </row>
    <row r="86" ht="15.75" customHeight="1">
      <c r="A86" s="9" t="s">
        <v>188</v>
      </c>
      <c r="B86" s="9">
        <v>2007.0</v>
      </c>
      <c r="C86" s="9" t="s">
        <v>189</v>
      </c>
    </row>
    <row r="87" ht="15.75" customHeight="1">
      <c r="A87" s="9" t="s">
        <v>190</v>
      </c>
      <c r="B87" s="9">
        <v>1996.0</v>
      </c>
      <c r="C87" s="9" t="s">
        <v>191</v>
      </c>
    </row>
    <row r="88" ht="15.75" customHeight="1">
      <c r="A88" s="9" t="s">
        <v>192</v>
      </c>
      <c r="B88" s="9" t="s">
        <v>193</v>
      </c>
      <c r="C88" s="9" t="s">
        <v>194</v>
      </c>
    </row>
    <row r="89" ht="15.75" customHeight="1">
      <c r="A89" s="9" t="s">
        <v>195</v>
      </c>
      <c r="B89" s="9">
        <v>2008.0</v>
      </c>
      <c r="C89" s="9" t="s">
        <v>196</v>
      </c>
    </row>
    <row r="90" ht="15.75" customHeight="1">
      <c r="A90" s="9" t="s">
        <v>197</v>
      </c>
      <c r="B90" s="9">
        <v>2008.0</v>
      </c>
      <c r="C90" s="9" t="s">
        <v>198</v>
      </c>
    </row>
    <row r="91" ht="15.75" customHeight="1">
      <c r="A91" s="9" t="s">
        <v>199</v>
      </c>
      <c r="B91" s="9">
        <v>1997.0</v>
      </c>
      <c r="C91" s="9" t="s">
        <v>200</v>
      </c>
    </row>
    <row r="92" ht="15.75" customHeight="1">
      <c r="A92" s="9" t="s">
        <v>201</v>
      </c>
      <c r="B92" s="9">
        <v>2010.0</v>
      </c>
      <c r="C92" s="9" t="s">
        <v>202</v>
      </c>
    </row>
    <row r="93" ht="15.75" customHeight="1">
      <c r="A93" s="9" t="s">
        <v>203</v>
      </c>
      <c r="B93" s="9">
        <v>2008.0</v>
      </c>
      <c r="C93" s="9" t="s">
        <v>204</v>
      </c>
    </row>
    <row r="94" ht="15.75" customHeight="1">
      <c r="A94" s="9" t="s">
        <v>205</v>
      </c>
      <c r="B94" s="9">
        <v>2009.0</v>
      </c>
      <c r="C94" s="9" t="s">
        <v>206</v>
      </c>
    </row>
    <row r="95" ht="15.75" customHeight="1">
      <c r="A95" s="9" t="s">
        <v>207</v>
      </c>
      <c r="B95" s="9">
        <v>2001.0</v>
      </c>
      <c r="C95" s="9" t="s">
        <v>208</v>
      </c>
    </row>
    <row r="96" ht="15.75" customHeight="1">
      <c r="A96" s="9" t="s">
        <v>209</v>
      </c>
      <c r="B96" s="9">
        <v>2003.0</v>
      </c>
      <c r="C96" s="9" t="s">
        <v>210</v>
      </c>
    </row>
    <row r="97" ht="15.75" customHeight="1">
      <c r="A97" s="9" t="s">
        <v>211</v>
      </c>
      <c r="B97" s="9">
        <v>2001.0</v>
      </c>
      <c r="C97" s="9" t="s">
        <v>212</v>
      </c>
    </row>
    <row r="98" ht="15.75" customHeight="1">
      <c r="A98" s="9" t="s">
        <v>213</v>
      </c>
      <c r="B98" s="9">
        <v>2003.0</v>
      </c>
      <c r="C98" s="9" t="s">
        <v>214</v>
      </c>
    </row>
    <row r="99" ht="15.75" customHeight="1">
      <c r="A99" s="9" t="s">
        <v>215</v>
      </c>
      <c r="B99" s="9">
        <v>2000.0</v>
      </c>
      <c r="C99" s="9" t="s">
        <v>216</v>
      </c>
    </row>
    <row r="100" ht="15.75" customHeight="1">
      <c r="A100" s="9" t="s">
        <v>217</v>
      </c>
      <c r="B100" s="9">
        <v>2010.0</v>
      </c>
      <c r="C100" s="9" t="s">
        <v>218</v>
      </c>
    </row>
    <row r="101" ht="15.75" customHeight="1">
      <c r="A101" s="9" t="s">
        <v>219</v>
      </c>
      <c r="B101" s="9">
        <v>2013.0</v>
      </c>
      <c r="C101" s="9" t="s">
        <v>220</v>
      </c>
    </row>
    <row r="102" ht="15.75" customHeight="1">
      <c r="A102" s="9" t="s">
        <v>221</v>
      </c>
      <c r="B102" s="9">
        <v>2012.0</v>
      </c>
      <c r="C102" s="9" t="s">
        <v>222</v>
      </c>
    </row>
    <row r="103" ht="15.75" customHeight="1">
      <c r="A103" s="9" t="s">
        <v>223</v>
      </c>
      <c r="B103" s="9">
        <v>1999.0</v>
      </c>
      <c r="C103" s="9" t="s">
        <v>224</v>
      </c>
    </row>
    <row r="104" ht="15.75" customHeight="1">
      <c r="A104" s="9" t="s">
        <v>225</v>
      </c>
      <c r="B104" s="9">
        <v>2012.0</v>
      </c>
      <c r="C104" s="9" t="s">
        <v>226</v>
      </c>
    </row>
    <row r="105" ht="15.75" customHeight="1">
      <c r="A105" s="9" t="s">
        <v>227</v>
      </c>
      <c r="B105" s="9">
        <v>2010.0</v>
      </c>
      <c r="C105" s="9" t="s">
        <v>228</v>
      </c>
    </row>
    <row r="106" ht="15.75" customHeight="1">
      <c r="A106" s="9" t="s">
        <v>229</v>
      </c>
      <c r="B106" s="9">
        <v>2012.0</v>
      </c>
      <c r="C106" s="9" t="s">
        <v>230</v>
      </c>
    </row>
    <row r="107" ht="15.75" customHeight="1">
      <c r="A107" s="9" t="s">
        <v>152</v>
      </c>
      <c r="B107" s="9">
        <v>1999.0</v>
      </c>
      <c r="C107" s="9" t="s">
        <v>231</v>
      </c>
    </row>
    <row r="108" ht="15.75" customHeight="1">
      <c r="A108" s="9" t="s">
        <v>232</v>
      </c>
      <c r="B108" s="9">
        <v>2012.0</v>
      </c>
      <c r="C108" s="9" t="s">
        <v>233</v>
      </c>
    </row>
    <row r="109" ht="15.75" customHeight="1">
      <c r="A109" s="9" t="s">
        <v>234</v>
      </c>
      <c r="B109" s="9">
        <v>2009.0</v>
      </c>
      <c r="C109" s="9" t="s">
        <v>235</v>
      </c>
    </row>
    <row r="110" ht="15.75" customHeight="1">
      <c r="A110" s="9" t="s">
        <v>236</v>
      </c>
      <c r="B110" s="9">
        <v>2013.0</v>
      </c>
      <c r="C110" s="9" t="s">
        <v>237</v>
      </c>
    </row>
    <row r="111" ht="15.75" customHeight="1">
      <c r="A111" s="9" t="s">
        <v>238</v>
      </c>
      <c r="B111" s="9">
        <v>1995.0</v>
      </c>
      <c r="C111" s="9" t="s">
        <v>239</v>
      </c>
    </row>
    <row r="112" ht="15.75" customHeight="1">
      <c r="A112" s="10" t="s">
        <v>240</v>
      </c>
      <c r="B112" s="9">
        <v>2007.0</v>
      </c>
      <c r="C112" s="9" t="s">
        <v>241</v>
      </c>
    </row>
    <row r="113" ht="15.75" customHeight="1">
      <c r="A113" s="9" t="s">
        <v>242</v>
      </c>
      <c r="B113" s="9">
        <v>2003.0</v>
      </c>
      <c r="C113" s="9" t="s">
        <v>243</v>
      </c>
    </row>
    <row r="114" ht="15.75" customHeight="1">
      <c r="A114" s="9" t="s">
        <v>244</v>
      </c>
      <c r="B114" s="9">
        <v>2008.0</v>
      </c>
      <c r="C114" s="9" t="s">
        <v>245</v>
      </c>
    </row>
    <row r="115" ht="15.75" customHeight="1">
      <c r="A115" s="9" t="s">
        <v>246</v>
      </c>
      <c r="B115" s="9">
        <v>1994.0</v>
      </c>
      <c r="C115" s="9" t="s">
        <v>247</v>
      </c>
    </row>
    <row r="116" ht="15.75" customHeight="1">
      <c r="A116" s="9" t="s">
        <v>248</v>
      </c>
      <c r="B116" s="9">
        <v>2011.0</v>
      </c>
      <c r="C116" s="9" t="s">
        <v>249</v>
      </c>
    </row>
    <row r="117" ht="15.75" customHeight="1"/>
    <row r="118" ht="15.75" customHeight="1"/>
    <row r="119" ht="15.75" customHeight="1">
      <c r="A119" s="10"/>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16"/>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63"/>
    <col customWidth="1" min="2" max="2" width="12.38"/>
    <col customWidth="1" min="3" max="3" width="11.88"/>
    <col customWidth="1" min="4" max="4" width="13.63"/>
    <col customWidth="1" min="5" max="5" width="13.5"/>
    <col customWidth="1" min="6" max="6" width="11.63"/>
    <col customWidth="1" min="7" max="7" width="15.88"/>
    <col customWidth="1" min="8" max="8" width="14.25"/>
    <col customWidth="1" min="9" max="9" width="11.25"/>
    <col customWidth="1" min="10" max="10" width="17.0"/>
    <col customWidth="1" min="11" max="11" width="18.25"/>
    <col customWidth="1" min="12" max="12" width="17.63"/>
    <col customWidth="1" min="13" max="13" width="11.88"/>
    <col customWidth="1" min="14" max="14" width="12.88"/>
    <col customWidth="1" min="15" max="15" width="6.63"/>
    <col customWidth="1" min="16" max="16" width="10.13"/>
    <col customWidth="1" min="17" max="17" width="12.88"/>
    <col customWidth="1" min="18" max="18" width="7.0"/>
    <col customWidth="1" min="19" max="19" width="16.75"/>
    <col customWidth="1" min="20" max="20" width="17.13"/>
  </cols>
  <sheetData>
    <row r="1" ht="12.75" customHeight="1">
      <c r="A1" s="9" t="s">
        <v>250</v>
      </c>
      <c r="B1" s="9" t="s">
        <v>251</v>
      </c>
      <c r="C1" s="9" t="s">
        <v>252</v>
      </c>
      <c r="D1" s="9" t="s">
        <v>253</v>
      </c>
      <c r="E1" s="9" t="s">
        <v>254</v>
      </c>
      <c r="F1" s="9" t="s">
        <v>255</v>
      </c>
      <c r="G1" s="9" t="s">
        <v>256</v>
      </c>
      <c r="H1" s="9" t="s">
        <v>257</v>
      </c>
      <c r="I1" s="9" t="s">
        <v>258</v>
      </c>
      <c r="J1" s="9" t="s">
        <v>259</v>
      </c>
      <c r="K1" s="9" t="s">
        <v>260</v>
      </c>
      <c r="L1" s="9" t="s">
        <v>261</v>
      </c>
      <c r="M1" s="9" t="s">
        <v>262</v>
      </c>
      <c r="N1" s="9" t="s">
        <v>263</v>
      </c>
      <c r="O1" s="9" t="s">
        <v>264</v>
      </c>
      <c r="P1" s="9" t="s">
        <v>265</v>
      </c>
      <c r="Q1" s="9" t="s">
        <v>266</v>
      </c>
      <c r="R1" s="9" t="s">
        <v>267</v>
      </c>
      <c r="S1" s="9" t="s">
        <v>268</v>
      </c>
      <c r="T1" s="9" t="s">
        <v>269</v>
      </c>
    </row>
    <row r="2" ht="12.75" customHeight="1">
      <c r="A2" s="9" t="s">
        <v>270</v>
      </c>
      <c r="B2" s="9">
        <v>-119.855916</v>
      </c>
      <c r="C2" s="9">
        <v>49.942425</v>
      </c>
      <c r="D2" s="9" t="s">
        <v>271</v>
      </c>
      <c r="E2" s="9" t="s">
        <v>272</v>
      </c>
      <c r="F2" s="9" t="s">
        <v>273</v>
      </c>
      <c r="G2" s="9" t="s">
        <v>274</v>
      </c>
      <c r="H2" s="9" t="s">
        <v>275</v>
      </c>
      <c r="I2" s="9" t="s">
        <v>276</v>
      </c>
      <c r="J2" s="9">
        <v>375.0</v>
      </c>
      <c r="K2" s="9">
        <v>-0.0977497352107624</v>
      </c>
      <c r="L2" s="9">
        <v>2.66985331923294E-4</v>
      </c>
      <c r="M2" s="9">
        <v>29.96</v>
      </c>
      <c r="N2" s="9">
        <v>0.97</v>
      </c>
      <c r="O2" s="9">
        <v>9.0</v>
      </c>
      <c r="P2" s="9">
        <v>27.17</v>
      </c>
      <c r="Q2" s="9">
        <v>1.0</v>
      </c>
      <c r="R2" s="9">
        <v>9.0</v>
      </c>
      <c r="S2" s="9" t="s">
        <v>277</v>
      </c>
      <c r="T2" s="9" t="s">
        <v>277</v>
      </c>
    </row>
    <row r="3" ht="12.75" customHeight="1">
      <c r="A3" s="9" t="s">
        <v>270</v>
      </c>
      <c r="B3" s="9">
        <v>-119.855916</v>
      </c>
      <c r="C3" s="9">
        <v>49.942425</v>
      </c>
      <c r="D3" s="9" t="s">
        <v>278</v>
      </c>
      <c r="E3" s="9" t="s">
        <v>272</v>
      </c>
      <c r="F3" s="9" t="s">
        <v>273</v>
      </c>
      <c r="G3" s="9" t="s">
        <v>274</v>
      </c>
      <c r="H3" s="9" t="s">
        <v>275</v>
      </c>
      <c r="I3" s="9" t="s">
        <v>276</v>
      </c>
      <c r="J3" s="9">
        <v>375.0</v>
      </c>
      <c r="K3" s="9">
        <v>0.123180981750015</v>
      </c>
      <c r="L3" s="9">
        <v>2.40723075763259E-4</v>
      </c>
      <c r="M3" s="9">
        <v>25.25</v>
      </c>
      <c r="N3" s="9">
        <v>0.46</v>
      </c>
      <c r="O3" s="9">
        <v>9.0</v>
      </c>
      <c r="P3" s="9">
        <v>28.56</v>
      </c>
      <c r="Q3" s="9">
        <v>1.73</v>
      </c>
      <c r="R3" s="9">
        <v>18.0</v>
      </c>
      <c r="S3" s="9" t="s">
        <v>277</v>
      </c>
      <c r="T3" s="9" t="s">
        <v>277</v>
      </c>
    </row>
    <row r="4" ht="12.75" customHeight="1">
      <c r="A4" s="9" t="s">
        <v>270</v>
      </c>
      <c r="B4" s="9">
        <v>-119.855916</v>
      </c>
      <c r="C4" s="9">
        <v>49.942425</v>
      </c>
      <c r="D4" s="9" t="s">
        <v>279</v>
      </c>
      <c r="E4" s="9" t="s">
        <v>272</v>
      </c>
      <c r="F4" s="9" t="s">
        <v>273</v>
      </c>
      <c r="G4" s="9" t="s">
        <v>274</v>
      </c>
      <c r="H4" s="9" t="s">
        <v>275</v>
      </c>
      <c r="I4" s="9" t="s">
        <v>276</v>
      </c>
      <c r="J4" s="9">
        <v>375.0</v>
      </c>
      <c r="K4" s="9">
        <v>0.158642377751852</v>
      </c>
      <c r="L4" s="9">
        <v>8.53865434874181E-4</v>
      </c>
      <c r="M4" s="9">
        <v>28.56</v>
      </c>
      <c r="N4" s="9">
        <v>1.73</v>
      </c>
      <c r="O4" s="9">
        <v>18.0</v>
      </c>
      <c r="P4" s="9">
        <v>33.47</v>
      </c>
      <c r="Q4" s="9">
        <v>2.56</v>
      </c>
      <c r="R4" s="9">
        <v>9.0</v>
      </c>
      <c r="S4" s="9" t="s">
        <v>277</v>
      </c>
      <c r="T4" s="9" t="s">
        <v>277</v>
      </c>
    </row>
    <row r="5" ht="12.75" customHeight="1">
      <c r="A5" s="9" t="s">
        <v>280</v>
      </c>
      <c r="B5" s="9">
        <v>-119.855916</v>
      </c>
      <c r="C5" s="9">
        <v>49.942425</v>
      </c>
      <c r="D5" s="9" t="s">
        <v>271</v>
      </c>
      <c r="E5" s="9" t="s">
        <v>272</v>
      </c>
      <c r="F5" s="9" t="s">
        <v>273</v>
      </c>
      <c r="G5" s="9" t="s">
        <v>274</v>
      </c>
      <c r="H5" s="9" t="s">
        <v>275</v>
      </c>
      <c r="I5" s="9" t="s">
        <v>276</v>
      </c>
      <c r="J5" s="9">
        <v>1.0</v>
      </c>
      <c r="K5" s="9">
        <v>0.26720354110824</v>
      </c>
      <c r="L5" s="9">
        <v>0.00643240753843628</v>
      </c>
      <c r="M5" s="9">
        <v>3.33</v>
      </c>
      <c r="N5" s="9">
        <v>0.26</v>
      </c>
      <c r="O5" s="9">
        <v>9.0</v>
      </c>
      <c r="P5" s="9">
        <v>4.35</v>
      </c>
      <c r="Q5" s="9">
        <v>0.99</v>
      </c>
      <c r="R5" s="9">
        <v>9.0</v>
      </c>
      <c r="S5" s="9" t="s">
        <v>277</v>
      </c>
      <c r="T5" s="9" t="s">
        <v>277</v>
      </c>
    </row>
    <row r="6" ht="12.75" customHeight="1">
      <c r="A6" s="9" t="s">
        <v>280</v>
      </c>
      <c r="B6" s="9">
        <v>-119.855916</v>
      </c>
      <c r="C6" s="9">
        <v>49.942425</v>
      </c>
      <c r="D6" s="9" t="s">
        <v>278</v>
      </c>
      <c r="E6" s="9" t="s">
        <v>272</v>
      </c>
      <c r="F6" s="9" t="s">
        <v>273</v>
      </c>
      <c r="G6" s="9" t="s">
        <v>274</v>
      </c>
      <c r="H6" s="9" t="s">
        <v>275</v>
      </c>
      <c r="I6" s="9" t="s">
        <v>276</v>
      </c>
      <c r="J6" s="9">
        <v>1.0</v>
      </c>
      <c r="K6" s="9">
        <v>0.176091007043318</v>
      </c>
      <c r="L6" s="9">
        <v>0.00330449039037655</v>
      </c>
      <c r="M6" s="9">
        <v>3.22</v>
      </c>
      <c r="N6" s="9">
        <v>0.19</v>
      </c>
      <c r="O6" s="9">
        <v>9.0</v>
      </c>
      <c r="P6" s="9">
        <v>3.84</v>
      </c>
      <c r="Q6" s="9">
        <v>0.88</v>
      </c>
      <c r="R6" s="9">
        <v>18.0</v>
      </c>
      <c r="S6" s="9" t="s">
        <v>277</v>
      </c>
      <c r="T6" s="9" t="s">
        <v>277</v>
      </c>
    </row>
    <row r="7" ht="12.75" customHeight="1">
      <c r="A7" s="9" t="s">
        <v>280</v>
      </c>
      <c r="B7" s="9">
        <v>-119.855916</v>
      </c>
      <c r="C7" s="9">
        <v>49.942425</v>
      </c>
      <c r="D7" s="9" t="s">
        <v>279</v>
      </c>
      <c r="E7" s="9" t="s">
        <v>272</v>
      </c>
      <c r="F7" s="9" t="s">
        <v>273</v>
      </c>
      <c r="G7" s="9" t="s">
        <v>274</v>
      </c>
      <c r="H7" s="9" t="s">
        <v>275</v>
      </c>
      <c r="I7" s="9" t="s">
        <v>276</v>
      </c>
      <c r="J7" s="9">
        <v>1.0</v>
      </c>
      <c r="K7" s="9">
        <v>0.138402322859119</v>
      </c>
      <c r="L7" s="9">
        <v>0.00754533259354384</v>
      </c>
      <c r="M7" s="9">
        <v>3.84</v>
      </c>
      <c r="N7" s="9">
        <v>0.88</v>
      </c>
      <c r="O7" s="9">
        <v>18.0</v>
      </c>
      <c r="P7" s="9">
        <v>4.41</v>
      </c>
      <c r="Q7" s="9">
        <v>0.9</v>
      </c>
      <c r="R7" s="9">
        <v>9.0</v>
      </c>
      <c r="S7" s="9" t="s">
        <v>277</v>
      </c>
      <c r="T7" s="9" t="s">
        <v>277</v>
      </c>
    </row>
    <row r="8" ht="12.75" customHeight="1">
      <c r="A8" s="9" t="s">
        <v>281</v>
      </c>
      <c r="B8" s="9">
        <v>-86.698459</v>
      </c>
      <c r="C8" s="9">
        <v>51.091995</v>
      </c>
      <c r="D8" s="9" t="s">
        <v>279</v>
      </c>
      <c r="E8" s="9" t="s">
        <v>282</v>
      </c>
      <c r="F8" s="9" t="s">
        <v>283</v>
      </c>
      <c r="G8" s="9" t="s">
        <v>274</v>
      </c>
      <c r="H8" s="9" t="s">
        <v>275</v>
      </c>
      <c r="I8" s="9" t="s">
        <v>284</v>
      </c>
      <c r="J8" s="9">
        <v>6.3</v>
      </c>
      <c r="K8" s="9">
        <v>0.0170944333593</v>
      </c>
      <c r="L8" s="9">
        <v>0.0058847404122464</v>
      </c>
      <c r="M8" s="9">
        <v>58.0</v>
      </c>
      <c r="N8" s="9">
        <v>10.876</v>
      </c>
      <c r="O8" s="9">
        <v>10.0</v>
      </c>
      <c r="P8" s="9">
        <v>59.0</v>
      </c>
      <c r="Q8" s="9">
        <v>9.08</v>
      </c>
      <c r="R8" s="9">
        <v>10.0</v>
      </c>
      <c r="S8" s="9" t="s">
        <v>285</v>
      </c>
      <c r="T8" s="9" t="s">
        <v>285</v>
      </c>
    </row>
    <row r="9" ht="12.75" customHeight="1">
      <c r="A9" s="9" t="s">
        <v>286</v>
      </c>
      <c r="B9" s="9">
        <v>-89.147945</v>
      </c>
      <c r="C9" s="9">
        <v>46.270172</v>
      </c>
      <c r="D9" s="9" t="s">
        <v>279</v>
      </c>
      <c r="E9" s="9" t="s">
        <v>272</v>
      </c>
      <c r="F9" s="9" t="s">
        <v>273</v>
      </c>
      <c r="G9" s="9" t="s">
        <v>274</v>
      </c>
      <c r="H9" s="9" t="s">
        <v>275</v>
      </c>
      <c r="I9" s="9" t="s">
        <v>276</v>
      </c>
      <c r="J9" s="9">
        <v>0.08333</v>
      </c>
      <c r="K9" s="9">
        <v>0.167054084663166</v>
      </c>
      <c r="L9" s="9">
        <v>0.00590010436815863</v>
      </c>
      <c r="M9" s="9">
        <v>11.0</v>
      </c>
      <c r="N9" s="9">
        <v>3.314</v>
      </c>
      <c r="O9" s="9">
        <v>30.0</v>
      </c>
      <c r="P9" s="9">
        <v>13.0</v>
      </c>
      <c r="Q9" s="9">
        <v>3.817617169</v>
      </c>
      <c r="R9" s="9">
        <v>30.0</v>
      </c>
      <c r="S9" s="9" t="s">
        <v>285</v>
      </c>
      <c r="T9" s="9" t="s">
        <v>285</v>
      </c>
    </row>
    <row r="10" ht="12.75" customHeight="1">
      <c r="A10" s="9" t="s">
        <v>287</v>
      </c>
      <c r="B10" s="9">
        <v>26.583333</v>
      </c>
      <c r="C10" s="9">
        <v>68.416667</v>
      </c>
      <c r="D10" s="9" t="s">
        <v>288</v>
      </c>
      <c r="E10" s="9" t="s">
        <v>289</v>
      </c>
      <c r="F10" s="9" t="s">
        <v>273</v>
      </c>
      <c r="G10" s="9" t="s">
        <v>274</v>
      </c>
      <c r="H10" s="9" t="s">
        <v>275</v>
      </c>
      <c r="I10" s="9" t="s">
        <v>284</v>
      </c>
      <c r="J10" s="9">
        <v>1.0</v>
      </c>
      <c r="K10" s="9">
        <v>-0.264692554227082</v>
      </c>
      <c r="L10" s="9">
        <v>0.0103254446558444</v>
      </c>
      <c r="M10" s="9">
        <v>43.0</v>
      </c>
      <c r="N10" s="9">
        <v>16.1</v>
      </c>
      <c r="O10" s="9">
        <v>15.0</v>
      </c>
      <c r="P10" s="9">
        <v>33.0</v>
      </c>
      <c r="Q10" s="9">
        <v>4.0</v>
      </c>
      <c r="R10" s="9">
        <v>15.0</v>
      </c>
      <c r="S10" s="9" t="s">
        <v>277</v>
      </c>
      <c r="T10" s="9" t="s">
        <v>277</v>
      </c>
    </row>
    <row r="11" ht="12.75" customHeight="1">
      <c r="A11" s="9" t="s">
        <v>290</v>
      </c>
      <c r="B11" s="9">
        <v>26.583333</v>
      </c>
      <c r="C11" s="9">
        <v>68.416667</v>
      </c>
      <c r="D11" s="9" t="s">
        <v>288</v>
      </c>
      <c r="E11" s="9" t="s">
        <v>289</v>
      </c>
      <c r="F11" s="9" t="s">
        <v>273</v>
      </c>
      <c r="G11" s="9" t="s">
        <v>274</v>
      </c>
      <c r="H11" s="9" t="s">
        <v>275</v>
      </c>
      <c r="I11" s="9" t="s">
        <v>284</v>
      </c>
      <c r="J11" s="9">
        <v>1.0</v>
      </c>
      <c r="K11" s="9">
        <v>0.246860077931526</v>
      </c>
      <c r="L11" s="9">
        <v>0.00141600416666667</v>
      </c>
      <c r="M11" s="9">
        <v>25.0</v>
      </c>
      <c r="N11" s="9">
        <v>0.6</v>
      </c>
      <c r="O11" s="9">
        <v>15.0</v>
      </c>
      <c r="P11" s="9">
        <v>32.0</v>
      </c>
      <c r="Q11" s="9">
        <v>4.6</v>
      </c>
      <c r="R11" s="9">
        <v>15.0</v>
      </c>
      <c r="S11" s="9" t="s">
        <v>277</v>
      </c>
      <c r="T11" s="9" t="s">
        <v>277</v>
      </c>
    </row>
    <row r="12" ht="12.75" customHeight="1">
      <c r="A12" s="9" t="s">
        <v>291</v>
      </c>
      <c r="B12" s="9">
        <v>99.333333</v>
      </c>
      <c r="C12" s="9">
        <v>15.6</v>
      </c>
      <c r="D12" s="9" t="s">
        <v>292</v>
      </c>
      <c r="E12" s="9" t="s">
        <v>289</v>
      </c>
      <c r="F12" s="9" t="s">
        <v>273</v>
      </c>
      <c r="G12" s="9" t="s">
        <v>293</v>
      </c>
      <c r="H12" s="9">
        <v>1450.0</v>
      </c>
      <c r="I12" s="9" t="s">
        <v>284</v>
      </c>
      <c r="J12" s="9">
        <v>500.0</v>
      </c>
      <c r="K12" s="9">
        <v>0.0</v>
      </c>
      <c r="L12" s="9">
        <v>0.00473979289940828</v>
      </c>
      <c r="M12" s="9">
        <v>13.0</v>
      </c>
      <c r="N12" s="9">
        <v>3.58</v>
      </c>
      <c r="O12" s="9">
        <v>20.0</v>
      </c>
      <c r="P12" s="9">
        <v>13.0</v>
      </c>
      <c r="Q12" s="9">
        <v>1.79</v>
      </c>
      <c r="R12" s="9">
        <v>20.0</v>
      </c>
      <c r="S12" s="9" t="s">
        <v>277</v>
      </c>
      <c r="T12" s="9" t="s">
        <v>277</v>
      </c>
    </row>
    <row r="13" ht="12.75" customHeight="1">
      <c r="A13" s="9" t="s">
        <v>294</v>
      </c>
      <c r="B13" s="9">
        <v>18.466667</v>
      </c>
      <c r="C13" s="9">
        <v>57.616667</v>
      </c>
      <c r="D13" s="9" t="s">
        <v>288</v>
      </c>
      <c r="E13" s="9" t="s">
        <v>272</v>
      </c>
      <c r="F13" s="9" t="s">
        <v>283</v>
      </c>
      <c r="G13" s="9" t="s">
        <v>295</v>
      </c>
      <c r="H13" s="9" t="s">
        <v>296</v>
      </c>
      <c r="I13" s="9" t="s">
        <v>284</v>
      </c>
      <c r="J13" s="9">
        <v>360.0</v>
      </c>
      <c r="K13" s="9">
        <v>-0.278020161540044</v>
      </c>
      <c r="L13" s="9">
        <v>0.0243451253568897</v>
      </c>
      <c r="M13" s="9">
        <v>10.3</v>
      </c>
      <c r="N13" s="9">
        <v>1.954</v>
      </c>
      <c r="O13" s="9">
        <v>8.0</v>
      </c>
      <c r="P13" s="9">
        <v>7.8</v>
      </c>
      <c r="Q13" s="9">
        <v>3.108</v>
      </c>
      <c r="R13" s="9">
        <v>8.0</v>
      </c>
      <c r="S13" s="9" t="s">
        <v>285</v>
      </c>
      <c r="T13" s="9" t="s">
        <v>285</v>
      </c>
    </row>
    <row r="14" ht="12.75" customHeight="1">
      <c r="A14" s="9" t="s">
        <v>297</v>
      </c>
      <c r="B14" s="9">
        <v>-83.24</v>
      </c>
      <c r="C14" s="9">
        <v>38.69</v>
      </c>
      <c r="D14" s="9" t="s">
        <v>298</v>
      </c>
      <c r="E14" s="9" t="s">
        <v>289</v>
      </c>
      <c r="F14" s="9" t="s">
        <v>273</v>
      </c>
      <c r="G14" s="9" t="s">
        <v>295</v>
      </c>
      <c r="H14" s="9">
        <v>1950.0</v>
      </c>
      <c r="I14" s="9" t="s">
        <v>284</v>
      </c>
      <c r="J14" s="9">
        <v>1.0</v>
      </c>
      <c r="K14" s="9">
        <v>-0.635601694913345</v>
      </c>
      <c r="L14" s="9">
        <v>0.0480141039210137</v>
      </c>
      <c r="M14" s="9">
        <v>5.74</v>
      </c>
      <c r="N14" s="9">
        <v>2.54</v>
      </c>
      <c r="O14" s="9">
        <v>16.0</v>
      </c>
      <c r="P14" s="9">
        <v>3.04</v>
      </c>
      <c r="Q14" s="9">
        <v>2.3</v>
      </c>
      <c r="R14" s="9">
        <v>16.0</v>
      </c>
      <c r="S14" s="9" t="s">
        <v>277</v>
      </c>
      <c r="T14" s="9" t="s">
        <v>277</v>
      </c>
    </row>
    <row r="15" ht="12.75" customHeight="1">
      <c r="A15" s="9" t="s">
        <v>299</v>
      </c>
      <c r="B15" s="9">
        <v>-83.24</v>
      </c>
      <c r="C15" s="9">
        <v>38.69</v>
      </c>
      <c r="D15" s="9" t="s">
        <v>298</v>
      </c>
      <c r="E15" s="9" t="s">
        <v>289</v>
      </c>
      <c r="F15" s="9" t="s">
        <v>273</v>
      </c>
      <c r="G15" s="9" t="s">
        <v>295</v>
      </c>
      <c r="H15" s="9">
        <v>1950.0</v>
      </c>
      <c r="I15" s="9" t="s">
        <v>284</v>
      </c>
      <c r="J15" s="9">
        <v>1.0</v>
      </c>
      <c r="K15" s="9">
        <v>-0.358078015335795</v>
      </c>
      <c r="L15" s="9">
        <v>0.0122013233281667</v>
      </c>
      <c r="M15" s="9">
        <v>9.17</v>
      </c>
      <c r="N15" s="9">
        <v>3.67</v>
      </c>
      <c r="O15" s="9">
        <v>16.0</v>
      </c>
      <c r="P15" s="9">
        <v>6.41</v>
      </c>
      <c r="Q15" s="9">
        <v>1.2</v>
      </c>
      <c r="R15" s="9">
        <v>16.0</v>
      </c>
      <c r="S15" s="9" t="s">
        <v>277</v>
      </c>
      <c r="T15" s="9" t="s">
        <v>277</v>
      </c>
    </row>
    <row r="16" ht="12.75" customHeight="1">
      <c r="A16" s="9" t="s">
        <v>300</v>
      </c>
      <c r="B16" s="9">
        <v>-83.24</v>
      </c>
      <c r="C16" s="9">
        <v>38.69</v>
      </c>
      <c r="D16" s="9" t="s">
        <v>298</v>
      </c>
      <c r="E16" s="9" t="s">
        <v>289</v>
      </c>
      <c r="F16" s="9" t="s">
        <v>273</v>
      </c>
      <c r="G16" s="9" t="s">
        <v>295</v>
      </c>
      <c r="H16" s="9">
        <v>1950.0</v>
      </c>
      <c r="I16" s="9" t="s">
        <v>284</v>
      </c>
      <c r="J16" s="9">
        <v>1.0</v>
      </c>
      <c r="K16" s="9">
        <v>-0.0543079588915063</v>
      </c>
      <c r="L16" s="9">
        <v>0.0326692272560009</v>
      </c>
      <c r="M16" s="9">
        <v>11.54</v>
      </c>
      <c r="N16" s="9">
        <v>6.15</v>
      </c>
      <c r="O16" s="9">
        <v>16.0</v>
      </c>
      <c r="P16" s="9">
        <v>10.93</v>
      </c>
      <c r="Q16" s="9">
        <v>5.34</v>
      </c>
      <c r="R16" s="9">
        <v>16.0</v>
      </c>
      <c r="S16" s="9" t="s">
        <v>277</v>
      </c>
      <c r="T16" s="9" t="s">
        <v>277</v>
      </c>
    </row>
    <row r="17" ht="12.75" customHeight="1">
      <c r="A17" s="9" t="s">
        <v>301</v>
      </c>
      <c r="B17" s="9">
        <v>-83.24</v>
      </c>
      <c r="C17" s="9">
        <v>38.69</v>
      </c>
      <c r="D17" s="9" t="s">
        <v>298</v>
      </c>
      <c r="E17" s="9" t="s">
        <v>289</v>
      </c>
      <c r="F17" s="9" t="s">
        <v>273</v>
      </c>
      <c r="G17" s="9" t="s">
        <v>295</v>
      </c>
      <c r="H17" s="9">
        <v>1950.0</v>
      </c>
      <c r="I17" s="9" t="s">
        <v>284</v>
      </c>
      <c r="J17" s="9">
        <v>1.0</v>
      </c>
      <c r="K17" s="9">
        <v>0.0187570625960417</v>
      </c>
      <c r="L17" s="9">
        <v>0.0350631549367529</v>
      </c>
      <c r="M17" s="9">
        <v>14.26</v>
      </c>
      <c r="N17" s="9">
        <v>6.92</v>
      </c>
      <c r="O17" s="9">
        <v>16.0</v>
      </c>
      <c r="P17" s="9">
        <v>14.53</v>
      </c>
      <c r="Q17" s="9">
        <v>8.29</v>
      </c>
      <c r="R17" s="9">
        <v>16.0</v>
      </c>
      <c r="S17" s="9" t="s">
        <v>277</v>
      </c>
      <c r="T17" s="9" t="s">
        <v>277</v>
      </c>
    </row>
    <row r="18" ht="12.75" customHeight="1">
      <c r="A18" s="9" t="s">
        <v>302</v>
      </c>
      <c r="B18" s="9">
        <v>-83.24</v>
      </c>
      <c r="C18" s="9">
        <v>38.69</v>
      </c>
      <c r="D18" s="9" t="s">
        <v>298</v>
      </c>
      <c r="E18" s="9" t="s">
        <v>289</v>
      </c>
      <c r="F18" s="9" t="s">
        <v>273</v>
      </c>
      <c r="G18" s="9" t="s">
        <v>295</v>
      </c>
      <c r="H18" s="9">
        <v>1950.0</v>
      </c>
      <c r="I18" s="9" t="s">
        <v>284</v>
      </c>
      <c r="J18" s="9">
        <v>1.0</v>
      </c>
      <c r="K18" s="9">
        <v>-0.214392887794024</v>
      </c>
      <c r="L18" s="9">
        <v>0.00819585151385945</v>
      </c>
      <c r="M18" s="9">
        <v>51.2</v>
      </c>
      <c r="N18" s="9">
        <v>10.54</v>
      </c>
      <c r="O18" s="9">
        <v>16.0</v>
      </c>
      <c r="P18" s="9">
        <v>41.32</v>
      </c>
      <c r="Q18" s="9">
        <v>12.31</v>
      </c>
      <c r="R18" s="9">
        <v>16.0</v>
      </c>
      <c r="S18" s="9" t="s">
        <v>277</v>
      </c>
      <c r="T18" s="9" t="s">
        <v>277</v>
      </c>
    </row>
    <row r="19" ht="12.75" customHeight="1">
      <c r="A19" s="9" t="s">
        <v>303</v>
      </c>
      <c r="B19" s="9">
        <v>30.416667</v>
      </c>
      <c r="C19" s="9">
        <v>0.45</v>
      </c>
      <c r="D19" s="9" t="s">
        <v>271</v>
      </c>
      <c r="E19" s="9" t="s">
        <v>282</v>
      </c>
      <c r="F19" s="9" t="s">
        <v>273</v>
      </c>
      <c r="G19" s="9" t="s">
        <v>293</v>
      </c>
      <c r="H19" s="9">
        <v>1450.0</v>
      </c>
      <c r="I19" s="9" t="s">
        <v>284</v>
      </c>
      <c r="J19" s="9">
        <v>1.0</v>
      </c>
      <c r="K19" s="9">
        <v>0.0772230731962423</v>
      </c>
      <c r="L19" s="9">
        <v>2.66360948619934E-4</v>
      </c>
      <c r="M19" s="9">
        <v>73.49</v>
      </c>
      <c r="N19" s="9">
        <v>8.173</v>
      </c>
      <c r="O19" s="9">
        <v>100.0</v>
      </c>
      <c r="P19" s="9">
        <v>79.39</v>
      </c>
      <c r="Q19" s="9">
        <v>9.483</v>
      </c>
      <c r="R19" s="9">
        <v>100.0</v>
      </c>
      <c r="S19" s="9" t="s">
        <v>285</v>
      </c>
      <c r="T19" s="9" t="s">
        <v>285</v>
      </c>
    </row>
    <row r="20" ht="12.75" customHeight="1">
      <c r="A20" s="9" t="s">
        <v>304</v>
      </c>
      <c r="B20" s="9">
        <v>30.416667</v>
      </c>
      <c r="C20" s="9">
        <v>0.45</v>
      </c>
      <c r="D20" s="9" t="s">
        <v>271</v>
      </c>
      <c r="E20" s="9" t="s">
        <v>282</v>
      </c>
      <c r="F20" s="9" t="s">
        <v>273</v>
      </c>
      <c r="G20" s="9" t="s">
        <v>293</v>
      </c>
      <c r="H20" s="9">
        <v>1450.0</v>
      </c>
      <c r="I20" s="9" t="s">
        <v>284</v>
      </c>
      <c r="J20" s="9">
        <v>1.0</v>
      </c>
      <c r="K20" s="9">
        <v>-0.0658148057666056</v>
      </c>
      <c r="L20" s="9">
        <v>1.92150464705075E-4</v>
      </c>
      <c r="M20" s="9">
        <v>85.72</v>
      </c>
      <c r="N20" s="9">
        <v>9.348</v>
      </c>
      <c r="O20" s="9">
        <v>100.0</v>
      </c>
      <c r="P20" s="9">
        <v>80.26</v>
      </c>
      <c r="Q20" s="9">
        <v>6.868</v>
      </c>
      <c r="R20" s="9">
        <v>100.0</v>
      </c>
      <c r="S20" s="9" t="s">
        <v>285</v>
      </c>
      <c r="T20" s="9" t="s">
        <v>285</v>
      </c>
    </row>
    <row r="21" ht="12.75" customHeight="1">
      <c r="A21" s="9" t="s">
        <v>305</v>
      </c>
      <c r="B21" s="9">
        <v>30.416667</v>
      </c>
      <c r="C21" s="9">
        <v>0.45</v>
      </c>
      <c r="D21" s="9" t="s">
        <v>271</v>
      </c>
      <c r="E21" s="9" t="s">
        <v>282</v>
      </c>
      <c r="F21" s="9" t="s">
        <v>273</v>
      </c>
      <c r="G21" s="9" t="s">
        <v>293</v>
      </c>
      <c r="H21" s="9">
        <v>1450.0</v>
      </c>
      <c r="I21" s="9" t="s">
        <v>284</v>
      </c>
      <c r="J21" s="9">
        <v>1.0</v>
      </c>
      <c r="K21" s="9">
        <v>-0.11731888032583</v>
      </c>
      <c r="L21" s="9">
        <v>3.97245302546005E-4</v>
      </c>
      <c r="M21" s="9">
        <v>110.39</v>
      </c>
      <c r="N21" s="9">
        <v>15.12</v>
      </c>
      <c r="O21" s="9">
        <v>100.0</v>
      </c>
      <c r="P21" s="9">
        <v>98.17</v>
      </c>
      <c r="Q21" s="9">
        <v>14.214</v>
      </c>
      <c r="R21" s="9">
        <v>100.0</v>
      </c>
      <c r="S21" s="9" t="s">
        <v>285</v>
      </c>
      <c r="T21" s="9" t="s">
        <v>285</v>
      </c>
    </row>
    <row r="22" ht="12.75" customHeight="1">
      <c r="A22" s="9" t="s">
        <v>306</v>
      </c>
      <c r="B22" s="9">
        <v>-56.45</v>
      </c>
      <c r="C22" s="9">
        <v>-1.666667</v>
      </c>
      <c r="D22" s="9" t="s">
        <v>278</v>
      </c>
      <c r="E22" s="9" t="s">
        <v>272</v>
      </c>
      <c r="F22" s="9" t="s">
        <v>273</v>
      </c>
      <c r="G22" s="9" t="s">
        <v>293</v>
      </c>
      <c r="H22" s="9" t="s">
        <v>275</v>
      </c>
      <c r="I22" s="9" t="s">
        <v>276</v>
      </c>
      <c r="J22" s="9">
        <v>0.5</v>
      </c>
      <c r="K22" s="9">
        <v>0.0277795641070757</v>
      </c>
      <c r="L22" s="9">
        <v>0.00401587687685098</v>
      </c>
      <c r="M22" s="9">
        <v>56.8</v>
      </c>
      <c r="N22" s="9">
        <v>9.97</v>
      </c>
      <c r="O22" s="9">
        <v>16.0</v>
      </c>
      <c r="P22" s="9">
        <v>58.4</v>
      </c>
      <c r="Q22" s="9">
        <v>10.68</v>
      </c>
      <c r="R22" s="9">
        <v>16.0</v>
      </c>
      <c r="S22" s="9" t="s">
        <v>285</v>
      </c>
      <c r="T22" s="9" t="s">
        <v>285</v>
      </c>
    </row>
    <row r="23" ht="12.75" customHeight="1">
      <c r="A23" s="9" t="s">
        <v>306</v>
      </c>
      <c r="B23" s="9">
        <v>-56.45</v>
      </c>
      <c r="C23" s="9">
        <v>-1.666667</v>
      </c>
      <c r="D23" s="9" t="s">
        <v>279</v>
      </c>
      <c r="E23" s="9" t="s">
        <v>272</v>
      </c>
      <c r="F23" s="9" t="s">
        <v>273</v>
      </c>
      <c r="G23" s="9" t="s">
        <v>293</v>
      </c>
      <c r="H23" s="9" t="s">
        <v>275</v>
      </c>
      <c r="I23" s="9" t="s">
        <v>276</v>
      </c>
      <c r="J23" s="9">
        <v>0.5</v>
      </c>
      <c r="K23" s="9">
        <v>-0.104599770090517</v>
      </c>
      <c r="L23" s="9">
        <v>0.00386832446586755</v>
      </c>
      <c r="M23" s="9">
        <v>58.4</v>
      </c>
      <c r="N23" s="9">
        <v>10.68</v>
      </c>
      <c r="O23" s="9">
        <v>16.0</v>
      </c>
      <c r="P23" s="9">
        <v>52.6</v>
      </c>
      <c r="Q23" s="9">
        <v>8.872</v>
      </c>
      <c r="R23" s="9">
        <v>16.0</v>
      </c>
      <c r="S23" s="9" t="s">
        <v>285</v>
      </c>
      <c r="T23" s="9" t="s">
        <v>285</v>
      </c>
    </row>
    <row r="24" ht="12.75" customHeight="1">
      <c r="A24" s="9" t="s">
        <v>307</v>
      </c>
      <c r="B24" s="9">
        <v>-56.45</v>
      </c>
      <c r="C24" s="9">
        <v>-1.666667</v>
      </c>
      <c r="D24" s="9" t="s">
        <v>278</v>
      </c>
      <c r="E24" s="9" t="s">
        <v>272</v>
      </c>
      <c r="F24" s="9" t="s">
        <v>273</v>
      </c>
      <c r="G24" s="9" t="s">
        <v>293</v>
      </c>
      <c r="H24" s="9" t="s">
        <v>275</v>
      </c>
      <c r="I24" s="9" t="s">
        <v>284</v>
      </c>
      <c r="J24" s="9">
        <v>0.5</v>
      </c>
      <c r="K24" s="9">
        <v>-0.0240975515790604</v>
      </c>
      <c r="L24" s="9">
        <v>0.00541430660979222</v>
      </c>
      <c r="M24" s="9">
        <v>12.6</v>
      </c>
      <c r="N24" s="9">
        <v>3.266</v>
      </c>
      <c r="O24" s="9">
        <v>16.0</v>
      </c>
      <c r="P24" s="9">
        <v>12.3</v>
      </c>
      <c r="Q24" s="9">
        <v>1.715</v>
      </c>
      <c r="R24" s="9">
        <v>16.0</v>
      </c>
      <c r="S24" s="9" t="s">
        <v>285</v>
      </c>
      <c r="T24" s="9" t="s">
        <v>285</v>
      </c>
    </row>
    <row r="25" ht="12.75" customHeight="1">
      <c r="A25" s="9" t="s">
        <v>307</v>
      </c>
      <c r="B25" s="9">
        <v>-56.45</v>
      </c>
      <c r="C25" s="9">
        <v>-1.666667</v>
      </c>
      <c r="D25" s="9" t="s">
        <v>279</v>
      </c>
      <c r="E25" s="9" t="s">
        <v>272</v>
      </c>
      <c r="F25" s="9" t="s">
        <v>273</v>
      </c>
      <c r="G25" s="9" t="s">
        <v>293</v>
      </c>
      <c r="H25" s="9" t="s">
        <v>275</v>
      </c>
      <c r="I25" s="9" t="s">
        <v>284</v>
      </c>
      <c r="J25" s="9">
        <v>0.5</v>
      </c>
      <c r="K25" s="9">
        <v>-0.00816331063916109</v>
      </c>
      <c r="L25" s="9">
        <v>0.00883907031585718</v>
      </c>
      <c r="M25" s="9">
        <v>12.3</v>
      </c>
      <c r="N25" s="9">
        <v>1.715</v>
      </c>
      <c r="O25" s="9">
        <v>16.0</v>
      </c>
      <c r="P25" s="9">
        <v>12.2</v>
      </c>
      <c r="Q25" s="9">
        <v>4.261</v>
      </c>
      <c r="R25" s="9">
        <v>16.0</v>
      </c>
      <c r="S25" s="9" t="s">
        <v>285</v>
      </c>
      <c r="T25" s="9" t="s">
        <v>285</v>
      </c>
    </row>
    <row r="26" ht="12.75" customHeight="1">
      <c r="A26" s="9" t="s">
        <v>308</v>
      </c>
      <c r="B26" s="9">
        <v>-56.45</v>
      </c>
      <c r="C26" s="9">
        <v>-1.666667</v>
      </c>
      <c r="D26" s="9" t="s">
        <v>278</v>
      </c>
      <c r="E26" s="9" t="s">
        <v>272</v>
      </c>
      <c r="F26" s="9" t="s">
        <v>273</v>
      </c>
      <c r="G26" s="9" t="s">
        <v>293</v>
      </c>
      <c r="H26" s="9" t="s">
        <v>275</v>
      </c>
      <c r="I26" s="9" t="s">
        <v>284</v>
      </c>
      <c r="J26" s="9">
        <v>0.5</v>
      </c>
      <c r="K26" s="9">
        <v>0.139761942375159</v>
      </c>
      <c r="L26" s="9">
        <v>0.0206825090087429</v>
      </c>
      <c r="M26" s="9">
        <v>2.0</v>
      </c>
      <c r="N26" s="9">
        <v>0.575</v>
      </c>
      <c r="O26" s="9">
        <v>16.0</v>
      </c>
      <c r="P26" s="9">
        <v>2.3</v>
      </c>
      <c r="Q26" s="9">
        <v>1.146</v>
      </c>
      <c r="R26" s="9">
        <v>16.0</v>
      </c>
      <c r="S26" s="9" t="s">
        <v>285</v>
      </c>
      <c r="T26" s="9" t="s">
        <v>285</v>
      </c>
    </row>
    <row r="27" ht="12.75" customHeight="1">
      <c r="A27" s="9" t="s">
        <v>308</v>
      </c>
      <c r="B27" s="9">
        <v>-56.45</v>
      </c>
      <c r="C27" s="9">
        <v>-1.666667</v>
      </c>
      <c r="D27" s="9" t="s">
        <v>279</v>
      </c>
      <c r="E27" s="9" t="s">
        <v>272</v>
      </c>
      <c r="F27" s="9" t="s">
        <v>273</v>
      </c>
      <c r="G27" s="9" t="s">
        <v>293</v>
      </c>
      <c r="H27" s="9" t="s">
        <v>275</v>
      </c>
      <c r="I27" s="9" t="s">
        <v>284</v>
      </c>
      <c r="J27" s="9">
        <v>0.5</v>
      </c>
      <c r="K27" s="9">
        <v>0.231801614057324</v>
      </c>
      <c r="L27" s="9">
        <v>0.0229927790555622</v>
      </c>
      <c r="M27" s="9">
        <v>2.3</v>
      </c>
      <c r="N27" s="9">
        <v>1.146</v>
      </c>
      <c r="O27" s="9">
        <v>16.0</v>
      </c>
      <c r="P27" s="9">
        <v>2.9</v>
      </c>
      <c r="Q27" s="9">
        <v>1.003</v>
      </c>
      <c r="R27" s="9">
        <v>16.0</v>
      </c>
      <c r="S27" s="9" t="s">
        <v>285</v>
      </c>
      <c r="T27" s="9" t="s">
        <v>285</v>
      </c>
    </row>
    <row r="28" ht="12.75" customHeight="1">
      <c r="A28" s="9" t="s">
        <v>309</v>
      </c>
      <c r="B28" s="9">
        <v>-56.45</v>
      </c>
      <c r="C28" s="9">
        <v>-1.666667</v>
      </c>
      <c r="D28" s="9" t="s">
        <v>278</v>
      </c>
      <c r="E28" s="9" t="s">
        <v>272</v>
      </c>
      <c r="F28" s="9" t="s">
        <v>273</v>
      </c>
      <c r="G28" s="9" t="s">
        <v>293</v>
      </c>
      <c r="H28" s="9" t="s">
        <v>275</v>
      </c>
      <c r="I28" s="9" t="s">
        <v>284</v>
      </c>
      <c r="J28" s="9">
        <v>0.5</v>
      </c>
      <c r="K28" s="9">
        <v>0.231111720963387</v>
      </c>
      <c r="L28" s="9">
        <v>0.216461270408163</v>
      </c>
      <c r="M28" s="9">
        <v>0.5</v>
      </c>
      <c r="N28" s="9">
        <v>0.629</v>
      </c>
      <c r="O28" s="9">
        <v>16.0</v>
      </c>
      <c r="P28" s="9">
        <v>0.63</v>
      </c>
      <c r="Q28" s="9">
        <v>0.864</v>
      </c>
      <c r="R28" s="9">
        <v>16.0</v>
      </c>
      <c r="S28" s="9" t="s">
        <v>285</v>
      </c>
      <c r="T28" s="9" t="s">
        <v>285</v>
      </c>
    </row>
    <row r="29" ht="12.75" customHeight="1">
      <c r="A29" s="9" t="s">
        <v>309</v>
      </c>
      <c r="B29" s="9">
        <v>-56.45</v>
      </c>
      <c r="C29" s="9">
        <v>-1.666667</v>
      </c>
      <c r="D29" s="9" t="s">
        <v>279</v>
      </c>
      <c r="E29" s="9" t="s">
        <v>272</v>
      </c>
      <c r="F29" s="9" t="s">
        <v>273</v>
      </c>
      <c r="G29" s="9" t="s">
        <v>293</v>
      </c>
      <c r="H29" s="9" t="s">
        <v>275</v>
      </c>
      <c r="I29" s="9" t="s">
        <v>284</v>
      </c>
      <c r="J29" s="9">
        <v>0.5</v>
      </c>
      <c r="K29" s="9">
        <v>0.174353387144778</v>
      </c>
      <c r="L29" s="9">
        <v>0.216776020408163</v>
      </c>
      <c r="M29" s="9">
        <v>0.63</v>
      </c>
      <c r="N29" s="9">
        <v>0.864</v>
      </c>
      <c r="O29" s="9">
        <v>16.0</v>
      </c>
      <c r="P29" s="9">
        <v>0.75</v>
      </c>
      <c r="Q29" s="9">
        <v>0.945</v>
      </c>
      <c r="R29" s="9">
        <v>16.0</v>
      </c>
      <c r="S29" s="9" t="s">
        <v>285</v>
      </c>
      <c r="T29" s="9" t="s">
        <v>285</v>
      </c>
    </row>
    <row r="30" ht="12.75" customHeight="1">
      <c r="A30" s="9" t="s">
        <v>310</v>
      </c>
      <c r="B30" s="9">
        <v>-120.375</v>
      </c>
      <c r="C30" s="9">
        <v>50.743</v>
      </c>
      <c r="D30" s="9" t="s">
        <v>288</v>
      </c>
      <c r="E30" s="9" t="s">
        <v>272</v>
      </c>
      <c r="F30" s="9" t="s">
        <v>273</v>
      </c>
      <c r="G30" s="9" t="s">
        <v>274</v>
      </c>
      <c r="H30" s="9" t="s">
        <v>311</v>
      </c>
      <c r="I30" s="9" t="s">
        <v>276</v>
      </c>
      <c r="J30" s="9">
        <v>375.0</v>
      </c>
      <c r="K30" s="9">
        <v>0.0386691411591541</v>
      </c>
      <c r="L30" s="9">
        <v>0.142686712958527</v>
      </c>
      <c r="M30" s="9">
        <v>22.32</v>
      </c>
      <c r="N30" s="9">
        <v>5.21</v>
      </c>
      <c r="O30" s="9">
        <v>3.0</v>
      </c>
      <c r="P30" s="9">
        <v>23.2</v>
      </c>
      <c r="Q30" s="9">
        <v>14.18</v>
      </c>
      <c r="R30" s="9">
        <v>3.0</v>
      </c>
      <c r="S30" s="9" t="s">
        <v>277</v>
      </c>
      <c r="T30" s="9" t="s">
        <v>277</v>
      </c>
    </row>
    <row r="31" ht="12.75" customHeight="1">
      <c r="A31" s="9" t="s">
        <v>312</v>
      </c>
      <c r="B31" s="9">
        <v>-120.375</v>
      </c>
      <c r="C31" s="9">
        <v>50.743</v>
      </c>
      <c r="D31" s="9" t="s">
        <v>288</v>
      </c>
      <c r="E31" s="9" t="s">
        <v>282</v>
      </c>
      <c r="F31" s="9" t="s">
        <v>273</v>
      </c>
      <c r="G31" s="9" t="s">
        <v>274</v>
      </c>
      <c r="H31" s="9" t="s">
        <v>311</v>
      </c>
      <c r="I31" s="9" t="s">
        <v>284</v>
      </c>
      <c r="J31" s="9">
        <v>1.0</v>
      </c>
      <c r="K31" s="9">
        <v>-0.0687138925480518</v>
      </c>
      <c r="L31" s="9">
        <v>0.00813552355708279</v>
      </c>
      <c r="M31" s="9">
        <v>5.12</v>
      </c>
      <c r="N31" s="9">
        <v>0.63</v>
      </c>
      <c r="O31" s="9">
        <v>10.0</v>
      </c>
      <c r="P31" s="9">
        <v>4.78</v>
      </c>
      <c r="Q31" s="9">
        <v>1.23</v>
      </c>
      <c r="R31" s="9">
        <v>10.0</v>
      </c>
      <c r="S31" s="9" t="s">
        <v>277</v>
      </c>
      <c r="T31" s="9" t="s">
        <v>277</v>
      </c>
    </row>
    <row r="32" ht="12.75" customHeight="1">
      <c r="A32" s="9" t="s">
        <v>313</v>
      </c>
      <c r="B32" s="9">
        <v>10.533333</v>
      </c>
      <c r="C32" s="9">
        <v>60.11</v>
      </c>
      <c r="D32" s="9" t="s">
        <v>278</v>
      </c>
      <c r="E32" s="9" t="s">
        <v>272</v>
      </c>
      <c r="F32" s="9" t="s">
        <v>273</v>
      </c>
      <c r="G32" s="9" t="s">
        <v>274</v>
      </c>
      <c r="H32" s="9" t="s">
        <v>275</v>
      </c>
      <c r="I32" s="9" t="s">
        <v>284</v>
      </c>
      <c r="J32" s="9">
        <v>1.0</v>
      </c>
      <c r="K32" s="9">
        <v>-1.49440110244574</v>
      </c>
      <c r="L32" s="9">
        <v>0.00766362903203177</v>
      </c>
      <c r="M32" s="9">
        <v>13.37</v>
      </c>
      <c r="N32" s="9">
        <v>2.265</v>
      </c>
      <c r="O32" s="9">
        <v>50.0</v>
      </c>
      <c r="P32" s="9">
        <v>3.0</v>
      </c>
      <c r="Q32" s="9">
        <v>1.263</v>
      </c>
      <c r="R32" s="9">
        <v>25.0</v>
      </c>
      <c r="S32" s="9" t="s">
        <v>285</v>
      </c>
      <c r="T32" s="9" t="s">
        <v>285</v>
      </c>
    </row>
    <row r="33" ht="12.75" customHeight="1">
      <c r="A33" s="9" t="s">
        <v>313</v>
      </c>
      <c r="B33" s="9">
        <v>10.533333</v>
      </c>
      <c r="C33" s="9">
        <v>60.11</v>
      </c>
      <c r="D33" s="9" t="s">
        <v>279</v>
      </c>
      <c r="E33" s="9" t="s">
        <v>272</v>
      </c>
      <c r="F33" s="9" t="s">
        <v>273</v>
      </c>
      <c r="G33" s="9" t="s">
        <v>274</v>
      </c>
      <c r="H33" s="9" t="s">
        <v>275</v>
      </c>
      <c r="I33" s="9" t="s">
        <v>284</v>
      </c>
      <c r="J33" s="9">
        <v>1.0</v>
      </c>
      <c r="K33" s="9">
        <v>1.98192058657835</v>
      </c>
      <c r="L33" s="9">
        <v>0.00830850876770952</v>
      </c>
      <c r="M33" s="9">
        <v>3.0</v>
      </c>
      <c r="N33" s="9">
        <v>1.263</v>
      </c>
      <c r="O33" s="9">
        <v>25.0</v>
      </c>
      <c r="P33" s="9">
        <v>21.77</v>
      </c>
      <c r="Q33" s="9">
        <v>5.3743</v>
      </c>
      <c r="R33" s="9">
        <v>50.0</v>
      </c>
      <c r="S33" s="9" t="s">
        <v>285</v>
      </c>
      <c r="T33" s="9" t="s">
        <v>285</v>
      </c>
    </row>
    <row r="34" ht="12.75" customHeight="1">
      <c r="A34" s="9" t="s">
        <v>314</v>
      </c>
      <c r="B34" s="9">
        <v>10.533333</v>
      </c>
      <c r="C34" s="9">
        <v>60.11</v>
      </c>
      <c r="D34" s="9" t="s">
        <v>278</v>
      </c>
      <c r="E34" s="9" t="s">
        <v>272</v>
      </c>
      <c r="F34" s="9" t="s">
        <v>273</v>
      </c>
      <c r="G34" s="9" t="s">
        <v>274</v>
      </c>
      <c r="H34" s="9" t="s">
        <v>275</v>
      </c>
      <c r="I34" s="9" t="s">
        <v>284</v>
      </c>
      <c r="J34" s="9">
        <v>1.0</v>
      </c>
      <c r="K34" s="9">
        <v>0.022117805253619</v>
      </c>
      <c r="L34" s="9">
        <v>0.00458719705890183</v>
      </c>
      <c r="M34" s="9">
        <v>15.65</v>
      </c>
      <c r="N34" s="9">
        <v>4.9209</v>
      </c>
      <c r="O34" s="9">
        <v>50.0</v>
      </c>
      <c r="P34" s="9">
        <v>16.0</v>
      </c>
      <c r="Q34" s="9">
        <v>4.0869085845</v>
      </c>
      <c r="R34" s="9">
        <v>25.0</v>
      </c>
      <c r="S34" s="9" t="s">
        <v>285</v>
      </c>
      <c r="T34" s="9" t="s">
        <v>285</v>
      </c>
    </row>
    <row r="35" ht="12.75" customHeight="1">
      <c r="A35" s="9" t="s">
        <v>314</v>
      </c>
      <c r="B35" s="9">
        <v>10.533333</v>
      </c>
      <c r="C35" s="9">
        <v>60.11</v>
      </c>
      <c r="D35" s="9" t="s">
        <v>279</v>
      </c>
      <c r="E35" s="9" t="s">
        <v>272</v>
      </c>
      <c r="F35" s="9" t="s">
        <v>273</v>
      </c>
      <c r="G35" s="9" t="s">
        <v>274</v>
      </c>
      <c r="H35" s="9" t="s">
        <v>275</v>
      </c>
      <c r="I35" s="9" t="s">
        <v>284</v>
      </c>
      <c r="J35" s="9">
        <v>1.0</v>
      </c>
      <c r="K35" s="9">
        <v>-1.05699061397729</v>
      </c>
      <c r="L35" s="9">
        <v>0.00521582037981579</v>
      </c>
      <c r="M35" s="9">
        <v>16.0</v>
      </c>
      <c r="N35" s="9">
        <v>4.0869085845</v>
      </c>
      <c r="O35" s="9">
        <v>25.0</v>
      </c>
      <c r="P35" s="9">
        <v>5.56</v>
      </c>
      <c r="Q35" s="9">
        <v>2.007</v>
      </c>
      <c r="R35" s="9">
        <v>50.0</v>
      </c>
      <c r="S35" s="9" t="s">
        <v>285</v>
      </c>
      <c r="T35" s="9" t="s">
        <v>285</v>
      </c>
    </row>
    <row r="36" ht="12.75" customHeight="1">
      <c r="A36" s="9" t="s">
        <v>315</v>
      </c>
      <c r="B36" s="9">
        <v>10.533333</v>
      </c>
      <c r="C36" s="9">
        <v>60.11</v>
      </c>
      <c r="D36" s="9" t="s">
        <v>278</v>
      </c>
      <c r="E36" s="9" t="s">
        <v>272</v>
      </c>
      <c r="F36" s="9" t="s">
        <v>273</v>
      </c>
      <c r="G36" s="9" t="s">
        <v>274</v>
      </c>
      <c r="H36" s="9" t="s">
        <v>275</v>
      </c>
      <c r="I36" s="9" t="s">
        <v>284</v>
      </c>
      <c r="J36" s="9">
        <v>1.0</v>
      </c>
      <c r="K36" s="9">
        <v>-0.53062825106217</v>
      </c>
      <c r="L36" s="9">
        <v>0.00437586685409458</v>
      </c>
      <c r="M36" s="9">
        <v>20.4</v>
      </c>
      <c r="N36" s="9">
        <v>4.145</v>
      </c>
      <c r="O36" s="9">
        <v>50.0</v>
      </c>
      <c r="P36" s="9">
        <v>12.0</v>
      </c>
      <c r="Q36" s="9">
        <v>3.575</v>
      </c>
      <c r="R36" s="9">
        <v>25.0</v>
      </c>
      <c r="S36" s="9" t="s">
        <v>285</v>
      </c>
      <c r="T36" s="9" t="s">
        <v>285</v>
      </c>
    </row>
    <row r="37" ht="12.75" customHeight="1">
      <c r="A37" s="9" t="s">
        <v>315</v>
      </c>
      <c r="B37" s="9">
        <v>10.533333</v>
      </c>
      <c r="C37" s="9">
        <v>60.11</v>
      </c>
      <c r="D37" s="9" t="s">
        <v>279</v>
      </c>
      <c r="E37" s="9" t="s">
        <v>272</v>
      </c>
      <c r="F37" s="9" t="s">
        <v>273</v>
      </c>
      <c r="G37" s="9" t="s">
        <v>274</v>
      </c>
      <c r="H37" s="9" t="s">
        <v>275</v>
      </c>
      <c r="I37" s="9" t="s">
        <v>284</v>
      </c>
      <c r="J37" s="9">
        <v>1.0</v>
      </c>
      <c r="K37" s="9">
        <v>0.18509548367668</v>
      </c>
      <c r="L37" s="9">
        <v>0.00406599233948183</v>
      </c>
      <c r="M37" s="9">
        <v>12.0</v>
      </c>
      <c r="N37" s="9">
        <v>3.575</v>
      </c>
      <c r="O37" s="9">
        <v>25.0</v>
      </c>
      <c r="P37" s="9">
        <v>14.44</v>
      </c>
      <c r="Q37" s="9">
        <v>2.319</v>
      </c>
      <c r="R37" s="9">
        <v>50.0</v>
      </c>
      <c r="S37" s="9" t="s">
        <v>285</v>
      </c>
      <c r="T37" s="9" t="s">
        <v>285</v>
      </c>
    </row>
    <row r="38" ht="12.75" customHeight="1">
      <c r="A38" s="9" t="s">
        <v>316</v>
      </c>
      <c r="B38" s="9">
        <v>10.533333</v>
      </c>
      <c r="C38" s="9">
        <v>60.11</v>
      </c>
      <c r="D38" s="9" t="s">
        <v>278</v>
      </c>
      <c r="E38" s="9" t="s">
        <v>272</v>
      </c>
      <c r="F38" s="9" t="s">
        <v>273</v>
      </c>
      <c r="G38" s="9" t="s">
        <v>274</v>
      </c>
      <c r="H38" s="9" t="s">
        <v>275</v>
      </c>
      <c r="I38" s="9" t="s">
        <v>284</v>
      </c>
      <c r="J38" s="9">
        <v>1.0</v>
      </c>
      <c r="K38" s="9">
        <v>-1.28370777234479</v>
      </c>
      <c r="L38" s="9">
        <v>0.00559238122837072</v>
      </c>
      <c r="M38" s="9">
        <v>14.44</v>
      </c>
      <c r="N38" s="9">
        <v>2.319</v>
      </c>
      <c r="O38" s="9">
        <v>50.0</v>
      </c>
      <c r="P38" s="9">
        <v>4.0</v>
      </c>
      <c r="Q38" s="9">
        <v>1.425</v>
      </c>
      <c r="R38" s="9">
        <v>25.0</v>
      </c>
      <c r="S38" s="9" t="s">
        <v>285</v>
      </c>
      <c r="T38" s="9" t="s">
        <v>285</v>
      </c>
    </row>
    <row r="39" ht="12.75" customHeight="1">
      <c r="A39" s="9" t="s">
        <v>316</v>
      </c>
      <c r="B39" s="9">
        <v>10.533333</v>
      </c>
      <c r="C39" s="9">
        <v>60.11</v>
      </c>
      <c r="D39" s="9" t="s">
        <v>279</v>
      </c>
      <c r="E39" s="9" t="s">
        <v>272</v>
      </c>
      <c r="F39" s="9" t="s">
        <v>273</v>
      </c>
      <c r="G39" s="9" t="s">
        <v>274</v>
      </c>
      <c r="H39" s="9" t="s">
        <v>275</v>
      </c>
      <c r="I39" s="9" t="s">
        <v>284</v>
      </c>
      <c r="J39" s="9">
        <v>1.0</v>
      </c>
      <c r="K39" s="9">
        <v>0.937073271056684</v>
      </c>
      <c r="L39" s="9">
        <v>0.00925717780580628</v>
      </c>
      <c r="M39" s="9">
        <v>4.0</v>
      </c>
      <c r="N39" s="9">
        <v>1.425</v>
      </c>
      <c r="O39" s="9">
        <v>25.0</v>
      </c>
      <c r="P39" s="9">
        <v>10.21</v>
      </c>
      <c r="Q39" s="9">
        <v>4.668</v>
      </c>
      <c r="R39" s="9">
        <v>50.0</v>
      </c>
      <c r="S39" s="9" t="s">
        <v>285</v>
      </c>
      <c r="T39" s="9" t="s">
        <v>285</v>
      </c>
    </row>
    <row r="40" ht="12.75" customHeight="1">
      <c r="A40" s="9" t="s">
        <v>317</v>
      </c>
      <c r="B40" s="9">
        <v>10.533333</v>
      </c>
      <c r="C40" s="9">
        <v>60.11</v>
      </c>
      <c r="D40" s="9" t="s">
        <v>278</v>
      </c>
      <c r="E40" s="9" t="s">
        <v>272</v>
      </c>
      <c r="F40" s="9" t="s">
        <v>273</v>
      </c>
      <c r="G40" s="9" t="s">
        <v>274</v>
      </c>
      <c r="H40" s="9" t="s">
        <v>275</v>
      </c>
      <c r="I40" s="9" t="s">
        <v>284</v>
      </c>
      <c r="J40" s="9">
        <v>1.0</v>
      </c>
      <c r="K40" s="9">
        <v>1.45886505395473</v>
      </c>
      <c r="L40" s="9">
        <v>0.0075829703137364</v>
      </c>
      <c r="M40" s="9">
        <v>3.72</v>
      </c>
      <c r="N40" s="9">
        <v>1.855</v>
      </c>
      <c r="O40" s="9">
        <v>50.0</v>
      </c>
      <c r="P40" s="9">
        <v>16.0</v>
      </c>
      <c r="Q40" s="9">
        <v>4.0869085845</v>
      </c>
      <c r="R40" s="9">
        <v>25.0</v>
      </c>
      <c r="S40" s="9" t="s">
        <v>285</v>
      </c>
      <c r="T40" s="9" t="s">
        <v>285</v>
      </c>
    </row>
    <row r="41" ht="12.75" customHeight="1">
      <c r="A41" s="9" t="s">
        <v>317</v>
      </c>
      <c r="B41" s="9">
        <v>10.533333</v>
      </c>
      <c r="C41" s="9">
        <v>60.11</v>
      </c>
      <c r="D41" s="9" t="s">
        <v>279</v>
      </c>
      <c r="E41" s="9" t="s">
        <v>272</v>
      </c>
      <c r="F41" s="9" t="s">
        <v>273</v>
      </c>
      <c r="G41" s="9" t="s">
        <v>274</v>
      </c>
      <c r="H41" s="9" t="s">
        <v>275</v>
      </c>
      <c r="I41" s="9" t="s">
        <v>284</v>
      </c>
      <c r="J41" s="9">
        <v>1.0</v>
      </c>
      <c r="K41" s="9">
        <v>0.242946178610389</v>
      </c>
      <c r="L41" s="9">
        <v>0.00343550914580531</v>
      </c>
      <c r="M41" s="9">
        <v>16.0</v>
      </c>
      <c r="N41" s="9">
        <v>4.0869085845</v>
      </c>
      <c r="O41" s="9">
        <v>25.0</v>
      </c>
      <c r="P41" s="9">
        <v>20.4</v>
      </c>
      <c r="Q41" s="9">
        <v>4.145</v>
      </c>
      <c r="R41" s="9">
        <v>50.0</v>
      </c>
      <c r="S41" s="9" t="s">
        <v>285</v>
      </c>
      <c r="T41" s="9" t="s">
        <v>285</v>
      </c>
    </row>
    <row r="42" ht="12.75" customHeight="1">
      <c r="A42" s="9" t="s">
        <v>318</v>
      </c>
      <c r="B42" s="9">
        <v>102.6</v>
      </c>
      <c r="C42" s="9">
        <v>-1.5</v>
      </c>
      <c r="D42" s="9" t="s">
        <v>288</v>
      </c>
      <c r="E42" s="9" t="s">
        <v>289</v>
      </c>
      <c r="F42" s="9" t="s">
        <v>273</v>
      </c>
      <c r="G42" s="9" t="s">
        <v>293</v>
      </c>
      <c r="H42" s="9" t="s">
        <v>275</v>
      </c>
      <c r="I42" s="9" t="s">
        <v>284</v>
      </c>
      <c r="J42" s="9">
        <v>10.0</v>
      </c>
      <c r="K42" s="9">
        <v>-0.31015492830384</v>
      </c>
      <c r="L42" s="9">
        <v>0.0147807533406795</v>
      </c>
      <c r="M42" s="9">
        <v>15.0</v>
      </c>
      <c r="N42" s="9">
        <v>3.983</v>
      </c>
      <c r="O42" s="9">
        <v>20.0</v>
      </c>
      <c r="P42" s="9">
        <v>11.0</v>
      </c>
      <c r="Q42" s="9">
        <v>5.219</v>
      </c>
      <c r="R42" s="9">
        <v>20.0</v>
      </c>
      <c r="S42" s="9" t="s">
        <v>285</v>
      </c>
      <c r="T42" s="9" t="s">
        <v>285</v>
      </c>
    </row>
    <row r="43" ht="12.75" customHeight="1">
      <c r="A43" s="9" t="s">
        <v>318</v>
      </c>
      <c r="B43" s="9">
        <v>102.6</v>
      </c>
      <c r="C43" s="9">
        <v>-1.5</v>
      </c>
      <c r="D43" s="9" t="s">
        <v>278</v>
      </c>
      <c r="E43" s="9" t="s">
        <v>289</v>
      </c>
      <c r="F43" s="9" t="s">
        <v>273</v>
      </c>
      <c r="G43" s="9" t="s">
        <v>293</v>
      </c>
      <c r="H43" s="9" t="s">
        <v>275</v>
      </c>
      <c r="I43" s="9" t="s">
        <v>284</v>
      </c>
      <c r="J43" s="9">
        <v>10.0</v>
      </c>
      <c r="K43" s="9">
        <v>-0.0909717782057268</v>
      </c>
      <c r="L43" s="9">
        <v>0.00670417451454641</v>
      </c>
      <c r="M43" s="9">
        <v>23.0</v>
      </c>
      <c r="N43" s="9">
        <v>6.645</v>
      </c>
      <c r="O43" s="9">
        <v>20.0</v>
      </c>
      <c r="P43" s="9">
        <v>21.0</v>
      </c>
      <c r="Q43" s="9">
        <v>4.724428</v>
      </c>
      <c r="R43" s="9">
        <v>20.0</v>
      </c>
      <c r="S43" s="9" t="s">
        <v>285</v>
      </c>
      <c r="T43" s="9" t="s">
        <v>285</v>
      </c>
    </row>
    <row r="44" ht="12.75" customHeight="1">
      <c r="A44" s="9" t="s">
        <v>318</v>
      </c>
      <c r="B44" s="9">
        <v>102.6</v>
      </c>
      <c r="C44" s="9">
        <v>-1.5</v>
      </c>
      <c r="D44" s="9" t="s">
        <v>279</v>
      </c>
      <c r="E44" s="9" t="s">
        <v>289</v>
      </c>
      <c r="F44" s="9" t="s">
        <v>273</v>
      </c>
      <c r="G44" s="9" t="s">
        <v>293</v>
      </c>
      <c r="H44" s="9" t="s">
        <v>275</v>
      </c>
      <c r="I44" s="9" t="s">
        <v>284</v>
      </c>
      <c r="J44" s="9">
        <v>10.0</v>
      </c>
      <c r="K44" s="9">
        <v>-0.479573080261886</v>
      </c>
      <c r="L44" s="9">
        <v>0.00371538570066289</v>
      </c>
      <c r="M44" s="9">
        <v>21.0</v>
      </c>
      <c r="N44" s="9">
        <v>4.724428</v>
      </c>
      <c r="O44" s="9">
        <v>20.0</v>
      </c>
      <c r="P44" s="9">
        <v>13.0</v>
      </c>
      <c r="Q44" s="9">
        <v>2.83</v>
      </c>
      <c r="R44" s="9">
        <v>40.0</v>
      </c>
      <c r="S44" s="9" t="s">
        <v>285</v>
      </c>
      <c r="T44" s="9" t="s">
        <v>277</v>
      </c>
    </row>
    <row r="45" ht="12.75" customHeight="1">
      <c r="A45" s="9" t="s">
        <v>319</v>
      </c>
      <c r="B45" s="9">
        <v>-92.770777</v>
      </c>
      <c r="C45" s="9">
        <v>17.227384</v>
      </c>
      <c r="D45" s="9" t="s">
        <v>271</v>
      </c>
      <c r="E45" s="9" t="s">
        <v>272</v>
      </c>
      <c r="F45" s="9" t="s">
        <v>283</v>
      </c>
      <c r="G45" s="9" t="s">
        <v>293</v>
      </c>
      <c r="H45" s="9" t="s">
        <v>311</v>
      </c>
      <c r="I45" s="9" t="s">
        <v>284</v>
      </c>
      <c r="J45" s="9">
        <v>900.0</v>
      </c>
      <c r="K45" s="9">
        <v>-0.332133835022615</v>
      </c>
      <c r="L45" s="9">
        <v>0.010769379542113</v>
      </c>
      <c r="M45" s="9">
        <v>46.0</v>
      </c>
      <c r="N45" s="9">
        <v>8.774</v>
      </c>
      <c r="O45" s="9">
        <v>9.0</v>
      </c>
      <c r="P45" s="9">
        <v>33.0</v>
      </c>
      <c r="Q45" s="9">
        <v>7.161</v>
      </c>
      <c r="R45" s="9">
        <v>7.0</v>
      </c>
      <c r="S45" s="9" t="s">
        <v>285</v>
      </c>
      <c r="T45" s="9" t="s">
        <v>285</v>
      </c>
    </row>
    <row r="46" ht="12.75" customHeight="1">
      <c r="A46" s="9" t="s">
        <v>320</v>
      </c>
      <c r="B46" s="9">
        <v>-92.770777</v>
      </c>
      <c r="C46" s="9">
        <v>17.227384</v>
      </c>
      <c r="D46" s="9" t="s">
        <v>278</v>
      </c>
      <c r="E46" s="9" t="s">
        <v>272</v>
      </c>
      <c r="F46" s="9" t="s">
        <v>273</v>
      </c>
      <c r="G46" s="9" t="s">
        <v>293</v>
      </c>
      <c r="H46" s="9" t="s">
        <v>311</v>
      </c>
      <c r="I46" s="9" t="s">
        <v>284</v>
      </c>
      <c r="J46" s="9">
        <v>900.0</v>
      </c>
      <c r="K46" s="9">
        <v>-0.332133835022615</v>
      </c>
      <c r="L46" s="9">
        <v>0.010769379542113</v>
      </c>
      <c r="M46" s="9">
        <v>46.0</v>
      </c>
      <c r="N46" s="9">
        <v>8.774</v>
      </c>
      <c r="O46" s="9">
        <v>9.0</v>
      </c>
      <c r="P46" s="9">
        <v>33.0</v>
      </c>
      <c r="Q46" s="9">
        <v>7.161</v>
      </c>
      <c r="R46" s="9">
        <v>7.0</v>
      </c>
      <c r="S46" s="9" t="s">
        <v>285</v>
      </c>
      <c r="T46" s="9" t="s">
        <v>285</v>
      </c>
    </row>
    <row r="47" ht="12.75" customHeight="1">
      <c r="A47" s="9" t="s">
        <v>321</v>
      </c>
      <c r="B47" s="9">
        <v>10.0</v>
      </c>
      <c r="C47" s="9">
        <v>3.0</v>
      </c>
      <c r="D47" s="9" t="s">
        <v>298</v>
      </c>
      <c r="E47" s="9" t="s">
        <v>272</v>
      </c>
      <c r="F47" s="9" t="s">
        <v>273</v>
      </c>
      <c r="G47" s="9" t="s">
        <v>293</v>
      </c>
      <c r="H47" s="9" t="s">
        <v>275</v>
      </c>
      <c r="I47" s="9" t="s">
        <v>284</v>
      </c>
      <c r="J47" s="9">
        <v>625.0</v>
      </c>
      <c r="K47" s="9">
        <v>-0.191220169140808</v>
      </c>
      <c r="L47" s="9">
        <v>0.0110766737675986</v>
      </c>
      <c r="M47" s="9">
        <v>140.42</v>
      </c>
      <c r="N47" s="9">
        <v>41.41</v>
      </c>
      <c r="O47" s="9">
        <v>10.0</v>
      </c>
      <c r="P47" s="9">
        <v>115.98</v>
      </c>
      <c r="Q47" s="9">
        <v>14.97</v>
      </c>
      <c r="R47" s="9">
        <v>7.0</v>
      </c>
      <c r="S47" s="9" t="s">
        <v>277</v>
      </c>
      <c r="T47" s="9" t="s">
        <v>277</v>
      </c>
    </row>
    <row r="48" ht="12.75" customHeight="1">
      <c r="A48" s="9" t="s">
        <v>322</v>
      </c>
      <c r="B48" s="9">
        <v>-73.75</v>
      </c>
      <c r="C48" s="9">
        <v>-4.916667</v>
      </c>
      <c r="D48" s="9" t="s">
        <v>288</v>
      </c>
      <c r="E48" s="9" t="s">
        <v>272</v>
      </c>
      <c r="F48" s="9" t="s">
        <v>273</v>
      </c>
      <c r="G48" s="9" t="s">
        <v>293</v>
      </c>
      <c r="H48" s="9" t="s">
        <v>275</v>
      </c>
      <c r="I48" s="9" t="s">
        <v>284</v>
      </c>
      <c r="J48" s="9">
        <v>225.0</v>
      </c>
      <c r="K48" s="9">
        <v>0.0894494997579976</v>
      </c>
      <c r="L48" s="9">
        <v>0.0268331327862329</v>
      </c>
      <c r="M48" s="9">
        <v>84.32</v>
      </c>
      <c r="N48" s="9">
        <v>7.58</v>
      </c>
      <c r="O48" s="9">
        <v>4.0</v>
      </c>
      <c r="P48" s="9">
        <v>92.21</v>
      </c>
      <c r="Q48" s="9">
        <v>29.05</v>
      </c>
      <c r="R48" s="9">
        <v>4.0</v>
      </c>
      <c r="S48" s="9" t="s">
        <v>277</v>
      </c>
      <c r="T48" s="9" t="s">
        <v>277</v>
      </c>
    </row>
    <row r="49" ht="12.75" customHeight="1">
      <c r="A49" s="9" t="s">
        <v>323</v>
      </c>
      <c r="B49" s="9">
        <v>132.705457</v>
      </c>
      <c r="C49" s="9">
        <v>33.353858</v>
      </c>
      <c r="D49" s="9" t="s">
        <v>298</v>
      </c>
      <c r="E49" s="9" t="s">
        <v>272</v>
      </c>
      <c r="F49" s="9" t="s">
        <v>273</v>
      </c>
      <c r="G49" s="9" t="s">
        <v>295</v>
      </c>
      <c r="H49" s="9">
        <v>1450.0</v>
      </c>
      <c r="I49" s="9" t="s">
        <v>276</v>
      </c>
      <c r="J49" s="9">
        <v>0.05</v>
      </c>
      <c r="K49" s="9">
        <v>-0.0723206615796261</v>
      </c>
      <c r="L49" s="9">
        <v>0.0889880086533261</v>
      </c>
      <c r="M49" s="9">
        <v>21.5</v>
      </c>
      <c r="N49" s="9">
        <v>11.09</v>
      </c>
      <c r="O49" s="9">
        <v>4.0</v>
      </c>
      <c r="P49" s="9">
        <v>20.0</v>
      </c>
      <c r="Q49" s="9">
        <v>4.24</v>
      </c>
      <c r="R49" s="9">
        <v>2.0</v>
      </c>
      <c r="S49" s="9" t="s">
        <v>277</v>
      </c>
      <c r="T49" s="9" t="s">
        <v>277</v>
      </c>
    </row>
    <row r="50" ht="12.75" customHeight="1">
      <c r="A50" s="9" t="s">
        <v>324</v>
      </c>
      <c r="B50" s="9">
        <v>132.705457</v>
      </c>
      <c r="C50" s="9">
        <v>33.353858</v>
      </c>
      <c r="D50" s="9" t="s">
        <v>298</v>
      </c>
      <c r="E50" s="9" t="s">
        <v>289</v>
      </c>
      <c r="F50" s="9" t="s">
        <v>273</v>
      </c>
      <c r="G50" s="9" t="s">
        <v>295</v>
      </c>
      <c r="H50" s="9">
        <v>1450.0</v>
      </c>
      <c r="I50" s="9" t="s">
        <v>276</v>
      </c>
      <c r="J50" s="9">
        <v>0.05</v>
      </c>
      <c r="K50" s="9">
        <v>-0.289642473001211</v>
      </c>
      <c r="L50" s="9">
        <v>0.00679381840640384</v>
      </c>
      <c r="M50" s="9">
        <v>17.02</v>
      </c>
      <c r="N50" s="9">
        <v>1.39</v>
      </c>
      <c r="O50" s="9">
        <v>4.0</v>
      </c>
      <c r="P50" s="9">
        <v>12.74</v>
      </c>
      <c r="Q50" s="9">
        <v>1.29</v>
      </c>
      <c r="R50" s="9">
        <v>2.0</v>
      </c>
      <c r="S50" s="9" t="s">
        <v>277</v>
      </c>
      <c r="T50" s="9" t="s">
        <v>277</v>
      </c>
    </row>
    <row r="51" ht="12.75" customHeight="1">
      <c r="A51" s="9" t="s">
        <v>325</v>
      </c>
      <c r="B51" s="9">
        <v>-3.58</v>
      </c>
      <c r="C51" s="9">
        <v>55.05</v>
      </c>
      <c r="D51" s="9" t="s">
        <v>288</v>
      </c>
      <c r="E51" s="9" t="s">
        <v>289</v>
      </c>
      <c r="F51" s="9" t="s">
        <v>326</v>
      </c>
      <c r="G51" s="9" t="s">
        <v>295</v>
      </c>
      <c r="H51" s="9" t="s">
        <v>296</v>
      </c>
      <c r="I51" s="9" t="s">
        <v>284</v>
      </c>
      <c r="J51" s="9">
        <v>100.0</v>
      </c>
      <c r="K51" s="9">
        <v>0.0823709974331276</v>
      </c>
      <c r="L51" s="9">
        <v>0.00339892529996654</v>
      </c>
      <c r="M51" s="9">
        <v>3.96</v>
      </c>
      <c r="N51" s="9">
        <v>0.35</v>
      </c>
      <c r="O51" s="9">
        <v>3.0</v>
      </c>
      <c r="P51" s="9">
        <v>4.3</v>
      </c>
      <c r="Q51" s="9">
        <v>0.21</v>
      </c>
      <c r="R51" s="9">
        <v>3.0</v>
      </c>
      <c r="S51" s="9" t="s">
        <v>277</v>
      </c>
      <c r="T51" s="9" t="s">
        <v>277</v>
      </c>
    </row>
    <row r="52" ht="12.75" customHeight="1">
      <c r="A52" s="9" t="s">
        <v>327</v>
      </c>
      <c r="B52" s="9">
        <v>8.275</v>
      </c>
      <c r="C52" s="9">
        <v>44.858</v>
      </c>
      <c r="D52" s="9" t="s">
        <v>288</v>
      </c>
      <c r="E52" s="9" t="s">
        <v>282</v>
      </c>
      <c r="F52" s="9" t="s">
        <v>273</v>
      </c>
      <c r="G52" s="9" t="s">
        <v>295</v>
      </c>
      <c r="H52" s="9" t="s">
        <v>311</v>
      </c>
      <c r="I52" s="9" t="s">
        <v>284</v>
      </c>
      <c r="J52" s="9">
        <v>1.0</v>
      </c>
      <c r="K52" s="9">
        <v>-0.0811901547300132</v>
      </c>
      <c r="L52" s="9">
        <v>0.00627057720783654</v>
      </c>
      <c r="M52" s="9">
        <v>10.9</v>
      </c>
      <c r="N52" s="9">
        <v>3.8</v>
      </c>
      <c r="O52" s="9">
        <v>24.0</v>
      </c>
      <c r="P52" s="9">
        <v>10.05</v>
      </c>
      <c r="Q52" s="9">
        <v>2.18</v>
      </c>
      <c r="R52" s="9">
        <v>39.0</v>
      </c>
      <c r="S52" s="9" t="s">
        <v>277</v>
      </c>
      <c r="T52" s="9" t="s">
        <v>277</v>
      </c>
    </row>
    <row r="53" ht="12.75" customHeight="1">
      <c r="A53" s="9" t="s">
        <v>328</v>
      </c>
      <c r="B53" s="9">
        <v>8.275</v>
      </c>
      <c r="C53" s="9">
        <v>44.858</v>
      </c>
      <c r="D53" s="9" t="s">
        <v>288</v>
      </c>
      <c r="E53" s="9" t="s">
        <v>282</v>
      </c>
      <c r="F53" s="9" t="s">
        <v>273</v>
      </c>
      <c r="G53" s="9" t="s">
        <v>295</v>
      </c>
      <c r="H53" s="9" t="s">
        <v>311</v>
      </c>
      <c r="I53" s="9" t="s">
        <v>284</v>
      </c>
      <c r="J53" s="9">
        <v>1.0</v>
      </c>
      <c r="K53" s="9">
        <v>-0.249429413585135</v>
      </c>
      <c r="L53" s="9">
        <v>0.0086360665803203</v>
      </c>
      <c r="M53" s="9">
        <v>10.6</v>
      </c>
      <c r="N53" s="9">
        <v>3.62</v>
      </c>
      <c r="O53" s="9">
        <v>24.0</v>
      </c>
      <c r="P53" s="9">
        <v>8.26</v>
      </c>
      <c r="Q53" s="9">
        <v>3.17</v>
      </c>
      <c r="R53" s="9">
        <v>39.0</v>
      </c>
      <c r="S53" s="9" t="s">
        <v>277</v>
      </c>
      <c r="T53" s="9" t="s">
        <v>277</v>
      </c>
    </row>
    <row r="54" ht="12.75" customHeight="1">
      <c r="A54" s="9" t="s">
        <v>329</v>
      </c>
      <c r="B54" s="9">
        <v>16.083333</v>
      </c>
      <c r="C54" s="9">
        <v>62.666667</v>
      </c>
      <c r="D54" s="9" t="s">
        <v>288</v>
      </c>
      <c r="E54" s="9" t="s">
        <v>282</v>
      </c>
      <c r="F54" s="9" t="s">
        <v>273</v>
      </c>
      <c r="G54" s="9" t="s">
        <v>274</v>
      </c>
      <c r="H54" s="9" t="s">
        <v>275</v>
      </c>
      <c r="I54" s="9" t="s">
        <v>284</v>
      </c>
      <c r="J54" s="9">
        <v>500.0</v>
      </c>
      <c r="K54" s="9">
        <v>-0.0179491998299813</v>
      </c>
      <c r="L54" s="9">
        <v>0.0165222595232079</v>
      </c>
      <c r="M54" s="9">
        <v>7.87</v>
      </c>
      <c r="N54" s="9">
        <v>2.61</v>
      </c>
      <c r="O54" s="9">
        <v>15.0</v>
      </c>
      <c r="P54" s="9">
        <v>7.73</v>
      </c>
      <c r="Q54" s="9">
        <v>2.87</v>
      </c>
      <c r="R54" s="9">
        <v>15.0</v>
      </c>
      <c r="S54" s="9" t="s">
        <v>277</v>
      </c>
      <c r="T54" s="9" t="s">
        <v>277</v>
      </c>
    </row>
    <row r="55" ht="12.75" customHeight="1">
      <c r="A55" s="9" t="s">
        <v>330</v>
      </c>
      <c r="B55" s="9">
        <v>3.833333</v>
      </c>
      <c r="C55" s="9">
        <v>50.0</v>
      </c>
      <c r="D55" s="9" t="s">
        <v>278</v>
      </c>
      <c r="E55" s="9" t="s">
        <v>272</v>
      </c>
      <c r="F55" s="9" t="s">
        <v>273</v>
      </c>
      <c r="G55" s="9" t="s">
        <v>295</v>
      </c>
      <c r="H55" s="9" t="s">
        <v>311</v>
      </c>
      <c r="I55" s="9" t="s">
        <v>276</v>
      </c>
      <c r="J55" s="9">
        <v>400.0</v>
      </c>
      <c r="K55" s="9">
        <v>0.0</v>
      </c>
      <c r="L55" s="9">
        <v>0.00782160859083936</v>
      </c>
      <c r="M55" s="9">
        <v>3.9</v>
      </c>
      <c r="N55" s="9">
        <v>2.1</v>
      </c>
      <c r="O55" s="9">
        <v>75.0</v>
      </c>
      <c r="P55" s="9">
        <v>3.9</v>
      </c>
      <c r="Q55" s="9">
        <v>1.9</v>
      </c>
      <c r="R55" s="9">
        <v>60.0</v>
      </c>
      <c r="S55" s="9" t="s">
        <v>277</v>
      </c>
      <c r="T55" s="9" t="s">
        <v>277</v>
      </c>
    </row>
    <row r="56" ht="12.75" customHeight="1">
      <c r="A56" s="9" t="s">
        <v>331</v>
      </c>
      <c r="B56" s="9">
        <v>3.833333</v>
      </c>
      <c r="C56" s="9">
        <v>50.0</v>
      </c>
      <c r="D56" s="9" t="s">
        <v>278</v>
      </c>
      <c r="E56" s="9" t="s">
        <v>272</v>
      </c>
      <c r="F56" s="9" t="s">
        <v>273</v>
      </c>
      <c r="G56" s="9" t="s">
        <v>295</v>
      </c>
      <c r="H56" s="9" t="s">
        <v>311</v>
      </c>
      <c r="I56" s="9" t="s">
        <v>284</v>
      </c>
      <c r="J56" s="9">
        <v>400.0</v>
      </c>
      <c r="K56" s="9">
        <v>0.273293334999681</v>
      </c>
      <c r="L56" s="9">
        <v>0.00967825315381351</v>
      </c>
      <c r="M56" s="9">
        <v>3.5</v>
      </c>
      <c r="N56" s="9">
        <v>2.0</v>
      </c>
      <c r="O56" s="9">
        <v>75.0</v>
      </c>
      <c r="P56" s="9">
        <v>4.6</v>
      </c>
      <c r="Q56" s="9">
        <v>2.6</v>
      </c>
      <c r="R56" s="9">
        <v>60.0</v>
      </c>
      <c r="S56" s="9" t="s">
        <v>277</v>
      </c>
      <c r="T56" s="9" t="s">
        <v>277</v>
      </c>
    </row>
    <row r="57" ht="12.75" customHeight="1">
      <c r="A57" s="9" t="s">
        <v>332</v>
      </c>
      <c r="B57" s="9">
        <v>3.833333</v>
      </c>
      <c r="C57" s="9">
        <v>50.0</v>
      </c>
      <c r="D57" s="9" t="s">
        <v>278</v>
      </c>
      <c r="E57" s="9" t="s">
        <v>272</v>
      </c>
      <c r="F57" s="9" t="s">
        <v>273</v>
      </c>
      <c r="G57" s="9" t="s">
        <v>295</v>
      </c>
      <c r="H57" s="9" t="s">
        <v>311</v>
      </c>
      <c r="I57" s="9" t="s">
        <v>284</v>
      </c>
      <c r="J57" s="9">
        <v>400.0</v>
      </c>
      <c r="K57" s="9">
        <v>0.142115136315914</v>
      </c>
      <c r="L57" s="9">
        <v>0.0036008649785783</v>
      </c>
      <c r="M57" s="9">
        <v>20.3</v>
      </c>
      <c r="N57" s="9">
        <v>6.2</v>
      </c>
      <c r="O57" s="9">
        <v>75.0</v>
      </c>
      <c r="P57" s="9">
        <v>23.4</v>
      </c>
      <c r="Q57" s="9">
        <v>8.8</v>
      </c>
      <c r="R57" s="9">
        <v>60.0</v>
      </c>
      <c r="S57" s="9" t="s">
        <v>277</v>
      </c>
      <c r="T57" s="9" t="s">
        <v>277</v>
      </c>
    </row>
    <row r="58" ht="12.75" customHeight="1">
      <c r="A58" s="9" t="s">
        <v>333</v>
      </c>
      <c r="B58" s="9">
        <v>-2.212579</v>
      </c>
      <c r="C58" s="9">
        <v>5.310389</v>
      </c>
      <c r="D58" s="9" t="s">
        <v>292</v>
      </c>
      <c r="E58" s="9" t="s">
        <v>282</v>
      </c>
      <c r="F58" s="9" t="s">
        <v>273</v>
      </c>
      <c r="G58" s="9" t="s">
        <v>293</v>
      </c>
      <c r="H58" s="9">
        <v>1950.0</v>
      </c>
      <c r="I58" s="9" t="s">
        <v>284</v>
      </c>
      <c r="J58" s="9">
        <v>306.9</v>
      </c>
      <c r="K58" s="9">
        <v>0.0564140892800915</v>
      </c>
      <c r="L58" s="9">
        <v>0.00114094911069244</v>
      </c>
      <c r="M58" s="9">
        <v>87.36</v>
      </c>
      <c r="N58" s="9">
        <v>5.38</v>
      </c>
      <c r="O58" s="9">
        <v>6.0</v>
      </c>
      <c r="P58" s="9">
        <v>92.43</v>
      </c>
      <c r="Q58" s="9">
        <v>4.17</v>
      </c>
      <c r="R58" s="9">
        <v>4.0</v>
      </c>
      <c r="S58" s="9" t="s">
        <v>277</v>
      </c>
      <c r="T58" s="9" t="s">
        <v>277</v>
      </c>
    </row>
    <row r="59" ht="12.75" customHeight="1">
      <c r="A59" s="9" t="s">
        <v>334</v>
      </c>
      <c r="B59" s="9">
        <v>-2.212579</v>
      </c>
      <c r="C59" s="9">
        <v>5.310389</v>
      </c>
      <c r="D59" s="9" t="s">
        <v>292</v>
      </c>
      <c r="E59" s="9" t="s">
        <v>282</v>
      </c>
      <c r="F59" s="9" t="s">
        <v>273</v>
      </c>
      <c r="G59" s="9" t="s">
        <v>293</v>
      </c>
      <c r="H59" s="9">
        <v>1950.0</v>
      </c>
      <c r="I59" s="9" t="s">
        <v>284</v>
      </c>
      <c r="J59" s="9">
        <v>306.9</v>
      </c>
      <c r="K59" s="9">
        <v>0.0796477473619129</v>
      </c>
      <c r="L59" s="9">
        <v>0.00459406890341738</v>
      </c>
      <c r="M59" s="9">
        <v>38.96</v>
      </c>
      <c r="N59" s="9">
        <v>4.71</v>
      </c>
      <c r="O59" s="9">
        <v>6.0</v>
      </c>
      <c r="P59" s="9">
        <v>42.19</v>
      </c>
      <c r="Q59" s="9">
        <v>3.92</v>
      </c>
      <c r="R59" s="9">
        <v>4.0</v>
      </c>
      <c r="S59" s="9" t="s">
        <v>277</v>
      </c>
      <c r="T59" s="9" t="s">
        <v>277</v>
      </c>
    </row>
    <row r="60" ht="12.75" customHeight="1">
      <c r="A60" s="9" t="s">
        <v>335</v>
      </c>
      <c r="B60" s="9">
        <v>-61.198129</v>
      </c>
      <c r="C60" s="9">
        <v>10.207686</v>
      </c>
      <c r="D60" s="9" t="s">
        <v>278</v>
      </c>
      <c r="E60" s="9" t="s">
        <v>282</v>
      </c>
      <c r="F60" s="9" t="s">
        <v>273</v>
      </c>
      <c r="G60" s="9" t="s">
        <v>293</v>
      </c>
      <c r="H60" s="9" t="s">
        <v>275</v>
      </c>
      <c r="I60" s="9" t="s">
        <v>284</v>
      </c>
      <c r="J60" s="9">
        <v>84.0</v>
      </c>
      <c r="K60" s="9">
        <v>0.241162056816888</v>
      </c>
      <c r="L60" s="9">
        <v>0.0644619803719008</v>
      </c>
      <c r="M60" s="9">
        <v>11.0</v>
      </c>
      <c r="N60" s="9">
        <v>2.093</v>
      </c>
      <c r="O60" s="9">
        <v>2.0</v>
      </c>
      <c r="P60" s="9">
        <v>14.0</v>
      </c>
      <c r="Q60" s="9">
        <v>4.263</v>
      </c>
      <c r="R60" s="9">
        <v>2.0</v>
      </c>
      <c r="S60" s="9" t="s">
        <v>285</v>
      </c>
      <c r="T60" s="9" t="s">
        <v>285</v>
      </c>
    </row>
    <row r="61" ht="12.75" customHeight="1">
      <c r="A61" s="9" t="s">
        <v>336</v>
      </c>
      <c r="B61" s="9">
        <v>-61.198129</v>
      </c>
      <c r="C61" s="9">
        <v>10.207686</v>
      </c>
      <c r="D61" s="9" t="s">
        <v>278</v>
      </c>
      <c r="E61" s="9" t="s">
        <v>282</v>
      </c>
      <c r="F61" s="9" t="s">
        <v>273</v>
      </c>
      <c r="G61" s="9" t="s">
        <v>293</v>
      </c>
      <c r="H61" s="9" t="s">
        <v>275</v>
      </c>
      <c r="I61" s="9" t="s">
        <v>284</v>
      </c>
      <c r="J61" s="9">
        <v>84.0</v>
      </c>
      <c r="K61" s="9">
        <v>0.133531392624523</v>
      </c>
      <c r="L61" s="9">
        <v>0.077034673828125</v>
      </c>
      <c r="M61" s="9">
        <v>14.0</v>
      </c>
      <c r="N61" s="9">
        <v>4.263</v>
      </c>
      <c r="O61" s="9">
        <v>2.0</v>
      </c>
      <c r="P61" s="9">
        <v>16.0</v>
      </c>
      <c r="Q61" s="9">
        <v>3.963</v>
      </c>
      <c r="R61" s="9">
        <v>2.0</v>
      </c>
      <c r="S61" s="9" t="s">
        <v>285</v>
      </c>
      <c r="T61" s="9" t="s">
        <v>285</v>
      </c>
    </row>
    <row r="62" ht="12.75" customHeight="1">
      <c r="A62" s="9" t="s">
        <v>337</v>
      </c>
      <c r="B62" s="9">
        <v>-120.466667</v>
      </c>
      <c r="C62" s="9">
        <v>55.966667</v>
      </c>
      <c r="D62" s="9" t="s">
        <v>288</v>
      </c>
      <c r="E62" s="9" t="s">
        <v>272</v>
      </c>
      <c r="F62" s="9" t="s">
        <v>273</v>
      </c>
      <c r="G62" s="9" t="s">
        <v>274</v>
      </c>
      <c r="H62" s="9" t="s">
        <v>275</v>
      </c>
      <c r="I62" s="9" t="s">
        <v>284</v>
      </c>
      <c r="J62" s="9">
        <v>50.01</v>
      </c>
      <c r="K62" s="9">
        <v>0.133531392624523</v>
      </c>
      <c r="L62" s="9">
        <v>5.06225019536171E-4</v>
      </c>
      <c r="M62" s="9">
        <v>21.0</v>
      </c>
      <c r="N62" s="9">
        <v>2.836</v>
      </c>
      <c r="O62" s="9">
        <v>144.0</v>
      </c>
      <c r="P62" s="9">
        <v>24.0</v>
      </c>
      <c r="Q62" s="9">
        <v>5.611</v>
      </c>
      <c r="R62" s="9">
        <v>144.0</v>
      </c>
      <c r="S62" s="9" t="s">
        <v>285</v>
      </c>
      <c r="T62" s="9" t="s">
        <v>285</v>
      </c>
    </row>
    <row r="63" ht="12.75" customHeight="1">
      <c r="A63" s="9" t="s">
        <v>338</v>
      </c>
      <c r="B63" s="9">
        <v>148.16</v>
      </c>
      <c r="C63" s="9">
        <v>-23.83</v>
      </c>
      <c r="D63" s="9" t="s">
        <v>278</v>
      </c>
      <c r="E63" s="9" t="s">
        <v>272</v>
      </c>
      <c r="F63" s="9" t="s">
        <v>326</v>
      </c>
      <c r="G63" s="9" t="s">
        <v>339</v>
      </c>
      <c r="H63" s="9">
        <v>1950.0</v>
      </c>
      <c r="I63" s="9" t="s">
        <v>276</v>
      </c>
      <c r="J63" s="9">
        <v>1.0</v>
      </c>
      <c r="K63" s="9">
        <v>-0.688520220309799</v>
      </c>
      <c r="L63" s="9">
        <v>0.00256109953647217</v>
      </c>
      <c r="M63" s="9">
        <v>34.5</v>
      </c>
      <c r="N63" s="9">
        <v>2.74</v>
      </c>
      <c r="O63" s="9">
        <v>45.0</v>
      </c>
      <c r="P63" s="9">
        <v>17.33</v>
      </c>
      <c r="Q63" s="9">
        <v>5.72</v>
      </c>
      <c r="R63" s="9">
        <v>45.0</v>
      </c>
      <c r="S63" s="9" t="s">
        <v>277</v>
      </c>
      <c r="T63" s="9" t="s">
        <v>277</v>
      </c>
    </row>
    <row r="64" ht="12.75" customHeight="1">
      <c r="A64" s="9" t="s">
        <v>340</v>
      </c>
      <c r="B64" s="9">
        <v>-86.5</v>
      </c>
      <c r="C64" s="9">
        <v>39.166667</v>
      </c>
      <c r="D64" s="9" t="s">
        <v>278</v>
      </c>
      <c r="E64" s="9" t="s">
        <v>272</v>
      </c>
      <c r="F64" s="9" t="s">
        <v>273</v>
      </c>
      <c r="G64" s="9" t="s">
        <v>295</v>
      </c>
      <c r="H64" s="9">
        <v>1950.0</v>
      </c>
      <c r="I64" s="9" t="s">
        <v>276</v>
      </c>
      <c r="J64" s="9">
        <v>100.0</v>
      </c>
      <c r="K64" s="9">
        <v>0.376901226616858</v>
      </c>
      <c r="L64" s="9">
        <v>0.00397587302277109</v>
      </c>
      <c r="M64" s="9">
        <v>5.09</v>
      </c>
      <c r="N64" s="9">
        <v>3.16</v>
      </c>
      <c r="O64" s="9">
        <v>129.0</v>
      </c>
      <c r="P64" s="9">
        <v>7.42</v>
      </c>
      <c r="Q64" s="9">
        <v>2.71</v>
      </c>
      <c r="R64" s="9">
        <v>135.0</v>
      </c>
      <c r="S64" s="9" t="s">
        <v>277</v>
      </c>
      <c r="T64" s="9" t="s">
        <v>277</v>
      </c>
    </row>
    <row r="65" ht="12.75" customHeight="1">
      <c r="A65" s="9" t="s">
        <v>340</v>
      </c>
      <c r="B65" s="9">
        <v>-86.5</v>
      </c>
      <c r="C65" s="9">
        <v>39.166667</v>
      </c>
      <c r="D65" s="9" t="s">
        <v>279</v>
      </c>
      <c r="E65" s="9" t="s">
        <v>272</v>
      </c>
      <c r="F65" s="9" t="s">
        <v>273</v>
      </c>
      <c r="G65" s="9" t="s">
        <v>295</v>
      </c>
      <c r="H65" s="9">
        <v>1950.0</v>
      </c>
      <c r="I65" s="9" t="s">
        <v>276</v>
      </c>
      <c r="J65" s="9">
        <v>100.0</v>
      </c>
      <c r="K65" s="9">
        <v>0.164874643190234</v>
      </c>
      <c r="L65" s="9">
        <v>0.00188444414062641</v>
      </c>
      <c r="M65" s="9">
        <v>7.42</v>
      </c>
      <c r="N65" s="9">
        <v>2.71</v>
      </c>
      <c r="O65" s="9">
        <v>135.0</v>
      </c>
      <c r="P65" s="9">
        <v>8.75</v>
      </c>
      <c r="Q65" s="9">
        <v>2.76</v>
      </c>
      <c r="R65" s="9">
        <v>111.0</v>
      </c>
      <c r="S65" s="9" t="s">
        <v>277</v>
      </c>
      <c r="T65" s="9" t="s">
        <v>277</v>
      </c>
    </row>
    <row r="66" ht="12.75" customHeight="1">
      <c r="A66" s="9" t="s">
        <v>341</v>
      </c>
      <c r="B66" s="9">
        <v>-69.35</v>
      </c>
      <c r="C66" s="9">
        <v>47.6</v>
      </c>
      <c r="D66" s="9" t="s">
        <v>288</v>
      </c>
      <c r="E66" s="9" t="s">
        <v>282</v>
      </c>
      <c r="F66" s="9" t="s">
        <v>273</v>
      </c>
      <c r="G66" s="9" t="s">
        <v>274</v>
      </c>
      <c r="H66" s="9">
        <v>1950.0</v>
      </c>
      <c r="I66" s="9" t="s">
        <v>284</v>
      </c>
      <c r="J66" s="9">
        <v>12.0</v>
      </c>
      <c r="K66" s="9">
        <v>-0.367724780125317</v>
      </c>
      <c r="L66" s="9">
        <v>0.0173282489590182</v>
      </c>
      <c r="M66" s="9">
        <v>3.25</v>
      </c>
      <c r="N66" s="9">
        <v>0.97</v>
      </c>
      <c r="O66" s="9">
        <v>15.0</v>
      </c>
      <c r="P66" s="9">
        <v>2.25</v>
      </c>
      <c r="Q66" s="9">
        <v>0.93</v>
      </c>
      <c r="R66" s="9">
        <v>15.0</v>
      </c>
      <c r="S66" s="9" t="s">
        <v>277</v>
      </c>
      <c r="T66" s="9" t="s">
        <v>277</v>
      </c>
    </row>
    <row r="67" ht="12.75" customHeight="1">
      <c r="A67" s="9" t="s">
        <v>342</v>
      </c>
      <c r="B67" s="9">
        <v>139.0</v>
      </c>
      <c r="C67" s="9">
        <v>37.0</v>
      </c>
      <c r="D67" s="9" t="s">
        <v>288</v>
      </c>
      <c r="E67" s="9" t="s">
        <v>272</v>
      </c>
      <c r="F67" s="9" t="s">
        <v>273</v>
      </c>
      <c r="G67" s="9" t="s">
        <v>295</v>
      </c>
      <c r="H67" s="9">
        <v>1450.0</v>
      </c>
      <c r="I67" s="9" t="s">
        <v>276</v>
      </c>
      <c r="J67" s="9">
        <v>1250.0</v>
      </c>
      <c r="K67" s="9">
        <v>0.450021129658397</v>
      </c>
      <c r="L67" s="9">
        <v>0.0023717177819282</v>
      </c>
      <c r="M67" s="9">
        <v>41.7</v>
      </c>
      <c r="N67" s="9">
        <v>7.866</v>
      </c>
      <c r="O67" s="9">
        <v>20.0</v>
      </c>
      <c r="P67" s="9">
        <v>65.4</v>
      </c>
      <c r="Q67" s="9">
        <v>9.006</v>
      </c>
      <c r="R67" s="9">
        <v>32.0</v>
      </c>
      <c r="S67" s="9" t="s">
        <v>285</v>
      </c>
      <c r="T67" s="9" t="s">
        <v>285</v>
      </c>
    </row>
    <row r="68" ht="12.75" customHeight="1">
      <c r="A68" s="9" t="s">
        <v>343</v>
      </c>
      <c r="B68" s="9">
        <v>-88.965392</v>
      </c>
      <c r="C68" s="9">
        <v>45.757365</v>
      </c>
      <c r="D68" s="9" t="s">
        <v>271</v>
      </c>
      <c r="E68" s="9" t="s">
        <v>272</v>
      </c>
      <c r="F68" s="9" t="s">
        <v>273</v>
      </c>
      <c r="G68" s="9" t="s">
        <v>274</v>
      </c>
      <c r="H68" s="9" t="s">
        <v>275</v>
      </c>
      <c r="I68" s="9" t="s">
        <v>284</v>
      </c>
      <c r="J68" s="9">
        <v>150.0</v>
      </c>
      <c r="K68" s="9">
        <v>-0.0734793707710534</v>
      </c>
      <c r="L68" s="9">
        <v>0.446142559512109</v>
      </c>
      <c r="M68" s="9">
        <v>3.67</v>
      </c>
      <c r="N68" s="9">
        <v>8.21</v>
      </c>
      <c r="O68" s="9">
        <v>15.0</v>
      </c>
      <c r="P68" s="9">
        <v>3.41</v>
      </c>
      <c r="Q68" s="9">
        <v>4.43</v>
      </c>
      <c r="R68" s="9">
        <v>15.0</v>
      </c>
      <c r="S68" s="9" t="s">
        <v>277</v>
      </c>
      <c r="T68" s="9" t="s">
        <v>277</v>
      </c>
    </row>
    <row r="69" ht="12.75" customHeight="1">
      <c r="A69" s="9" t="s">
        <v>343</v>
      </c>
      <c r="B69" s="9">
        <v>-88.965392</v>
      </c>
      <c r="C69" s="9">
        <v>45.757365</v>
      </c>
      <c r="D69" s="9" t="s">
        <v>279</v>
      </c>
      <c r="E69" s="9" t="s">
        <v>272</v>
      </c>
      <c r="F69" s="9" t="s">
        <v>273</v>
      </c>
      <c r="G69" s="9" t="s">
        <v>274</v>
      </c>
      <c r="H69" s="9" t="s">
        <v>275</v>
      </c>
      <c r="I69" s="9" t="s">
        <v>284</v>
      </c>
      <c r="J69" s="9">
        <v>150.0</v>
      </c>
      <c r="K69" s="9">
        <v>0.0360649349207959</v>
      </c>
      <c r="L69" s="9">
        <v>0.235275677268978</v>
      </c>
      <c r="M69" s="9">
        <v>3.54</v>
      </c>
      <c r="N69" s="9">
        <v>6.48</v>
      </c>
      <c r="O69" s="9">
        <v>15.0</v>
      </c>
      <c r="P69" s="9">
        <v>3.67</v>
      </c>
      <c r="Q69" s="9">
        <v>1.55</v>
      </c>
      <c r="R69" s="9">
        <v>15.0</v>
      </c>
      <c r="S69" s="9" t="s">
        <v>277</v>
      </c>
      <c r="T69" s="9" t="s">
        <v>277</v>
      </c>
    </row>
    <row r="70" ht="12.75" customHeight="1">
      <c r="A70" s="9" t="s">
        <v>344</v>
      </c>
      <c r="B70" s="9">
        <v>-88.965392</v>
      </c>
      <c r="C70" s="9">
        <v>45.757365</v>
      </c>
      <c r="D70" s="9" t="s">
        <v>271</v>
      </c>
      <c r="E70" s="9" t="s">
        <v>272</v>
      </c>
      <c r="F70" s="9" t="s">
        <v>273</v>
      </c>
      <c r="G70" s="9" t="s">
        <v>274</v>
      </c>
      <c r="H70" s="9" t="s">
        <v>275</v>
      </c>
      <c r="I70" s="9" t="s">
        <v>284</v>
      </c>
      <c r="J70" s="9">
        <v>1.0</v>
      </c>
      <c r="K70" s="9">
        <v>0.062592849641484</v>
      </c>
      <c r="L70" s="9">
        <v>0.335643300421767</v>
      </c>
      <c r="M70" s="9">
        <v>4.18</v>
      </c>
      <c r="N70" s="9">
        <v>26.18</v>
      </c>
      <c r="O70" s="9">
        <v>120.0</v>
      </c>
      <c r="P70" s="9">
        <v>4.45</v>
      </c>
      <c r="Q70" s="9">
        <v>4.56</v>
      </c>
      <c r="R70" s="9">
        <v>120.0</v>
      </c>
      <c r="S70" s="9" t="s">
        <v>277</v>
      </c>
      <c r="T70" s="9" t="s">
        <v>277</v>
      </c>
    </row>
    <row r="71" ht="12.75" customHeight="1">
      <c r="A71" s="9" t="s">
        <v>344</v>
      </c>
      <c r="B71" s="9">
        <v>-88.965392</v>
      </c>
      <c r="C71" s="9">
        <v>45.757365</v>
      </c>
      <c r="D71" s="9" t="s">
        <v>279</v>
      </c>
      <c r="E71" s="9" t="s">
        <v>272</v>
      </c>
      <c r="F71" s="9" t="s">
        <v>273</v>
      </c>
      <c r="G71" s="9" t="s">
        <v>274</v>
      </c>
      <c r="H71" s="9" t="s">
        <v>275</v>
      </c>
      <c r="I71" s="9" t="s">
        <v>284</v>
      </c>
      <c r="J71" s="9">
        <v>1.0</v>
      </c>
      <c r="K71" s="9">
        <v>0.0</v>
      </c>
      <c r="L71" s="9">
        <v>0.0257758936589941</v>
      </c>
      <c r="M71" s="9">
        <v>4.19</v>
      </c>
      <c r="N71" s="9">
        <v>4.25</v>
      </c>
      <c r="O71" s="9">
        <v>120.0</v>
      </c>
      <c r="P71" s="9">
        <v>4.19</v>
      </c>
      <c r="Q71" s="9">
        <v>6.02</v>
      </c>
      <c r="R71" s="9">
        <v>120.0</v>
      </c>
      <c r="S71" s="9" t="s">
        <v>277</v>
      </c>
      <c r="T71" s="9" t="s">
        <v>277</v>
      </c>
    </row>
    <row r="72" ht="12.75" customHeight="1">
      <c r="A72" s="9" t="s">
        <v>345</v>
      </c>
      <c r="B72" s="9">
        <v>-81.183333</v>
      </c>
      <c r="C72" s="9">
        <v>27.15</v>
      </c>
      <c r="D72" s="9" t="s">
        <v>278</v>
      </c>
      <c r="E72" s="9" t="s">
        <v>289</v>
      </c>
      <c r="F72" s="9" t="s">
        <v>326</v>
      </c>
      <c r="G72" s="9" t="s">
        <v>295</v>
      </c>
      <c r="H72" s="9">
        <v>1950.0</v>
      </c>
      <c r="I72" s="9" t="s">
        <v>284</v>
      </c>
      <c r="J72" s="9">
        <v>100.0</v>
      </c>
      <c r="K72" s="9">
        <v>-0.265703165733006</v>
      </c>
      <c r="L72" s="9">
        <v>0.00875168516145558</v>
      </c>
      <c r="M72" s="9">
        <v>30.0</v>
      </c>
      <c r="N72" s="9">
        <v>5.448</v>
      </c>
      <c r="O72" s="9">
        <v>10.0</v>
      </c>
      <c r="P72" s="9">
        <v>23.0</v>
      </c>
      <c r="Q72" s="9">
        <v>5.37129</v>
      </c>
      <c r="R72" s="9">
        <v>10.0</v>
      </c>
      <c r="S72" s="9" t="s">
        <v>285</v>
      </c>
      <c r="T72" s="9" t="s">
        <v>285</v>
      </c>
    </row>
    <row r="73" ht="12.75" customHeight="1">
      <c r="A73" s="9" t="s">
        <v>346</v>
      </c>
      <c r="B73" s="9">
        <v>-81.183333</v>
      </c>
      <c r="C73" s="9">
        <v>27.15</v>
      </c>
      <c r="D73" s="9" t="s">
        <v>298</v>
      </c>
      <c r="E73" s="9" t="s">
        <v>289</v>
      </c>
      <c r="F73" s="9" t="s">
        <v>326</v>
      </c>
      <c r="G73" s="9" t="s">
        <v>295</v>
      </c>
      <c r="H73" s="9">
        <v>1950.0</v>
      </c>
      <c r="I73" s="9" t="s">
        <v>284</v>
      </c>
      <c r="J73" s="9">
        <v>100.0</v>
      </c>
      <c r="K73" s="9">
        <v>-0.287682072451781</v>
      </c>
      <c r="L73" s="9">
        <v>0.00598497236725755</v>
      </c>
      <c r="M73" s="9">
        <v>28.0</v>
      </c>
      <c r="N73" s="9">
        <v>3.668</v>
      </c>
      <c r="O73" s="9">
        <v>10.0</v>
      </c>
      <c r="P73" s="9">
        <v>21.0</v>
      </c>
      <c r="Q73" s="9">
        <v>4.3388624246</v>
      </c>
      <c r="R73" s="9">
        <v>10.0</v>
      </c>
      <c r="S73" s="9" t="s">
        <v>285</v>
      </c>
      <c r="T73" s="9" t="s">
        <v>285</v>
      </c>
    </row>
    <row r="74" ht="12.75" customHeight="1">
      <c r="A74" s="9" t="s">
        <v>347</v>
      </c>
      <c r="B74" s="9">
        <v>15.0</v>
      </c>
      <c r="C74" s="9">
        <v>45.616667</v>
      </c>
      <c r="D74" s="9" t="s">
        <v>271</v>
      </c>
      <c r="E74" s="9" t="s">
        <v>272</v>
      </c>
      <c r="F74" s="9" t="s">
        <v>273</v>
      </c>
      <c r="G74" s="9" t="s">
        <v>295</v>
      </c>
      <c r="H74" s="9" t="s">
        <v>311</v>
      </c>
      <c r="I74" s="9" t="s">
        <v>284</v>
      </c>
      <c r="J74" s="9">
        <v>400.0</v>
      </c>
      <c r="K74" s="9">
        <v>0.839101093183025</v>
      </c>
      <c r="L74" s="9">
        <v>0.0374698179306912</v>
      </c>
      <c r="M74" s="9">
        <v>17.5</v>
      </c>
      <c r="N74" s="9">
        <v>3.513</v>
      </c>
      <c r="O74" s="9">
        <v>2.0</v>
      </c>
      <c r="P74" s="9">
        <v>40.5</v>
      </c>
      <c r="Q74" s="9">
        <v>7.538</v>
      </c>
      <c r="R74" s="9">
        <v>2.0</v>
      </c>
      <c r="S74" s="9" t="s">
        <v>285</v>
      </c>
      <c r="T74" s="9" t="s">
        <v>285</v>
      </c>
    </row>
    <row r="75" ht="12.75" customHeight="1">
      <c r="A75" s="9" t="s">
        <v>347</v>
      </c>
      <c r="B75" s="9">
        <v>15.0</v>
      </c>
      <c r="C75" s="9">
        <v>45.616667</v>
      </c>
      <c r="D75" s="9" t="s">
        <v>278</v>
      </c>
      <c r="E75" s="9" t="s">
        <v>272</v>
      </c>
      <c r="F75" s="9" t="s">
        <v>273</v>
      </c>
      <c r="G75" s="9" t="s">
        <v>295</v>
      </c>
      <c r="H75" s="9" t="s">
        <v>311</v>
      </c>
      <c r="I75" s="9" t="s">
        <v>284</v>
      </c>
      <c r="J75" s="9">
        <v>400.0</v>
      </c>
      <c r="K75" s="9">
        <v>0.199713299505824</v>
      </c>
      <c r="L75" s="9">
        <v>0.0879277011604046</v>
      </c>
      <c r="M75" s="9">
        <v>23.75</v>
      </c>
      <c r="N75" s="9">
        <v>8.95</v>
      </c>
      <c r="O75" s="9">
        <v>4.0</v>
      </c>
      <c r="P75" s="9">
        <v>29.0</v>
      </c>
      <c r="Q75" s="9">
        <v>13.28</v>
      </c>
      <c r="R75" s="9">
        <v>4.0</v>
      </c>
      <c r="S75" s="9" t="s">
        <v>277</v>
      </c>
      <c r="T75" s="9" t="s">
        <v>277</v>
      </c>
    </row>
    <row r="76" ht="12.75" customHeight="1">
      <c r="A76" s="9" t="s">
        <v>348</v>
      </c>
      <c r="B76" s="9">
        <v>8.353166</v>
      </c>
      <c r="C76" s="9">
        <v>50.655242</v>
      </c>
      <c r="D76" s="9" t="s">
        <v>279</v>
      </c>
      <c r="E76" s="9" t="s">
        <v>289</v>
      </c>
      <c r="F76" s="9" t="s">
        <v>283</v>
      </c>
      <c r="G76" s="9" t="s">
        <v>295</v>
      </c>
      <c r="H76" s="9" t="s">
        <v>311</v>
      </c>
      <c r="I76" s="9" t="s">
        <v>284</v>
      </c>
      <c r="J76" s="9">
        <v>2.0</v>
      </c>
      <c r="K76" s="9">
        <v>-0.189388724017047</v>
      </c>
      <c r="L76" s="9">
        <v>0.0180137752821848</v>
      </c>
      <c r="M76" s="9">
        <v>2.84</v>
      </c>
      <c r="N76" s="9">
        <v>1.01</v>
      </c>
      <c r="O76" s="9">
        <v>19.0</v>
      </c>
      <c r="P76" s="9">
        <v>2.35</v>
      </c>
      <c r="Q76" s="9">
        <v>1.12</v>
      </c>
      <c r="R76" s="9">
        <v>20.0</v>
      </c>
      <c r="S76" s="9" t="s">
        <v>277</v>
      </c>
      <c r="T76" s="9" t="s">
        <v>277</v>
      </c>
    </row>
    <row r="77" ht="12.75" customHeight="1">
      <c r="A77" s="9" t="s">
        <v>349</v>
      </c>
      <c r="B77" s="9">
        <v>-88.758751</v>
      </c>
      <c r="C77" s="9">
        <v>15.758404</v>
      </c>
      <c r="D77" s="9" t="s">
        <v>288</v>
      </c>
      <c r="E77" s="9" t="s">
        <v>272</v>
      </c>
      <c r="F77" s="9" t="s">
        <v>273</v>
      </c>
      <c r="G77" s="9" t="s">
        <v>293</v>
      </c>
      <c r="H77" s="9">
        <v>1950.0</v>
      </c>
      <c r="I77" s="9" t="s">
        <v>276</v>
      </c>
      <c r="J77" s="9">
        <v>0.04</v>
      </c>
      <c r="K77" s="9">
        <v>-1.5635407557418</v>
      </c>
      <c r="L77" s="9">
        <v>0.00630753954124773</v>
      </c>
      <c r="M77" s="9">
        <v>5.11</v>
      </c>
      <c r="N77" s="9">
        <v>1.76</v>
      </c>
      <c r="O77" s="9">
        <v>24.0</v>
      </c>
      <c r="P77" s="9">
        <v>1.07</v>
      </c>
      <c r="Q77" s="9">
        <v>0.25</v>
      </c>
      <c r="R77" s="9">
        <v>40.0</v>
      </c>
      <c r="S77" s="9" t="s">
        <v>277</v>
      </c>
      <c r="T77" s="9" t="s">
        <v>277</v>
      </c>
    </row>
    <row r="78" ht="12.75" customHeight="1">
      <c r="A78" s="9" t="s">
        <v>350</v>
      </c>
      <c r="B78" s="9">
        <v>-88.758751</v>
      </c>
      <c r="C78" s="9">
        <v>15.758404</v>
      </c>
      <c r="D78" s="9" t="s">
        <v>288</v>
      </c>
      <c r="E78" s="9" t="s">
        <v>282</v>
      </c>
      <c r="F78" s="9" t="s">
        <v>273</v>
      </c>
      <c r="G78" s="9" t="s">
        <v>293</v>
      </c>
      <c r="H78" s="9">
        <v>1950.0</v>
      </c>
      <c r="I78" s="9" t="s">
        <v>284</v>
      </c>
      <c r="J78" s="9">
        <v>7853.98</v>
      </c>
      <c r="K78" s="9">
        <v>-0.70798669442272</v>
      </c>
      <c r="L78" s="9">
        <v>0.0298764132660746</v>
      </c>
      <c r="M78" s="9">
        <v>6.11</v>
      </c>
      <c r="N78" s="9">
        <v>1.98</v>
      </c>
      <c r="O78" s="9">
        <v>24.0</v>
      </c>
      <c r="P78" s="9">
        <v>3.01</v>
      </c>
      <c r="Q78" s="9">
        <v>3.04</v>
      </c>
      <c r="R78" s="9">
        <v>40.0</v>
      </c>
      <c r="S78" s="9" t="s">
        <v>277</v>
      </c>
      <c r="T78" s="9" t="s">
        <v>277</v>
      </c>
    </row>
    <row r="79" ht="12.75" customHeight="1">
      <c r="A79" s="9" t="s">
        <v>351</v>
      </c>
      <c r="B79" s="9">
        <v>130.2</v>
      </c>
      <c r="C79" s="9">
        <v>43.333333</v>
      </c>
      <c r="D79" s="9" t="s">
        <v>288</v>
      </c>
      <c r="E79" s="9" t="s">
        <v>272</v>
      </c>
      <c r="F79" s="9" t="s">
        <v>273</v>
      </c>
      <c r="G79" s="9" t="s">
        <v>274</v>
      </c>
      <c r="H79" s="9">
        <v>1950.0</v>
      </c>
      <c r="I79" s="9" t="s">
        <v>284</v>
      </c>
      <c r="J79" s="9">
        <v>0.6275</v>
      </c>
      <c r="K79" s="9">
        <v>0.00888894741724621</v>
      </c>
      <c r="L79" s="9">
        <v>0.0101141795899188</v>
      </c>
      <c r="M79" s="9">
        <v>11.2</v>
      </c>
      <c r="N79" s="9">
        <v>1.6</v>
      </c>
      <c r="O79" s="9">
        <v>4.0</v>
      </c>
      <c r="P79" s="9">
        <v>11.3</v>
      </c>
      <c r="Q79" s="9">
        <v>1.6</v>
      </c>
      <c r="R79" s="9">
        <v>4.0</v>
      </c>
      <c r="S79" s="9" t="s">
        <v>277</v>
      </c>
      <c r="T79" s="9" t="s">
        <v>277</v>
      </c>
    </row>
    <row r="80" ht="12.75" customHeight="1">
      <c r="A80" s="9" t="s">
        <v>352</v>
      </c>
      <c r="B80" s="9">
        <v>130.2</v>
      </c>
      <c r="C80" s="9">
        <v>43.333333</v>
      </c>
      <c r="D80" s="9" t="s">
        <v>288</v>
      </c>
      <c r="E80" s="9" t="s">
        <v>272</v>
      </c>
      <c r="F80" s="9" t="s">
        <v>273</v>
      </c>
      <c r="G80" s="9" t="s">
        <v>274</v>
      </c>
      <c r="H80" s="9">
        <v>1950.0</v>
      </c>
      <c r="I80" s="9" t="s">
        <v>284</v>
      </c>
      <c r="J80" s="9">
        <v>0.6275</v>
      </c>
      <c r="K80" s="9">
        <v>0.157628944203583</v>
      </c>
      <c r="L80" s="9">
        <v>0.0833418538072576</v>
      </c>
      <c r="M80" s="9">
        <v>4.1</v>
      </c>
      <c r="N80" s="9">
        <v>1.8</v>
      </c>
      <c r="O80" s="9">
        <v>4.0</v>
      </c>
      <c r="P80" s="9">
        <v>4.8</v>
      </c>
      <c r="Q80" s="9">
        <v>1.8</v>
      </c>
      <c r="R80" s="9">
        <v>4.0</v>
      </c>
      <c r="S80" s="9" t="s">
        <v>277</v>
      </c>
      <c r="T80" s="9" t="s">
        <v>277</v>
      </c>
    </row>
    <row r="81" ht="12.75" customHeight="1">
      <c r="A81" s="9" t="s">
        <v>353</v>
      </c>
      <c r="B81" s="9">
        <v>145.616667</v>
      </c>
      <c r="C81" s="9">
        <v>-17.25</v>
      </c>
      <c r="D81" s="9" t="s">
        <v>279</v>
      </c>
      <c r="E81" s="9" t="s">
        <v>289</v>
      </c>
      <c r="F81" s="9" t="s">
        <v>273</v>
      </c>
      <c r="G81" s="9" t="s">
        <v>295</v>
      </c>
      <c r="H81" s="9" t="s">
        <v>275</v>
      </c>
      <c r="I81" s="9" t="s">
        <v>284</v>
      </c>
      <c r="J81" s="9">
        <v>100.0</v>
      </c>
      <c r="K81" s="9">
        <v>0.168167342366302</v>
      </c>
      <c r="L81" s="9">
        <v>0.0467364716248712</v>
      </c>
      <c r="M81" s="9">
        <v>11.74</v>
      </c>
      <c r="N81" s="9">
        <v>2.63</v>
      </c>
      <c r="O81" s="9">
        <v>5.0</v>
      </c>
      <c r="P81" s="9">
        <v>13.89</v>
      </c>
      <c r="Q81" s="9">
        <v>5.95</v>
      </c>
      <c r="R81" s="9">
        <v>5.0</v>
      </c>
      <c r="S81" s="9" t="s">
        <v>277</v>
      </c>
      <c r="T81" s="9" t="s">
        <v>277</v>
      </c>
    </row>
    <row r="82" ht="12.75" customHeight="1">
      <c r="A82" s="9" t="s">
        <v>354</v>
      </c>
      <c r="B82" s="9">
        <v>153.0</v>
      </c>
      <c r="C82" s="9">
        <v>-27.1</v>
      </c>
      <c r="D82" s="9" t="s">
        <v>279</v>
      </c>
      <c r="E82" s="9" t="s">
        <v>289</v>
      </c>
      <c r="F82" s="9" t="s">
        <v>273</v>
      </c>
      <c r="G82" s="9" t="s">
        <v>295</v>
      </c>
      <c r="H82" s="9">
        <v>1950.0</v>
      </c>
      <c r="I82" s="9" t="s">
        <v>284</v>
      </c>
      <c r="J82" s="9">
        <v>100.0</v>
      </c>
      <c r="K82" s="9">
        <v>-0.00744189481038577</v>
      </c>
      <c r="L82" s="9">
        <v>0.0692862515355769</v>
      </c>
      <c r="M82" s="9">
        <v>10.79</v>
      </c>
      <c r="N82" s="9">
        <v>4.75</v>
      </c>
      <c r="O82" s="9">
        <v>10.0</v>
      </c>
      <c r="P82" s="9">
        <v>10.71</v>
      </c>
      <c r="Q82" s="9">
        <v>5.35</v>
      </c>
      <c r="R82" s="9">
        <v>5.0</v>
      </c>
      <c r="S82" s="9" t="s">
        <v>277</v>
      </c>
      <c r="T82" s="9" t="s">
        <v>277</v>
      </c>
    </row>
    <row r="83" ht="12.75" customHeight="1">
      <c r="A83" s="9" t="s">
        <v>355</v>
      </c>
      <c r="B83" s="9">
        <v>9.0</v>
      </c>
      <c r="C83" s="9">
        <v>52.0</v>
      </c>
      <c r="D83" s="9" t="s">
        <v>278</v>
      </c>
      <c r="E83" s="9" t="s">
        <v>272</v>
      </c>
      <c r="F83" s="9" t="s">
        <v>326</v>
      </c>
      <c r="G83" s="9" t="s">
        <v>295</v>
      </c>
      <c r="H83" s="9" t="s">
        <v>311</v>
      </c>
      <c r="I83" s="9" t="s">
        <v>276</v>
      </c>
      <c r="J83" s="9">
        <v>2.0</v>
      </c>
      <c r="K83" s="9">
        <v>-0.0329864989963065</v>
      </c>
      <c r="L83" s="9">
        <v>0.00467479436545848</v>
      </c>
      <c r="M83" s="9">
        <v>16.95</v>
      </c>
      <c r="N83" s="9">
        <v>0.26</v>
      </c>
      <c r="O83" s="9">
        <v>6.0</v>
      </c>
      <c r="P83" s="9">
        <v>16.4</v>
      </c>
      <c r="Q83" s="9">
        <v>1.934</v>
      </c>
      <c r="R83" s="9">
        <v>3.0</v>
      </c>
      <c r="S83" s="9" t="s">
        <v>277</v>
      </c>
      <c r="T83" s="9" t="s">
        <v>285</v>
      </c>
    </row>
    <row r="84" ht="12.75" customHeight="1">
      <c r="A84" s="9" t="s">
        <v>356</v>
      </c>
      <c r="B84" s="9">
        <v>9.0</v>
      </c>
      <c r="C84" s="9">
        <v>52.0</v>
      </c>
      <c r="D84" s="9" t="s">
        <v>278</v>
      </c>
      <c r="E84" s="9" t="s">
        <v>272</v>
      </c>
      <c r="F84" s="9" t="s">
        <v>326</v>
      </c>
      <c r="G84" s="9" t="s">
        <v>295</v>
      </c>
      <c r="H84" s="9" t="s">
        <v>311</v>
      </c>
      <c r="I84" s="9" t="s">
        <v>284</v>
      </c>
      <c r="J84" s="9">
        <v>2.0</v>
      </c>
      <c r="K84" s="9">
        <v>-0.0329864989963065</v>
      </c>
      <c r="L84" s="9">
        <v>0.00467479436545848</v>
      </c>
      <c r="M84" s="9">
        <v>16.95</v>
      </c>
      <c r="N84" s="9">
        <v>0.26</v>
      </c>
      <c r="O84" s="9">
        <v>6.0</v>
      </c>
      <c r="P84" s="9">
        <v>16.4</v>
      </c>
      <c r="Q84" s="9">
        <v>1.934</v>
      </c>
      <c r="R84" s="9">
        <v>3.0</v>
      </c>
      <c r="S84" s="9" t="s">
        <v>277</v>
      </c>
      <c r="T84" s="9" t="s">
        <v>285</v>
      </c>
    </row>
    <row r="85" ht="12.75" customHeight="1">
      <c r="A85" s="9" t="s">
        <v>357</v>
      </c>
      <c r="B85" s="9">
        <v>3.0</v>
      </c>
      <c r="C85" s="9">
        <v>45.0</v>
      </c>
      <c r="D85" s="9" t="s">
        <v>278</v>
      </c>
      <c r="E85" s="9" t="s">
        <v>272</v>
      </c>
      <c r="F85" s="9" t="s">
        <v>326</v>
      </c>
      <c r="G85" s="9" t="s">
        <v>295</v>
      </c>
      <c r="H85" s="9" t="s">
        <v>311</v>
      </c>
      <c r="I85" s="9" t="s">
        <v>276</v>
      </c>
      <c r="J85" s="9">
        <v>3.6</v>
      </c>
      <c r="K85" s="9">
        <v>0.020121403199421</v>
      </c>
      <c r="L85" s="9">
        <v>0.0127066621505931</v>
      </c>
      <c r="M85" s="9">
        <v>24.6</v>
      </c>
      <c r="N85" s="9">
        <v>0.72</v>
      </c>
      <c r="O85" s="9">
        <v>6.0</v>
      </c>
      <c r="P85" s="9">
        <v>25.1</v>
      </c>
      <c r="Q85" s="9">
        <v>4.873</v>
      </c>
      <c r="R85" s="9">
        <v>3.0</v>
      </c>
      <c r="S85" s="9" t="s">
        <v>277</v>
      </c>
      <c r="T85" s="9" t="s">
        <v>285</v>
      </c>
    </row>
    <row r="86" ht="12.75" customHeight="1">
      <c r="A86" s="9" t="s">
        <v>358</v>
      </c>
      <c r="B86" s="9">
        <v>3.0</v>
      </c>
      <c r="C86" s="9">
        <v>45.0</v>
      </c>
      <c r="D86" s="9" t="s">
        <v>278</v>
      </c>
      <c r="E86" s="9" t="s">
        <v>272</v>
      </c>
      <c r="F86" s="9" t="s">
        <v>326</v>
      </c>
      <c r="G86" s="9" t="s">
        <v>295</v>
      </c>
      <c r="H86" s="9" t="s">
        <v>311</v>
      </c>
      <c r="I86" s="9" t="s">
        <v>284</v>
      </c>
      <c r="J86" s="9">
        <v>3.6</v>
      </c>
      <c r="K86" s="9">
        <v>0.020121403199421</v>
      </c>
      <c r="L86" s="9">
        <v>0.0127066621505931</v>
      </c>
      <c r="M86" s="9">
        <v>24.6</v>
      </c>
      <c r="N86" s="9">
        <v>0.72</v>
      </c>
      <c r="O86" s="9">
        <v>6.0</v>
      </c>
      <c r="P86" s="9">
        <v>25.1</v>
      </c>
      <c r="Q86" s="9">
        <v>4.873</v>
      </c>
      <c r="R86" s="9">
        <v>3.0</v>
      </c>
      <c r="S86" s="9" t="s">
        <v>277</v>
      </c>
      <c r="T86" s="9" t="s">
        <v>285</v>
      </c>
    </row>
    <row r="87" ht="12.75" customHeight="1">
      <c r="A87" s="9" t="s">
        <v>359</v>
      </c>
      <c r="B87" s="9">
        <v>-3.9238</v>
      </c>
      <c r="C87" s="9">
        <v>51.172578</v>
      </c>
      <c r="D87" s="9" t="s">
        <v>278</v>
      </c>
      <c r="E87" s="9" t="s">
        <v>272</v>
      </c>
      <c r="F87" s="9" t="s">
        <v>326</v>
      </c>
      <c r="G87" s="9" t="s">
        <v>295</v>
      </c>
      <c r="H87" s="9" t="s">
        <v>311</v>
      </c>
      <c r="I87" s="9" t="s">
        <v>276</v>
      </c>
      <c r="J87" s="9">
        <v>2.0</v>
      </c>
      <c r="K87" s="9">
        <v>0.0966268356890717</v>
      </c>
      <c r="L87" s="9">
        <v>0.0117154108782054</v>
      </c>
      <c r="M87" s="9">
        <v>10.35</v>
      </c>
      <c r="N87" s="9">
        <v>0.15</v>
      </c>
      <c r="O87" s="9">
        <v>6.0</v>
      </c>
      <c r="P87" s="9">
        <v>11.4</v>
      </c>
      <c r="Q87" s="9">
        <v>2.134</v>
      </c>
      <c r="R87" s="9">
        <v>3.0</v>
      </c>
      <c r="S87" s="9" t="s">
        <v>277</v>
      </c>
      <c r="T87" s="9" t="s">
        <v>285</v>
      </c>
    </row>
    <row r="88" ht="12.75" customHeight="1">
      <c r="A88" s="9" t="s">
        <v>360</v>
      </c>
      <c r="B88" s="9">
        <v>-3.9238</v>
      </c>
      <c r="C88" s="9">
        <v>51.172578</v>
      </c>
      <c r="D88" s="9" t="s">
        <v>278</v>
      </c>
      <c r="E88" s="9" t="s">
        <v>272</v>
      </c>
      <c r="F88" s="9" t="s">
        <v>326</v>
      </c>
      <c r="G88" s="9" t="s">
        <v>295</v>
      </c>
      <c r="H88" s="9" t="s">
        <v>311</v>
      </c>
      <c r="I88" s="9" t="s">
        <v>284</v>
      </c>
      <c r="J88" s="9">
        <v>2.0</v>
      </c>
      <c r="K88" s="9">
        <v>0.0966268356890717</v>
      </c>
      <c r="L88" s="9">
        <v>0.0117154108782054</v>
      </c>
      <c r="M88" s="9">
        <v>10.35</v>
      </c>
      <c r="N88" s="9">
        <v>0.15</v>
      </c>
      <c r="O88" s="9">
        <v>6.0</v>
      </c>
      <c r="P88" s="9">
        <v>11.4</v>
      </c>
      <c r="Q88" s="9">
        <v>2.134</v>
      </c>
      <c r="R88" s="9">
        <v>3.0</v>
      </c>
      <c r="S88" s="9" t="s">
        <v>277</v>
      </c>
      <c r="T88" s="9" t="s">
        <v>285</v>
      </c>
    </row>
    <row r="89" ht="12.75" customHeight="1">
      <c r="A89" s="9" t="s">
        <v>361</v>
      </c>
      <c r="B89" s="9">
        <v>13.0</v>
      </c>
      <c r="C89" s="9">
        <v>46.0</v>
      </c>
      <c r="D89" s="9" t="s">
        <v>278</v>
      </c>
      <c r="E89" s="9" t="s">
        <v>272</v>
      </c>
      <c r="F89" s="9" t="s">
        <v>326</v>
      </c>
      <c r="G89" s="9" t="s">
        <v>295</v>
      </c>
      <c r="H89" s="9" t="s">
        <v>311</v>
      </c>
      <c r="I89" s="9" t="s">
        <v>276</v>
      </c>
      <c r="J89" s="9">
        <v>0.4</v>
      </c>
      <c r="K89" s="9">
        <v>0.0444517625708338</v>
      </c>
      <c r="L89" s="9">
        <v>0.0118037607328391</v>
      </c>
      <c r="M89" s="9">
        <v>15.4</v>
      </c>
      <c r="N89" s="9">
        <v>0.31</v>
      </c>
      <c r="O89" s="9">
        <v>6.0</v>
      </c>
      <c r="P89" s="9">
        <v>16.1</v>
      </c>
      <c r="Q89" s="9">
        <v>3.021</v>
      </c>
      <c r="R89" s="9">
        <v>3.0</v>
      </c>
      <c r="S89" s="9" t="s">
        <v>277</v>
      </c>
      <c r="T89" s="9" t="s">
        <v>285</v>
      </c>
    </row>
    <row r="90" ht="12.75" customHeight="1">
      <c r="A90" s="9" t="s">
        <v>362</v>
      </c>
      <c r="B90" s="9">
        <v>13.0</v>
      </c>
      <c r="C90" s="9">
        <v>46.0</v>
      </c>
      <c r="D90" s="9" t="s">
        <v>278</v>
      </c>
      <c r="E90" s="9" t="s">
        <v>272</v>
      </c>
      <c r="F90" s="9" t="s">
        <v>326</v>
      </c>
      <c r="G90" s="9" t="s">
        <v>295</v>
      </c>
      <c r="H90" s="9" t="s">
        <v>311</v>
      </c>
      <c r="I90" s="9" t="s">
        <v>284</v>
      </c>
      <c r="J90" s="9">
        <v>0.4</v>
      </c>
      <c r="K90" s="9">
        <v>0.0444517625708338</v>
      </c>
      <c r="L90" s="9">
        <v>0.0118037607328391</v>
      </c>
      <c r="M90" s="9">
        <v>15.4</v>
      </c>
      <c r="N90" s="9">
        <v>0.31</v>
      </c>
      <c r="O90" s="9">
        <v>6.0</v>
      </c>
      <c r="P90" s="9">
        <v>16.1</v>
      </c>
      <c r="Q90" s="9">
        <v>3.021</v>
      </c>
      <c r="R90" s="9">
        <v>3.0</v>
      </c>
      <c r="S90" s="9" t="s">
        <v>277</v>
      </c>
      <c r="T90" s="9" t="s">
        <v>285</v>
      </c>
    </row>
    <row r="91" ht="12.75" customHeight="1">
      <c r="A91" s="9" t="s">
        <v>363</v>
      </c>
      <c r="B91" s="9">
        <v>5.433333</v>
      </c>
      <c r="C91" s="9">
        <v>51.983333</v>
      </c>
      <c r="D91" s="9" t="s">
        <v>271</v>
      </c>
      <c r="E91" s="9" t="s">
        <v>272</v>
      </c>
      <c r="F91" s="9" t="s">
        <v>326</v>
      </c>
      <c r="G91" s="9" t="s">
        <v>295</v>
      </c>
      <c r="H91" s="9" t="s">
        <v>311</v>
      </c>
      <c r="I91" s="9" t="s">
        <v>276</v>
      </c>
      <c r="J91" s="9">
        <v>1.0</v>
      </c>
      <c r="K91" s="9">
        <v>-0.230346463608268</v>
      </c>
      <c r="L91" s="9">
        <v>0.043679724779418</v>
      </c>
      <c r="M91" s="9">
        <v>20.9</v>
      </c>
      <c r="N91" s="9">
        <v>6.5662</v>
      </c>
      <c r="O91" s="9">
        <v>3.0</v>
      </c>
      <c r="P91" s="9">
        <v>16.6</v>
      </c>
      <c r="Q91" s="9">
        <v>2.985</v>
      </c>
      <c r="R91" s="9">
        <v>3.0</v>
      </c>
      <c r="S91" s="9" t="s">
        <v>285</v>
      </c>
      <c r="T91" s="9" t="s">
        <v>285</v>
      </c>
    </row>
    <row r="92" ht="12.75" customHeight="1">
      <c r="A92" s="9" t="s">
        <v>363</v>
      </c>
      <c r="B92" s="9">
        <v>5.433333</v>
      </c>
      <c r="C92" s="9">
        <v>51.983333</v>
      </c>
      <c r="D92" s="9" t="s">
        <v>278</v>
      </c>
      <c r="E92" s="9" t="s">
        <v>272</v>
      </c>
      <c r="F92" s="9" t="s">
        <v>326</v>
      </c>
      <c r="G92" s="9" t="s">
        <v>295</v>
      </c>
      <c r="H92" s="9" t="s">
        <v>311</v>
      </c>
      <c r="I92" s="9" t="s">
        <v>276</v>
      </c>
      <c r="J92" s="9">
        <v>1.0</v>
      </c>
      <c r="K92" s="9">
        <v>-0.0989399478549035</v>
      </c>
      <c r="L92" s="9">
        <v>0.0256026437623593</v>
      </c>
      <c r="M92" s="9">
        <v>20.7</v>
      </c>
      <c r="N92" s="9">
        <v>5.43298</v>
      </c>
      <c r="O92" s="9">
        <v>3.0</v>
      </c>
      <c r="P92" s="9">
        <v>18.75</v>
      </c>
      <c r="Q92" s="9">
        <v>2.36</v>
      </c>
      <c r="R92" s="9">
        <v>6.0</v>
      </c>
      <c r="S92" s="9" t="s">
        <v>285</v>
      </c>
      <c r="T92" s="9" t="s">
        <v>277</v>
      </c>
    </row>
    <row r="93" ht="12.75" customHeight="1">
      <c r="A93" s="9" t="s">
        <v>363</v>
      </c>
      <c r="B93" s="9">
        <v>5.433333</v>
      </c>
      <c r="C93" s="9">
        <v>51.983333</v>
      </c>
      <c r="D93" s="9" t="s">
        <v>279</v>
      </c>
      <c r="E93" s="9" t="s">
        <v>272</v>
      </c>
      <c r="F93" s="9" t="s">
        <v>326</v>
      </c>
      <c r="G93" s="9" t="s">
        <v>295</v>
      </c>
      <c r="H93" s="9" t="s">
        <v>311</v>
      </c>
      <c r="I93" s="9" t="s">
        <v>276</v>
      </c>
      <c r="J93" s="9">
        <v>1.0</v>
      </c>
      <c r="K93" s="9">
        <v>-0.183922838160928</v>
      </c>
      <c r="L93" s="9">
        <v>0.0096177876331361</v>
      </c>
      <c r="M93" s="9">
        <v>18.75</v>
      </c>
      <c r="N93" s="9">
        <v>2.36</v>
      </c>
      <c r="O93" s="9">
        <v>6.0</v>
      </c>
      <c r="P93" s="9">
        <v>15.6</v>
      </c>
      <c r="Q93" s="9">
        <v>2.257</v>
      </c>
      <c r="R93" s="9">
        <v>3.0</v>
      </c>
      <c r="S93" s="9" t="s">
        <v>277</v>
      </c>
      <c r="T93" s="9" t="s">
        <v>285</v>
      </c>
    </row>
    <row r="94" ht="12.75" customHeight="1">
      <c r="A94" s="9" t="s">
        <v>364</v>
      </c>
      <c r="B94" s="9">
        <v>25.083333</v>
      </c>
      <c r="C94" s="9">
        <v>61.183333</v>
      </c>
      <c r="D94" s="9" t="s">
        <v>271</v>
      </c>
      <c r="E94" s="9" t="s">
        <v>289</v>
      </c>
      <c r="F94" s="9" t="s">
        <v>273</v>
      </c>
      <c r="G94" s="9" t="s">
        <v>274</v>
      </c>
      <c r="H94" s="9">
        <v>1450.0</v>
      </c>
      <c r="I94" s="9" t="s">
        <v>284</v>
      </c>
      <c r="J94" s="9">
        <v>2.0</v>
      </c>
      <c r="K94" s="9">
        <v>0.00397306593661855</v>
      </c>
      <c r="L94" s="9">
        <v>0.00898456885240645</v>
      </c>
      <c r="M94" s="9">
        <v>102.99</v>
      </c>
      <c r="N94" s="9">
        <v>5.65</v>
      </c>
      <c r="O94" s="9">
        <v>3.0</v>
      </c>
      <c r="P94" s="9">
        <v>103.4</v>
      </c>
      <c r="Q94" s="9">
        <v>16.0</v>
      </c>
      <c r="R94" s="9">
        <v>3.0</v>
      </c>
      <c r="S94" s="9" t="s">
        <v>277</v>
      </c>
      <c r="T94" s="9" t="s">
        <v>277</v>
      </c>
    </row>
    <row r="95" ht="12.75" customHeight="1">
      <c r="A95" s="9" t="s">
        <v>365</v>
      </c>
      <c r="B95" s="9">
        <v>25.083333</v>
      </c>
      <c r="C95" s="9">
        <v>61.183333</v>
      </c>
      <c r="D95" s="9" t="s">
        <v>271</v>
      </c>
      <c r="E95" s="9" t="s">
        <v>289</v>
      </c>
      <c r="F95" s="9" t="s">
        <v>273</v>
      </c>
      <c r="G95" s="9" t="s">
        <v>274</v>
      </c>
      <c r="H95" s="9">
        <v>1450.0</v>
      </c>
      <c r="I95" s="9" t="s">
        <v>284</v>
      </c>
      <c r="J95" s="9">
        <v>2.0</v>
      </c>
      <c r="K95" s="9">
        <v>0.0488888857253641</v>
      </c>
      <c r="L95" s="9">
        <v>0.0166109993206347</v>
      </c>
      <c r="M95" s="9">
        <v>86.82</v>
      </c>
      <c r="N95" s="9">
        <v>9.65</v>
      </c>
      <c r="O95" s="9">
        <v>3.0</v>
      </c>
      <c r="P95" s="9">
        <v>91.17</v>
      </c>
      <c r="Q95" s="9">
        <v>17.65</v>
      </c>
      <c r="R95" s="9">
        <v>3.0</v>
      </c>
      <c r="S95" s="9" t="s">
        <v>277</v>
      </c>
      <c r="T95" s="9" t="s">
        <v>277</v>
      </c>
    </row>
    <row r="96" ht="12.75" customHeight="1">
      <c r="A96" s="9" t="s">
        <v>366</v>
      </c>
      <c r="B96" s="9">
        <v>-119.883333</v>
      </c>
      <c r="C96" s="9">
        <v>49.666667</v>
      </c>
      <c r="D96" s="9" t="s">
        <v>288</v>
      </c>
      <c r="E96" s="9" t="s">
        <v>272</v>
      </c>
      <c r="F96" s="9" t="s">
        <v>273</v>
      </c>
      <c r="G96" s="9" t="s">
        <v>274</v>
      </c>
      <c r="H96" s="9" t="s">
        <v>275</v>
      </c>
      <c r="I96" s="9" t="s">
        <v>276</v>
      </c>
      <c r="J96" s="9">
        <v>375.0</v>
      </c>
      <c r="K96" s="9">
        <v>-0.156087163778648</v>
      </c>
      <c r="L96" s="9">
        <v>0.0430280302696055</v>
      </c>
      <c r="M96" s="9">
        <v>17.23</v>
      </c>
      <c r="N96" s="9">
        <v>3.5206</v>
      </c>
      <c r="O96" s="9">
        <v>3.0</v>
      </c>
      <c r="P96" s="9">
        <v>14.74</v>
      </c>
      <c r="Q96" s="9">
        <v>4.356</v>
      </c>
      <c r="R96" s="9">
        <v>3.0</v>
      </c>
      <c r="S96" s="9" t="s">
        <v>285</v>
      </c>
      <c r="T96" s="9" t="s">
        <v>285</v>
      </c>
    </row>
    <row r="97" ht="12.75" customHeight="1">
      <c r="A97" s="9" t="s">
        <v>366</v>
      </c>
      <c r="B97" s="9">
        <v>-119.883333</v>
      </c>
      <c r="C97" s="9">
        <v>49.666667</v>
      </c>
      <c r="D97" s="9" t="s">
        <v>279</v>
      </c>
      <c r="E97" s="9" t="s">
        <v>272</v>
      </c>
      <c r="F97" s="9" t="s">
        <v>273</v>
      </c>
      <c r="G97" s="9" t="s">
        <v>274</v>
      </c>
      <c r="H97" s="9" t="s">
        <v>275</v>
      </c>
      <c r="I97" s="9" t="s">
        <v>276</v>
      </c>
      <c r="J97" s="9">
        <v>375.0</v>
      </c>
      <c r="K97" s="9">
        <v>0.0699497677367315</v>
      </c>
      <c r="L97" s="9">
        <v>0.0131981246614788</v>
      </c>
      <c r="M97" s="9">
        <v>15.32</v>
      </c>
      <c r="N97" s="9">
        <v>2.972</v>
      </c>
      <c r="O97" s="9">
        <v>3.0</v>
      </c>
      <c r="P97" s="9">
        <v>16.43</v>
      </c>
      <c r="Q97" s="9">
        <v>1.26</v>
      </c>
      <c r="R97" s="9">
        <v>9.0</v>
      </c>
      <c r="S97" s="9" t="s">
        <v>285</v>
      </c>
      <c r="T97" s="9" t="s">
        <v>277</v>
      </c>
    </row>
    <row r="98" ht="12.75" customHeight="1">
      <c r="A98" s="9" t="s">
        <v>367</v>
      </c>
      <c r="B98" s="9">
        <v>-119.883333</v>
      </c>
      <c r="C98" s="9">
        <v>49.666667</v>
      </c>
      <c r="D98" s="9" t="s">
        <v>288</v>
      </c>
      <c r="E98" s="9" t="s">
        <v>282</v>
      </c>
      <c r="F98" s="9" t="s">
        <v>273</v>
      </c>
      <c r="G98" s="9" t="s">
        <v>274</v>
      </c>
      <c r="H98" s="9" t="s">
        <v>275</v>
      </c>
      <c r="I98" s="9" t="s">
        <v>284</v>
      </c>
      <c r="J98" s="9">
        <v>1.0</v>
      </c>
      <c r="K98" s="9">
        <v>0.0451204352804696</v>
      </c>
      <c r="L98" s="9">
        <v>0.0121536620530565</v>
      </c>
      <c r="M98" s="9">
        <v>3.25</v>
      </c>
      <c r="N98" s="9">
        <v>0.78</v>
      </c>
      <c r="O98" s="9">
        <v>12.0</v>
      </c>
      <c r="P98" s="9">
        <v>3.4</v>
      </c>
      <c r="Q98" s="9">
        <v>1.01</v>
      </c>
      <c r="R98" s="9">
        <v>12.0</v>
      </c>
      <c r="S98" s="9" t="s">
        <v>277</v>
      </c>
      <c r="T98" s="9" t="s">
        <v>277</v>
      </c>
    </row>
    <row r="99" ht="12.75" customHeight="1">
      <c r="A99" s="9" t="s">
        <v>367</v>
      </c>
      <c r="B99" s="9">
        <v>-119.883333</v>
      </c>
      <c r="C99" s="9">
        <v>49.666667</v>
      </c>
      <c r="D99" s="9" t="s">
        <v>279</v>
      </c>
      <c r="E99" s="9" t="s">
        <v>282</v>
      </c>
      <c r="F99" s="9" t="s">
        <v>273</v>
      </c>
      <c r="G99" s="9" t="s">
        <v>274</v>
      </c>
      <c r="H99" s="9" t="s">
        <v>275</v>
      </c>
      <c r="I99" s="9" t="s">
        <v>284</v>
      </c>
      <c r="J99" s="9">
        <v>1.0</v>
      </c>
      <c r="K99" s="9">
        <v>0.13902475104063</v>
      </c>
      <c r="L99" s="9">
        <v>0.0088699575598469</v>
      </c>
      <c r="M99" s="9">
        <v>2.95</v>
      </c>
      <c r="N99" s="9">
        <v>0.86</v>
      </c>
      <c r="O99" s="9">
        <v>12.0</v>
      </c>
      <c r="P99" s="9">
        <v>3.39</v>
      </c>
      <c r="Q99" s="9">
        <v>0.86</v>
      </c>
      <c r="R99" s="9">
        <v>36.0</v>
      </c>
      <c r="S99" s="9" t="s">
        <v>277</v>
      </c>
      <c r="T99" s="9" t="s">
        <v>277</v>
      </c>
    </row>
    <row r="100" ht="12.75" customHeight="1">
      <c r="A100" s="9" t="s">
        <v>368</v>
      </c>
      <c r="B100" s="9">
        <v>10.483333</v>
      </c>
      <c r="C100" s="9">
        <v>49.833333</v>
      </c>
      <c r="D100" s="9" t="s">
        <v>278</v>
      </c>
      <c r="E100" s="9" t="s">
        <v>289</v>
      </c>
      <c r="F100" s="9" t="s">
        <v>273</v>
      </c>
      <c r="G100" s="9" t="s">
        <v>295</v>
      </c>
      <c r="H100" s="9" t="s">
        <v>311</v>
      </c>
      <c r="I100" s="9" t="s">
        <v>284</v>
      </c>
      <c r="J100" s="9">
        <v>66666.66667</v>
      </c>
      <c r="K100" s="9">
        <v>-0.133531392624523</v>
      </c>
      <c r="L100" s="9">
        <v>0.00900072510688303</v>
      </c>
      <c r="M100" s="9">
        <v>192.0</v>
      </c>
      <c r="N100" s="9">
        <v>8.636</v>
      </c>
      <c r="O100" s="9">
        <v>3.0</v>
      </c>
      <c r="P100" s="9">
        <v>168.0</v>
      </c>
      <c r="Q100" s="9">
        <v>26.552</v>
      </c>
      <c r="R100" s="9">
        <v>3.0</v>
      </c>
      <c r="S100" s="9" t="s">
        <v>285</v>
      </c>
      <c r="T100" s="9" t="s">
        <v>285</v>
      </c>
    </row>
    <row r="101" ht="12.75" customHeight="1">
      <c r="A101" s="9" t="s">
        <v>369</v>
      </c>
      <c r="B101" s="9">
        <v>15.6389</v>
      </c>
      <c r="C101" s="9">
        <v>46.4711</v>
      </c>
      <c r="D101" s="9" t="s">
        <v>288</v>
      </c>
      <c r="E101" s="9" t="s">
        <v>272</v>
      </c>
      <c r="F101" s="9" t="s">
        <v>326</v>
      </c>
      <c r="G101" s="9" t="s">
        <v>295</v>
      </c>
      <c r="H101" s="9">
        <v>1450.0</v>
      </c>
      <c r="I101" s="9" t="s">
        <v>276</v>
      </c>
      <c r="J101" s="9">
        <v>10.0</v>
      </c>
      <c r="K101" s="9">
        <v>0.119501544414084</v>
      </c>
      <c r="L101" s="9">
        <v>0.00154989759786148</v>
      </c>
      <c r="M101" s="9">
        <v>25.84</v>
      </c>
      <c r="N101" s="9">
        <v>2.45</v>
      </c>
      <c r="O101" s="9">
        <v>20.0</v>
      </c>
      <c r="P101" s="9">
        <v>29.12</v>
      </c>
      <c r="Q101" s="9">
        <v>4.32</v>
      </c>
      <c r="R101" s="9">
        <v>20.0</v>
      </c>
      <c r="S101" s="9" t="s">
        <v>277</v>
      </c>
      <c r="T101" s="9" t="s">
        <v>277</v>
      </c>
    </row>
    <row r="102" ht="12.75" customHeight="1">
      <c r="A102" s="9" t="s">
        <v>370</v>
      </c>
      <c r="B102" s="9">
        <v>15.22</v>
      </c>
      <c r="C102" s="9">
        <v>57.96</v>
      </c>
      <c r="D102" s="9" t="s">
        <v>288</v>
      </c>
      <c r="E102" s="9" t="s">
        <v>272</v>
      </c>
      <c r="F102" s="9" t="s">
        <v>283</v>
      </c>
      <c r="G102" s="9" t="s">
        <v>274</v>
      </c>
      <c r="H102" s="9" t="s">
        <v>311</v>
      </c>
      <c r="I102" s="9" t="s">
        <v>284</v>
      </c>
      <c r="J102" s="9">
        <v>1.0</v>
      </c>
      <c r="K102" s="9">
        <v>-0.318453731118535</v>
      </c>
      <c r="L102" s="9">
        <v>0.0279435289901859</v>
      </c>
      <c r="M102" s="9">
        <v>11.0</v>
      </c>
      <c r="N102" s="9">
        <v>3.881</v>
      </c>
      <c r="O102" s="9">
        <v>8.0</v>
      </c>
      <c r="P102" s="9">
        <v>8.0</v>
      </c>
      <c r="Q102" s="9">
        <v>2.518</v>
      </c>
      <c r="R102" s="9">
        <v>8.0</v>
      </c>
      <c r="S102" s="9" t="s">
        <v>285</v>
      </c>
      <c r="T102" s="9" t="s">
        <v>285</v>
      </c>
    </row>
    <row r="103" ht="12.75" customHeight="1">
      <c r="A103" s="9" t="s">
        <v>371</v>
      </c>
      <c r="B103" s="9">
        <v>-85.583333</v>
      </c>
      <c r="C103" s="9">
        <v>45.0</v>
      </c>
      <c r="D103" s="9" t="s">
        <v>288</v>
      </c>
      <c r="E103" s="9" t="s">
        <v>289</v>
      </c>
      <c r="F103" s="9" t="s">
        <v>283</v>
      </c>
      <c r="G103" s="9" t="s">
        <v>274</v>
      </c>
      <c r="H103" s="9" t="s">
        <v>275</v>
      </c>
      <c r="I103" s="9" t="s">
        <v>284</v>
      </c>
      <c r="J103" s="9">
        <v>24.0</v>
      </c>
      <c r="K103" s="9">
        <v>-0.543086485984212</v>
      </c>
      <c r="L103" s="9">
        <v>0.0197027994717691</v>
      </c>
      <c r="M103" s="9">
        <v>43.05</v>
      </c>
      <c r="N103" s="9">
        <v>2.29</v>
      </c>
      <c r="O103" s="9">
        <v>12.0</v>
      </c>
      <c r="P103" s="9">
        <v>25.01</v>
      </c>
      <c r="Q103" s="9">
        <v>6.979</v>
      </c>
      <c r="R103" s="9">
        <v>4.0</v>
      </c>
      <c r="S103" s="9" t="s">
        <v>277</v>
      </c>
      <c r="T103" s="9" t="s">
        <v>285</v>
      </c>
    </row>
    <row r="104" ht="12.75" customHeight="1">
      <c r="A104" s="9" t="s">
        <v>372</v>
      </c>
      <c r="B104" s="9">
        <v>-5.5838</v>
      </c>
      <c r="C104" s="9">
        <v>36.358884</v>
      </c>
      <c r="D104" s="9" t="s">
        <v>278</v>
      </c>
      <c r="E104" s="9" t="s">
        <v>272</v>
      </c>
      <c r="F104" s="9" t="s">
        <v>273</v>
      </c>
      <c r="G104" s="9" t="s">
        <v>295</v>
      </c>
      <c r="H104" s="9">
        <v>1450.0</v>
      </c>
      <c r="I104" s="9" t="s">
        <v>276</v>
      </c>
      <c r="J104" s="9">
        <v>1.0</v>
      </c>
      <c r="K104" s="9">
        <v>0.244930905499117</v>
      </c>
      <c r="L104" s="9">
        <v>0.010331756942116</v>
      </c>
      <c r="M104" s="9">
        <v>6.81</v>
      </c>
      <c r="N104" s="9">
        <v>4.18</v>
      </c>
      <c r="O104" s="9">
        <v>60.0</v>
      </c>
      <c r="P104" s="9">
        <v>8.7</v>
      </c>
      <c r="Q104" s="9">
        <v>4.29</v>
      </c>
      <c r="R104" s="9">
        <v>60.0</v>
      </c>
      <c r="S104" s="9" t="s">
        <v>277</v>
      </c>
      <c r="T104" s="9" t="s">
        <v>277</v>
      </c>
    </row>
    <row r="105" ht="12.75" customHeight="1">
      <c r="A105" s="9" t="s">
        <v>373</v>
      </c>
      <c r="B105" s="9">
        <v>-4.483333</v>
      </c>
      <c r="C105" s="9">
        <v>41.366667</v>
      </c>
      <c r="D105" s="9" t="s">
        <v>271</v>
      </c>
      <c r="E105" s="9" t="s">
        <v>272</v>
      </c>
      <c r="F105" s="9" t="s">
        <v>273</v>
      </c>
      <c r="G105" s="9" t="s">
        <v>295</v>
      </c>
      <c r="H105" s="9" t="s">
        <v>311</v>
      </c>
      <c r="I105" s="9" t="s">
        <v>284</v>
      </c>
      <c r="J105" s="9">
        <v>1.0</v>
      </c>
      <c r="K105" s="9">
        <v>0.0503969589602145</v>
      </c>
      <c r="L105" s="9">
        <v>5.62696072778403E-4</v>
      </c>
      <c r="M105" s="9">
        <v>29.02</v>
      </c>
      <c r="N105" s="9">
        <v>4.04</v>
      </c>
      <c r="O105" s="9">
        <v>60.0</v>
      </c>
      <c r="P105" s="9">
        <v>30.52</v>
      </c>
      <c r="Q105" s="9">
        <v>3.66</v>
      </c>
      <c r="R105" s="9">
        <v>60.0</v>
      </c>
      <c r="S105" s="9" t="s">
        <v>277</v>
      </c>
      <c r="T105" s="9" t="s">
        <v>277</v>
      </c>
    </row>
    <row r="106" ht="12.75" customHeight="1">
      <c r="A106" s="9" t="s">
        <v>373</v>
      </c>
      <c r="B106" s="9">
        <v>-4.483333</v>
      </c>
      <c r="C106" s="9">
        <v>41.366667</v>
      </c>
      <c r="D106" s="9" t="s">
        <v>279</v>
      </c>
      <c r="E106" s="9" t="s">
        <v>272</v>
      </c>
      <c r="F106" s="9" t="s">
        <v>273</v>
      </c>
      <c r="G106" s="9" t="s">
        <v>295</v>
      </c>
      <c r="H106" s="9" t="s">
        <v>311</v>
      </c>
      <c r="I106" s="9" t="s">
        <v>284</v>
      </c>
      <c r="J106" s="9">
        <v>1.0</v>
      </c>
      <c r="K106" s="9">
        <v>0.326149937753005</v>
      </c>
      <c r="L106" s="9">
        <v>0.00235393421030552</v>
      </c>
      <c r="M106" s="9">
        <v>29.77</v>
      </c>
      <c r="N106" s="9">
        <v>2.67</v>
      </c>
      <c r="O106" s="9">
        <v>120.0</v>
      </c>
      <c r="P106" s="9">
        <v>41.25</v>
      </c>
      <c r="Q106" s="9">
        <v>15.28</v>
      </c>
      <c r="R106" s="9">
        <v>60.0</v>
      </c>
      <c r="S106" s="9" t="s">
        <v>277</v>
      </c>
      <c r="T106" s="9" t="s">
        <v>277</v>
      </c>
    </row>
    <row r="107" ht="12.75" customHeight="1">
      <c r="A107" s="9" t="s">
        <v>374</v>
      </c>
      <c r="B107" s="9">
        <v>-4.483333</v>
      </c>
      <c r="C107" s="9">
        <v>41.366667</v>
      </c>
      <c r="D107" s="9" t="s">
        <v>271</v>
      </c>
      <c r="E107" s="9" t="s">
        <v>272</v>
      </c>
      <c r="F107" s="9" t="s">
        <v>273</v>
      </c>
      <c r="G107" s="9" t="s">
        <v>295</v>
      </c>
      <c r="H107" s="9" t="s">
        <v>311</v>
      </c>
      <c r="I107" s="9" t="s">
        <v>284</v>
      </c>
      <c r="J107" s="9">
        <v>1.0</v>
      </c>
      <c r="K107" s="9">
        <v>0.120307834112117</v>
      </c>
      <c r="L107" s="9">
        <v>0.0200429252387234</v>
      </c>
      <c r="M107" s="9">
        <v>9.23</v>
      </c>
      <c r="N107" s="9">
        <v>8.55</v>
      </c>
      <c r="O107" s="9">
        <v>60.0</v>
      </c>
      <c r="P107" s="9">
        <v>10.41</v>
      </c>
      <c r="Q107" s="9">
        <v>6.11</v>
      </c>
      <c r="R107" s="9">
        <v>60.0</v>
      </c>
      <c r="S107" s="9" t="s">
        <v>277</v>
      </c>
      <c r="T107" s="9" t="s">
        <v>277</v>
      </c>
    </row>
    <row r="108" ht="12.75" customHeight="1">
      <c r="A108" s="9" t="s">
        <v>374</v>
      </c>
      <c r="B108" s="9">
        <v>-4.483333</v>
      </c>
      <c r="C108" s="9">
        <v>41.366667</v>
      </c>
      <c r="D108" s="9" t="s">
        <v>279</v>
      </c>
      <c r="E108" s="9" t="s">
        <v>272</v>
      </c>
      <c r="F108" s="9" t="s">
        <v>273</v>
      </c>
      <c r="G108" s="9" t="s">
        <v>295</v>
      </c>
      <c r="H108" s="9" t="s">
        <v>311</v>
      </c>
      <c r="I108" s="9" t="s">
        <v>284</v>
      </c>
      <c r="J108" s="9">
        <v>1.0</v>
      </c>
      <c r="K108" s="9">
        <v>0.443431706032015</v>
      </c>
      <c r="L108" s="9">
        <v>0.0150038539577197</v>
      </c>
      <c r="M108" s="9">
        <v>9.82</v>
      </c>
      <c r="N108" s="9">
        <v>4.98</v>
      </c>
      <c r="O108" s="9">
        <v>120.0</v>
      </c>
      <c r="P108" s="9">
        <v>15.3</v>
      </c>
      <c r="Q108" s="9">
        <v>13.44</v>
      </c>
      <c r="R108" s="9">
        <v>60.0</v>
      </c>
      <c r="S108" s="9" t="s">
        <v>277</v>
      </c>
      <c r="T108" s="9" t="s">
        <v>277</v>
      </c>
    </row>
    <row r="109" ht="12.75" customHeight="1">
      <c r="A109" s="9" t="s">
        <v>375</v>
      </c>
      <c r="B109" s="9">
        <v>-4.483333</v>
      </c>
      <c r="C109" s="9">
        <v>41.366667</v>
      </c>
      <c r="D109" s="9" t="s">
        <v>271</v>
      </c>
      <c r="E109" s="9" t="s">
        <v>272</v>
      </c>
      <c r="F109" s="9" t="s">
        <v>273</v>
      </c>
      <c r="G109" s="9" t="s">
        <v>295</v>
      </c>
      <c r="H109" s="9" t="s">
        <v>311</v>
      </c>
      <c r="I109" s="9" t="s">
        <v>276</v>
      </c>
      <c r="J109" s="9">
        <v>4900.0</v>
      </c>
      <c r="K109" s="9">
        <v>-0.270060471101961</v>
      </c>
      <c r="L109" s="9">
        <v>0.0961652142407658</v>
      </c>
      <c r="M109" s="9">
        <v>3.0</v>
      </c>
      <c r="N109" s="9">
        <v>0.0</v>
      </c>
      <c r="O109" s="9">
        <v>3.0</v>
      </c>
      <c r="P109" s="9">
        <v>2.29</v>
      </c>
      <c r="Q109" s="9">
        <v>1.23</v>
      </c>
      <c r="R109" s="9">
        <v>3.0</v>
      </c>
      <c r="S109" s="9" t="s">
        <v>277</v>
      </c>
      <c r="T109" s="9" t="s">
        <v>277</v>
      </c>
    </row>
    <row r="110" ht="12.75" customHeight="1">
      <c r="A110" s="9" t="s">
        <v>375</v>
      </c>
      <c r="B110" s="9">
        <v>-4.483333</v>
      </c>
      <c r="C110" s="9">
        <v>41.366667</v>
      </c>
      <c r="D110" s="9" t="s">
        <v>279</v>
      </c>
      <c r="E110" s="9" t="s">
        <v>272</v>
      </c>
      <c r="F110" s="9" t="s">
        <v>273</v>
      </c>
      <c r="G110" s="9" t="s">
        <v>295</v>
      </c>
      <c r="H110" s="9" t="s">
        <v>311</v>
      </c>
      <c r="I110" s="9" t="s">
        <v>276</v>
      </c>
      <c r="J110" s="9">
        <v>4900.0</v>
      </c>
      <c r="K110" s="9">
        <v>0.234400705838844</v>
      </c>
      <c r="L110" s="9">
        <v>0.270029917150696</v>
      </c>
      <c r="M110" s="9">
        <v>2.65</v>
      </c>
      <c r="N110" s="9">
        <v>2.61</v>
      </c>
      <c r="O110" s="9">
        <v>6.0</v>
      </c>
      <c r="P110" s="9">
        <v>3.35</v>
      </c>
      <c r="Q110" s="9">
        <v>1.91</v>
      </c>
      <c r="R110" s="9">
        <v>3.0</v>
      </c>
      <c r="S110" s="9" t="s">
        <v>277</v>
      </c>
      <c r="T110" s="9" t="s">
        <v>277</v>
      </c>
    </row>
    <row r="111" ht="12.75" customHeight="1">
      <c r="A111" s="9" t="s">
        <v>376</v>
      </c>
      <c r="B111" s="9">
        <v>175.25</v>
      </c>
      <c r="C111" s="9">
        <v>-37.75</v>
      </c>
      <c r="D111" s="9" t="s">
        <v>298</v>
      </c>
      <c r="E111" s="9" t="s">
        <v>289</v>
      </c>
      <c r="F111" s="9" t="s">
        <v>283</v>
      </c>
      <c r="G111" s="9" t="s">
        <v>295</v>
      </c>
      <c r="H111" s="9">
        <v>1950.0</v>
      </c>
      <c r="I111" s="9" t="s">
        <v>284</v>
      </c>
      <c r="J111" s="9" t="s">
        <v>377</v>
      </c>
      <c r="K111" s="9">
        <v>-0.0146907154100035</v>
      </c>
      <c r="L111" s="9">
        <v>0.00344073773792425</v>
      </c>
      <c r="M111" s="9">
        <v>4.8</v>
      </c>
      <c r="N111" s="9">
        <v>1.29</v>
      </c>
      <c r="O111" s="9">
        <v>45.0</v>
      </c>
      <c r="P111" s="9">
        <v>4.73</v>
      </c>
      <c r="Q111" s="9">
        <v>1.11</v>
      </c>
      <c r="R111" s="9">
        <v>30.0</v>
      </c>
      <c r="S111" s="9" t="s">
        <v>277</v>
      </c>
      <c r="T111" s="9" t="s">
        <v>277</v>
      </c>
    </row>
    <row r="112" ht="12.75" customHeight="1">
      <c r="A112" s="9" t="s">
        <v>378</v>
      </c>
      <c r="B112" s="9">
        <v>175.25</v>
      </c>
      <c r="C112" s="9">
        <v>-37.75</v>
      </c>
      <c r="D112" s="9" t="s">
        <v>298</v>
      </c>
      <c r="E112" s="9" t="s">
        <v>289</v>
      </c>
      <c r="F112" s="9" t="s">
        <v>283</v>
      </c>
      <c r="G112" s="9" t="s">
        <v>295</v>
      </c>
      <c r="H112" s="9">
        <v>1950.0</v>
      </c>
      <c r="I112" s="9" t="s">
        <v>284</v>
      </c>
      <c r="J112" s="9" t="s">
        <v>377</v>
      </c>
      <c r="K112" s="9">
        <v>-0.641522815154638</v>
      </c>
      <c r="L112" s="9">
        <v>0.00648282715895544</v>
      </c>
      <c r="M112" s="9">
        <v>3.02</v>
      </c>
      <c r="N112" s="9">
        <v>0.95</v>
      </c>
      <c r="O112" s="9">
        <v>45.0</v>
      </c>
      <c r="P112" s="9">
        <v>1.59</v>
      </c>
      <c r="Q112" s="9">
        <v>0.57</v>
      </c>
      <c r="R112" s="9">
        <v>30.0</v>
      </c>
      <c r="S112" s="9" t="s">
        <v>277</v>
      </c>
      <c r="T112" s="9" t="s">
        <v>277</v>
      </c>
    </row>
    <row r="113" ht="12.75" customHeight="1">
      <c r="A113" s="9" t="s">
        <v>379</v>
      </c>
      <c r="B113" s="9">
        <v>-7.329973</v>
      </c>
      <c r="C113" s="9">
        <v>43.149118</v>
      </c>
      <c r="D113" s="9" t="s">
        <v>271</v>
      </c>
      <c r="E113" s="9" t="s">
        <v>272</v>
      </c>
      <c r="F113" s="9" t="s">
        <v>326</v>
      </c>
      <c r="G113" s="9" t="s">
        <v>295</v>
      </c>
      <c r="H113" s="9" t="s">
        <v>311</v>
      </c>
      <c r="I113" s="9" t="s">
        <v>276</v>
      </c>
      <c r="J113" s="9">
        <v>150.0</v>
      </c>
      <c r="K113" s="9">
        <v>-0.560326267539021</v>
      </c>
      <c r="L113" s="9">
        <v>0.067892197615454</v>
      </c>
      <c r="M113" s="9">
        <v>7.04</v>
      </c>
      <c r="N113" s="9">
        <v>2.218</v>
      </c>
      <c r="O113" s="9">
        <v>3.0</v>
      </c>
      <c r="P113" s="9">
        <v>4.02</v>
      </c>
      <c r="Q113" s="9">
        <v>1.299</v>
      </c>
      <c r="R113" s="9">
        <v>3.0</v>
      </c>
      <c r="S113" s="9" t="s">
        <v>285</v>
      </c>
      <c r="T113" s="9" t="s">
        <v>285</v>
      </c>
    </row>
    <row r="114" ht="12.75" customHeight="1">
      <c r="A114" s="9" t="s">
        <v>379</v>
      </c>
      <c r="B114" s="9">
        <v>-7.329973</v>
      </c>
      <c r="C114" s="9">
        <v>43.149118</v>
      </c>
      <c r="D114" s="9" t="s">
        <v>288</v>
      </c>
      <c r="E114" s="9" t="s">
        <v>272</v>
      </c>
      <c r="F114" s="9" t="s">
        <v>326</v>
      </c>
      <c r="G114" s="9" t="s">
        <v>295</v>
      </c>
      <c r="H114" s="9" t="s">
        <v>311</v>
      </c>
      <c r="I114" s="9" t="s">
        <v>276</v>
      </c>
      <c r="J114" s="9">
        <v>150.0</v>
      </c>
      <c r="K114" s="9">
        <v>-0.348306694268216</v>
      </c>
      <c r="L114" s="9">
        <v>0.0403741812544053</v>
      </c>
      <c r="M114" s="9">
        <v>2.72</v>
      </c>
      <c r="N114" s="9">
        <v>0.475</v>
      </c>
      <c r="O114" s="9">
        <v>3.0</v>
      </c>
      <c r="P114" s="9">
        <v>1.92</v>
      </c>
      <c r="Q114" s="9">
        <v>0.578</v>
      </c>
      <c r="R114" s="9">
        <v>3.0</v>
      </c>
      <c r="S114" s="9" t="s">
        <v>285</v>
      </c>
      <c r="T114" s="9" t="s">
        <v>285</v>
      </c>
    </row>
    <row r="115" ht="12.75" customHeight="1">
      <c r="A115" s="9" t="s">
        <v>379</v>
      </c>
      <c r="B115" s="9">
        <v>-7.329973</v>
      </c>
      <c r="C115" s="9">
        <v>43.149118</v>
      </c>
      <c r="D115" s="9" t="s">
        <v>279</v>
      </c>
      <c r="E115" s="9" t="s">
        <v>272</v>
      </c>
      <c r="F115" s="9" t="s">
        <v>326</v>
      </c>
      <c r="G115" s="9" t="s">
        <v>295</v>
      </c>
      <c r="H115" s="9" t="s">
        <v>311</v>
      </c>
      <c r="I115" s="9" t="s">
        <v>276</v>
      </c>
      <c r="J115" s="9">
        <v>150.0</v>
      </c>
      <c r="K115" s="9">
        <v>-0.810026465589972</v>
      </c>
      <c r="L115" s="9">
        <v>0.0202806977803113</v>
      </c>
      <c r="M115" s="9">
        <v>5.53</v>
      </c>
      <c r="N115" s="9">
        <v>1.65</v>
      </c>
      <c r="O115" s="9">
        <v>6.0</v>
      </c>
      <c r="P115" s="9">
        <v>2.46</v>
      </c>
      <c r="Q115" s="9">
        <v>0.77</v>
      </c>
      <c r="R115" s="9">
        <v>18.0</v>
      </c>
      <c r="S115" s="9" t="s">
        <v>277</v>
      </c>
      <c r="T115" s="9" t="s">
        <v>277</v>
      </c>
    </row>
    <row r="116" ht="12.75" customHeight="1">
      <c r="A116" s="9" t="s">
        <v>380</v>
      </c>
      <c r="B116" s="9">
        <v>-7.329973</v>
      </c>
      <c r="C116" s="9">
        <v>43.149118</v>
      </c>
      <c r="D116" s="9" t="s">
        <v>271</v>
      </c>
      <c r="E116" s="9" t="s">
        <v>272</v>
      </c>
      <c r="F116" s="9" t="s">
        <v>273</v>
      </c>
      <c r="G116" s="9" t="s">
        <v>295</v>
      </c>
      <c r="H116" s="9" t="s">
        <v>311</v>
      </c>
      <c r="I116" s="9" t="s">
        <v>284</v>
      </c>
      <c r="J116" s="9">
        <v>150.0</v>
      </c>
      <c r="K116" s="9">
        <v>-0.560326267539021</v>
      </c>
      <c r="L116" s="9">
        <v>0.067892197615454</v>
      </c>
      <c r="M116" s="9">
        <v>7.04</v>
      </c>
      <c r="N116" s="9">
        <v>2.218</v>
      </c>
      <c r="O116" s="9">
        <v>3.0</v>
      </c>
      <c r="P116" s="9">
        <v>4.02</v>
      </c>
      <c r="Q116" s="9">
        <v>1.299</v>
      </c>
      <c r="R116" s="9">
        <v>3.0</v>
      </c>
      <c r="S116" s="9" t="s">
        <v>285</v>
      </c>
      <c r="T116" s="9" t="s">
        <v>285</v>
      </c>
    </row>
    <row r="117" ht="12.75" customHeight="1">
      <c r="A117" s="9" t="s">
        <v>380</v>
      </c>
      <c r="B117" s="9">
        <v>-7.329973</v>
      </c>
      <c r="C117" s="9">
        <v>43.149118</v>
      </c>
      <c r="D117" s="9" t="s">
        <v>288</v>
      </c>
      <c r="E117" s="9" t="s">
        <v>272</v>
      </c>
      <c r="F117" s="9" t="s">
        <v>273</v>
      </c>
      <c r="G117" s="9" t="s">
        <v>295</v>
      </c>
      <c r="H117" s="9" t="s">
        <v>311</v>
      </c>
      <c r="I117" s="9" t="s">
        <v>284</v>
      </c>
      <c r="J117" s="9">
        <v>150.0</v>
      </c>
      <c r="K117" s="9">
        <v>-0.348306694268216</v>
      </c>
      <c r="L117" s="9">
        <v>0.0403741812544053</v>
      </c>
      <c r="M117" s="9">
        <v>2.72</v>
      </c>
      <c r="N117" s="9">
        <v>0.475</v>
      </c>
      <c r="O117" s="9">
        <v>3.0</v>
      </c>
      <c r="P117" s="9">
        <v>1.92</v>
      </c>
      <c r="Q117" s="9">
        <v>0.578</v>
      </c>
      <c r="R117" s="9">
        <v>3.0</v>
      </c>
      <c r="S117" s="9" t="s">
        <v>285</v>
      </c>
      <c r="T117" s="9" t="s">
        <v>285</v>
      </c>
    </row>
    <row r="118" ht="12.75" customHeight="1">
      <c r="A118" s="9" t="s">
        <v>380</v>
      </c>
      <c r="B118" s="9">
        <v>-7.329973</v>
      </c>
      <c r="C118" s="9">
        <v>43.149118</v>
      </c>
      <c r="D118" s="9" t="s">
        <v>279</v>
      </c>
      <c r="E118" s="9" t="s">
        <v>272</v>
      </c>
      <c r="F118" s="9" t="s">
        <v>273</v>
      </c>
      <c r="G118" s="9" t="s">
        <v>295</v>
      </c>
      <c r="H118" s="9" t="s">
        <v>311</v>
      </c>
      <c r="I118" s="9" t="s">
        <v>284</v>
      </c>
      <c r="J118" s="9">
        <v>150.0</v>
      </c>
      <c r="K118" s="9">
        <v>-0.810026465589972</v>
      </c>
      <c r="L118" s="9">
        <v>0.0202806977803113</v>
      </c>
      <c r="M118" s="9">
        <v>5.53</v>
      </c>
      <c r="N118" s="9">
        <v>1.65</v>
      </c>
      <c r="O118" s="9">
        <v>6.0</v>
      </c>
      <c r="P118" s="9">
        <v>2.46</v>
      </c>
      <c r="Q118" s="9">
        <v>0.77</v>
      </c>
      <c r="R118" s="9">
        <v>18.0</v>
      </c>
      <c r="S118" s="9" t="s">
        <v>277</v>
      </c>
      <c r="T118" s="9" t="s">
        <v>277</v>
      </c>
    </row>
    <row r="119" ht="12.75" customHeight="1">
      <c r="A119" s="9" t="s">
        <v>381</v>
      </c>
      <c r="B119" s="9">
        <v>77.499982</v>
      </c>
      <c r="C119" s="9">
        <v>8.500009</v>
      </c>
      <c r="D119" s="9" t="s">
        <v>278</v>
      </c>
      <c r="E119" s="9" t="s">
        <v>272</v>
      </c>
      <c r="F119" s="9" t="s">
        <v>273</v>
      </c>
      <c r="G119" s="9" t="s">
        <v>293</v>
      </c>
      <c r="H119" s="9" t="s">
        <v>311</v>
      </c>
      <c r="I119" s="9" t="s">
        <v>276</v>
      </c>
      <c r="J119" s="9">
        <v>0.1</v>
      </c>
      <c r="K119" s="9">
        <v>0.470003629245736</v>
      </c>
      <c r="L119" s="9">
        <v>0.0174073905625</v>
      </c>
      <c r="M119" s="9">
        <v>5.0</v>
      </c>
      <c r="N119" s="9">
        <v>1.504</v>
      </c>
      <c r="O119" s="9">
        <v>10.0</v>
      </c>
      <c r="P119" s="9">
        <v>8.0</v>
      </c>
      <c r="Q119" s="9">
        <v>2.313</v>
      </c>
      <c r="R119" s="9">
        <v>10.0</v>
      </c>
      <c r="S119" s="9" t="s">
        <v>285</v>
      </c>
      <c r="T119" s="9" t="s">
        <v>285</v>
      </c>
    </row>
    <row r="120" ht="12.75" customHeight="1">
      <c r="A120" s="9" t="s">
        <v>382</v>
      </c>
      <c r="B120" s="9">
        <v>77.499982</v>
      </c>
      <c r="C120" s="9">
        <v>8.500009</v>
      </c>
      <c r="D120" s="9" t="s">
        <v>278</v>
      </c>
      <c r="E120" s="9" t="s">
        <v>272</v>
      </c>
      <c r="F120" s="9" t="s">
        <v>273</v>
      </c>
      <c r="G120" s="9" t="s">
        <v>293</v>
      </c>
      <c r="H120" s="9" t="s">
        <v>311</v>
      </c>
      <c r="I120" s="9" t="s">
        <v>276</v>
      </c>
      <c r="J120" s="9">
        <v>0.1</v>
      </c>
      <c r="K120" s="9">
        <v>-0.0368139731227163</v>
      </c>
      <c r="L120" s="9">
        <v>0.00246772772975033</v>
      </c>
      <c r="M120" s="9">
        <v>83.0</v>
      </c>
      <c r="N120" s="9">
        <v>9.377</v>
      </c>
      <c r="O120" s="9">
        <v>10.0</v>
      </c>
      <c r="P120" s="9">
        <v>80.0</v>
      </c>
      <c r="Q120" s="9">
        <v>8.732</v>
      </c>
      <c r="R120" s="9">
        <v>10.0</v>
      </c>
      <c r="S120" s="9" t="s">
        <v>285</v>
      </c>
      <c r="T120" s="9" t="s">
        <v>285</v>
      </c>
    </row>
    <row r="121" ht="12.75" customHeight="1">
      <c r="A121" s="9" t="s">
        <v>383</v>
      </c>
      <c r="B121" s="9">
        <v>17.416667</v>
      </c>
      <c r="C121" s="9">
        <v>48.9</v>
      </c>
      <c r="D121" s="9" t="s">
        <v>279</v>
      </c>
      <c r="E121" s="9" t="s">
        <v>272</v>
      </c>
      <c r="F121" s="9" t="s">
        <v>326</v>
      </c>
      <c r="G121" s="9" t="s">
        <v>295</v>
      </c>
      <c r="H121" s="9" t="s">
        <v>311</v>
      </c>
      <c r="I121" s="9" t="s">
        <v>276</v>
      </c>
      <c r="J121" s="9">
        <v>25.0</v>
      </c>
      <c r="K121" s="9">
        <v>-0.0511551633009299</v>
      </c>
      <c r="L121" s="9">
        <v>0.7055035355773</v>
      </c>
      <c r="M121" s="9">
        <v>11.43</v>
      </c>
      <c r="N121" s="9">
        <v>11.38</v>
      </c>
      <c r="O121" s="9">
        <v>3.0</v>
      </c>
      <c r="P121" s="9">
        <v>10.86</v>
      </c>
      <c r="Q121" s="9">
        <v>11.52</v>
      </c>
      <c r="R121" s="9">
        <v>3.0</v>
      </c>
      <c r="S121" s="9" t="s">
        <v>277</v>
      </c>
      <c r="T121" s="9" t="s">
        <v>277</v>
      </c>
    </row>
    <row r="122" ht="12.75" customHeight="1">
      <c r="A122" s="9" t="s">
        <v>384</v>
      </c>
      <c r="B122" s="9">
        <v>17.416667</v>
      </c>
      <c r="C122" s="9">
        <v>48.9</v>
      </c>
      <c r="D122" s="9" t="s">
        <v>279</v>
      </c>
      <c r="E122" s="9" t="s">
        <v>272</v>
      </c>
      <c r="F122" s="9" t="s">
        <v>326</v>
      </c>
      <c r="G122" s="9" t="s">
        <v>295</v>
      </c>
      <c r="H122" s="9" t="s">
        <v>311</v>
      </c>
      <c r="I122" s="9" t="s">
        <v>276</v>
      </c>
      <c r="J122" s="9">
        <v>25.0</v>
      </c>
      <c r="K122" s="9">
        <v>-0.0981009556450221</v>
      </c>
      <c r="L122" s="9">
        <v>0.693263605849427</v>
      </c>
      <c r="M122" s="9">
        <v>12.2</v>
      </c>
      <c r="N122" s="9">
        <v>11.74</v>
      </c>
      <c r="O122" s="9">
        <v>3.0</v>
      </c>
      <c r="P122" s="9">
        <v>11.06</v>
      </c>
      <c r="Q122" s="9">
        <v>11.88</v>
      </c>
      <c r="R122" s="9">
        <v>3.0</v>
      </c>
      <c r="S122" s="9" t="s">
        <v>277</v>
      </c>
      <c r="T122" s="9" t="s">
        <v>277</v>
      </c>
    </row>
    <row r="123" ht="12.75" customHeight="1">
      <c r="A123" s="9" t="s">
        <v>385</v>
      </c>
      <c r="B123" s="9">
        <v>14.466667</v>
      </c>
      <c r="C123" s="9">
        <v>45.966667</v>
      </c>
      <c r="D123" s="9" t="s">
        <v>288</v>
      </c>
      <c r="E123" s="9" t="s">
        <v>272</v>
      </c>
      <c r="F123" s="9" t="s">
        <v>326</v>
      </c>
      <c r="G123" s="9" t="s">
        <v>295</v>
      </c>
      <c r="H123" s="9" t="s">
        <v>311</v>
      </c>
      <c r="I123" s="9" t="s">
        <v>276</v>
      </c>
      <c r="J123" s="9">
        <v>0.49</v>
      </c>
      <c r="K123" s="9">
        <v>-0.0528776164447734</v>
      </c>
      <c r="L123" s="9">
        <v>0.0139673915568931</v>
      </c>
      <c r="M123" s="9">
        <v>19.416</v>
      </c>
      <c r="N123" s="9">
        <v>4.358</v>
      </c>
      <c r="O123" s="9">
        <v>8.0</v>
      </c>
      <c r="P123" s="9">
        <v>18.416</v>
      </c>
      <c r="Q123" s="9">
        <v>4.5618</v>
      </c>
      <c r="R123" s="9">
        <v>8.0</v>
      </c>
      <c r="S123" s="9" t="s">
        <v>277</v>
      </c>
      <c r="T123" s="9" t="s">
        <v>277</v>
      </c>
    </row>
    <row r="124" ht="12.75" customHeight="1">
      <c r="A124" s="9" t="s">
        <v>385</v>
      </c>
      <c r="B124" s="9">
        <v>14.466667</v>
      </c>
      <c r="C124" s="9">
        <v>45.966667</v>
      </c>
      <c r="D124" s="9" t="s">
        <v>278</v>
      </c>
      <c r="E124" s="9" t="s">
        <v>272</v>
      </c>
      <c r="F124" s="9" t="s">
        <v>326</v>
      </c>
      <c r="G124" s="9" t="s">
        <v>295</v>
      </c>
      <c r="H124" s="9" t="s">
        <v>311</v>
      </c>
      <c r="I124" s="9" t="s">
        <v>276</v>
      </c>
      <c r="J124" s="9">
        <v>0.49</v>
      </c>
      <c r="K124" s="9">
        <v>0.109320663909464</v>
      </c>
      <c r="L124" s="9">
        <v>0.00686747564646215</v>
      </c>
      <c r="M124" s="9">
        <v>18.75</v>
      </c>
      <c r="N124" s="9">
        <v>3.6212</v>
      </c>
      <c r="O124" s="9">
        <v>8.0</v>
      </c>
      <c r="P124" s="9">
        <v>20.916</v>
      </c>
      <c r="Q124" s="9">
        <v>2.778</v>
      </c>
      <c r="R124" s="9">
        <v>8.0</v>
      </c>
      <c r="S124" s="9" t="s">
        <v>277</v>
      </c>
      <c r="T124" s="9" t="s">
        <v>277</v>
      </c>
    </row>
    <row r="125" ht="12.75" customHeight="1">
      <c r="A125" s="9" t="s">
        <v>385</v>
      </c>
      <c r="B125" s="9">
        <v>14.466667</v>
      </c>
      <c r="C125" s="9">
        <v>45.966667</v>
      </c>
      <c r="D125" s="9" t="s">
        <v>279</v>
      </c>
      <c r="E125" s="9" t="s">
        <v>272</v>
      </c>
      <c r="F125" s="9" t="s">
        <v>326</v>
      </c>
      <c r="G125" s="9" t="s">
        <v>295</v>
      </c>
      <c r="H125" s="9" t="s">
        <v>311</v>
      </c>
      <c r="I125" s="9" t="s">
        <v>276</v>
      </c>
      <c r="J125" s="9">
        <v>0.49</v>
      </c>
      <c r="K125" s="9">
        <v>-0.100506291544255</v>
      </c>
      <c r="L125" s="9">
        <v>0.0054960279952458</v>
      </c>
      <c r="M125" s="9">
        <v>20.916</v>
      </c>
      <c r="N125" s="9">
        <v>2.778</v>
      </c>
      <c r="O125" s="9">
        <v>8.0</v>
      </c>
      <c r="P125" s="9">
        <v>18.916</v>
      </c>
      <c r="Q125" s="9">
        <v>4.340624246</v>
      </c>
      <c r="R125" s="9">
        <v>16.0</v>
      </c>
      <c r="S125" s="9" t="s">
        <v>277</v>
      </c>
      <c r="T125" s="9" t="s">
        <v>277</v>
      </c>
    </row>
    <row r="126" ht="12.75" customHeight="1">
      <c r="A126" s="9" t="s">
        <v>386</v>
      </c>
      <c r="B126" s="9">
        <v>14.466667</v>
      </c>
      <c r="C126" s="9">
        <v>45.966667</v>
      </c>
      <c r="D126" s="9" t="s">
        <v>288</v>
      </c>
      <c r="E126" s="9" t="s">
        <v>272</v>
      </c>
      <c r="F126" s="9" t="s">
        <v>326</v>
      </c>
      <c r="G126" s="9" t="s">
        <v>295</v>
      </c>
      <c r="H126" s="9" t="s">
        <v>311</v>
      </c>
      <c r="I126" s="9" t="s">
        <v>276</v>
      </c>
      <c r="J126" s="9">
        <v>0.49</v>
      </c>
      <c r="K126" s="9">
        <v>-0.137923143205502</v>
      </c>
      <c r="L126" s="9">
        <v>0.00772659402683833</v>
      </c>
      <c r="M126" s="9">
        <v>20.375</v>
      </c>
      <c r="N126" s="9">
        <v>3.852</v>
      </c>
      <c r="O126" s="9">
        <v>8.0</v>
      </c>
      <c r="P126" s="9">
        <v>17.75</v>
      </c>
      <c r="Q126" s="9">
        <v>2.866</v>
      </c>
      <c r="R126" s="9">
        <v>8.0</v>
      </c>
      <c r="S126" s="9" t="s">
        <v>277</v>
      </c>
      <c r="T126" s="9" t="s">
        <v>277</v>
      </c>
    </row>
    <row r="127" ht="12.75" customHeight="1">
      <c r="A127" s="9" t="s">
        <v>386</v>
      </c>
      <c r="B127" s="9">
        <v>14.466667</v>
      </c>
      <c r="C127" s="9">
        <v>45.966667</v>
      </c>
      <c r="D127" s="9" t="s">
        <v>278</v>
      </c>
      <c r="E127" s="9" t="s">
        <v>272</v>
      </c>
      <c r="F127" s="9" t="s">
        <v>326</v>
      </c>
      <c r="G127" s="9" t="s">
        <v>295</v>
      </c>
      <c r="H127" s="9" t="s">
        <v>311</v>
      </c>
      <c r="I127" s="9" t="s">
        <v>276</v>
      </c>
      <c r="J127" s="9">
        <v>0.49</v>
      </c>
      <c r="K127" s="9">
        <v>0.161119349143352</v>
      </c>
      <c r="L127" s="9">
        <v>0.00453576988447505</v>
      </c>
      <c r="M127" s="9">
        <v>17.875</v>
      </c>
      <c r="N127" s="9">
        <v>2.23</v>
      </c>
      <c r="O127" s="9">
        <v>8.0</v>
      </c>
      <c r="P127" s="9">
        <v>21.0</v>
      </c>
      <c r="Q127" s="9">
        <v>3.023</v>
      </c>
      <c r="R127" s="9">
        <v>8.0</v>
      </c>
      <c r="S127" s="9" t="s">
        <v>277</v>
      </c>
      <c r="T127" s="9" t="s">
        <v>277</v>
      </c>
    </row>
    <row r="128" ht="12.75" customHeight="1">
      <c r="A128" s="9" t="s">
        <v>386</v>
      </c>
      <c r="B128" s="9">
        <v>14.466667</v>
      </c>
      <c r="C128" s="9">
        <v>45.966667</v>
      </c>
      <c r="D128" s="9" t="s">
        <v>279</v>
      </c>
      <c r="E128" s="9" t="s">
        <v>272</v>
      </c>
      <c r="F128" s="9" t="s">
        <v>326</v>
      </c>
      <c r="G128" s="9" t="s">
        <v>295</v>
      </c>
      <c r="H128" s="9" t="s">
        <v>311</v>
      </c>
      <c r="I128" s="9" t="s">
        <v>276</v>
      </c>
      <c r="J128" s="9">
        <v>0.49</v>
      </c>
      <c r="K128" s="9">
        <v>-0.0967993833557926</v>
      </c>
      <c r="L128" s="9">
        <v>0.0204132512847781</v>
      </c>
      <c r="M128" s="9">
        <v>21.0</v>
      </c>
      <c r="N128" s="9">
        <v>3.023</v>
      </c>
      <c r="O128" s="9">
        <v>8.0</v>
      </c>
      <c r="P128" s="9">
        <v>19.0625</v>
      </c>
      <c r="Q128" s="9">
        <v>10.17957927</v>
      </c>
      <c r="R128" s="9">
        <v>16.0</v>
      </c>
      <c r="S128" s="9" t="s">
        <v>277</v>
      </c>
      <c r="T128" s="9" t="s">
        <v>277</v>
      </c>
    </row>
    <row r="129" ht="12.75" customHeight="1">
      <c r="A129" s="9" t="s">
        <v>387</v>
      </c>
      <c r="B129" s="9">
        <v>14.466667</v>
      </c>
      <c r="C129" s="9">
        <v>45.966667</v>
      </c>
      <c r="D129" s="9" t="s">
        <v>288</v>
      </c>
      <c r="E129" s="9" t="s">
        <v>272</v>
      </c>
      <c r="F129" s="9" t="s">
        <v>326</v>
      </c>
      <c r="G129" s="9" t="s">
        <v>295</v>
      </c>
      <c r="H129" s="9" t="s">
        <v>311</v>
      </c>
      <c r="I129" s="9" t="s">
        <v>276</v>
      </c>
      <c r="J129" s="9">
        <v>0.49</v>
      </c>
      <c r="K129" s="9">
        <v>-0.128381166648207</v>
      </c>
      <c r="L129" s="9">
        <v>0.00897520029946913</v>
      </c>
      <c r="M129" s="9">
        <v>20.75</v>
      </c>
      <c r="N129" s="9">
        <v>4.5</v>
      </c>
      <c r="O129" s="9">
        <v>8.0</v>
      </c>
      <c r="P129" s="9">
        <v>18.25</v>
      </c>
      <c r="Q129" s="9">
        <v>2.87228</v>
      </c>
      <c r="R129" s="9">
        <v>8.0</v>
      </c>
      <c r="S129" s="9" t="s">
        <v>277</v>
      </c>
      <c r="T129" s="9" t="s">
        <v>277</v>
      </c>
    </row>
    <row r="130" ht="12.75" customHeight="1">
      <c r="A130" s="9" t="s">
        <v>387</v>
      </c>
      <c r="B130" s="9">
        <v>14.466667</v>
      </c>
      <c r="C130" s="9">
        <v>45.966667</v>
      </c>
      <c r="D130" s="9" t="s">
        <v>278</v>
      </c>
      <c r="E130" s="9" t="s">
        <v>272</v>
      </c>
      <c r="F130" s="9" t="s">
        <v>326</v>
      </c>
      <c r="G130" s="9" t="s">
        <v>295</v>
      </c>
      <c r="H130" s="9" t="s">
        <v>311</v>
      </c>
      <c r="I130" s="9" t="s">
        <v>276</v>
      </c>
      <c r="J130" s="9">
        <v>0.49</v>
      </c>
      <c r="K130" s="9">
        <v>0.0</v>
      </c>
      <c r="L130" s="9">
        <v>0.0185682084640346</v>
      </c>
      <c r="M130" s="9">
        <v>21.5</v>
      </c>
      <c r="N130" s="9">
        <v>3.8729</v>
      </c>
      <c r="O130" s="9">
        <v>8.0</v>
      </c>
      <c r="P130" s="9">
        <v>21.5</v>
      </c>
      <c r="Q130" s="9">
        <v>7.3257</v>
      </c>
      <c r="R130" s="9">
        <v>8.0</v>
      </c>
      <c r="S130" s="9" t="s">
        <v>277</v>
      </c>
      <c r="T130" s="9" t="s">
        <v>277</v>
      </c>
    </row>
    <row r="131" ht="12.75" customHeight="1">
      <c r="A131" s="9" t="s">
        <v>387</v>
      </c>
      <c r="B131" s="9">
        <v>14.466667</v>
      </c>
      <c r="C131" s="9">
        <v>45.966667</v>
      </c>
      <c r="D131" s="9" t="s">
        <v>279</v>
      </c>
      <c r="E131" s="9" t="s">
        <v>272</v>
      </c>
      <c r="F131" s="9" t="s">
        <v>326</v>
      </c>
      <c r="G131" s="9" t="s">
        <v>295</v>
      </c>
      <c r="H131" s="9" t="s">
        <v>311</v>
      </c>
      <c r="I131" s="9" t="s">
        <v>276</v>
      </c>
      <c r="J131" s="9">
        <v>0.49</v>
      </c>
      <c r="K131" s="9">
        <v>-0.0976384695639161</v>
      </c>
      <c r="L131" s="9">
        <v>0.016973822812923</v>
      </c>
      <c r="M131" s="9">
        <v>21.5</v>
      </c>
      <c r="N131" s="9">
        <v>7.3257</v>
      </c>
      <c r="O131" s="9">
        <v>8.0</v>
      </c>
      <c r="P131" s="9">
        <v>19.5</v>
      </c>
      <c r="Q131" s="9">
        <v>3.87</v>
      </c>
      <c r="R131" s="9">
        <v>16.0</v>
      </c>
      <c r="S131" s="9" t="s">
        <v>277</v>
      </c>
      <c r="T131" s="9" t="s">
        <v>277</v>
      </c>
    </row>
    <row r="132" ht="12.75" customHeight="1">
      <c r="A132" s="9" t="s">
        <v>388</v>
      </c>
      <c r="B132" s="9">
        <v>30.1</v>
      </c>
      <c r="C132" s="9">
        <v>-24.56667</v>
      </c>
      <c r="D132" s="9" t="s">
        <v>292</v>
      </c>
      <c r="E132" s="9" t="s">
        <v>272</v>
      </c>
      <c r="F132" s="9" t="s">
        <v>273</v>
      </c>
      <c r="G132" s="9" t="s">
        <v>339</v>
      </c>
      <c r="H132" s="9">
        <v>1950.0</v>
      </c>
      <c r="I132" s="9" t="s">
        <v>276</v>
      </c>
      <c r="J132" s="9">
        <v>300.0</v>
      </c>
      <c r="K132" s="9">
        <v>-0.451879348409766</v>
      </c>
      <c r="L132" s="9">
        <v>0.00783798528773778</v>
      </c>
      <c r="M132" s="9">
        <v>27.01</v>
      </c>
      <c r="N132" s="9">
        <v>3.46</v>
      </c>
      <c r="O132" s="9">
        <v>12.0</v>
      </c>
      <c r="P132" s="9">
        <v>17.19</v>
      </c>
      <c r="Q132" s="9">
        <v>4.79</v>
      </c>
      <c r="R132" s="9">
        <v>12.0</v>
      </c>
      <c r="S132" s="9" t="s">
        <v>277</v>
      </c>
      <c r="T132" s="9" t="s">
        <v>277</v>
      </c>
    </row>
    <row r="133" ht="12.75" customHeight="1">
      <c r="A133" s="9" t="s">
        <v>389</v>
      </c>
      <c r="B133" s="9">
        <v>36.250066</v>
      </c>
      <c r="C133" s="9">
        <v>7.26647</v>
      </c>
      <c r="D133" s="9" t="s">
        <v>278</v>
      </c>
      <c r="E133" s="9" t="s">
        <v>272</v>
      </c>
      <c r="F133" s="9" t="s">
        <v>283</v>
      </c>
      <c r="G133" s="9" t="s">
        <v>295</v>
      </c>
      <c r="H133" s="9" t="s">
        <v>275</v>
      </c>
      <c r="I133" s="9" t="s">
        <v>284</v>
      </c>
      <c r="J133" s="9">
        <v>400.0</v>
      </c>
      <c r="K133" s="9">
        <v>0.711496319228142</v>
      </c>
      <c r="L133" s="9">
        <v>0.00489195977553311</v>
      </c>
      <c r="M133" s="9">
        <v>27.0</v>
      </c>
      <c r="N133" s="9">
        <v>4.386</v>
      </c>
      <c r="O133" s="9">
        <v>11.0</v>
      </c>
      <c r="P133" s="9">
        <v>55.0</v>
      </c>
      <c r="Q133" s="9">
        <v>9.108</v>
      </c>
      <c r="R133" s="9">
        <v>11.0</v>
      </c>
      <c r="S133" s="9" t="s">
        <v>285</v>
      </c>
      <c r="T133" s="9" t="s">
        <v>285</v>
      </c>
    </row>
    <row r="134" ht="12.75" customHeight="1">
      <c r="A134" s="9" t="s">
        <v>390</v>
      </c>
      <c r="B134" s="9">
        <v>36.250066</v>
      </c>
      <c r="C134" s="9">
        <v>7.26647</v>
      </c>
      <c r="D134" s="9" t="s">
        <v>278</v>
      </c>
      <c r="E134" s="9" t="s">
        <v>272</v>
      </c>
      <c r="F134" s="9" t="s">
        <v>283</v>
      </c>
      <c r="G134" s="9" t="s">
        <v>295</v>
      </c>
      <c r="H134" s="9" t="s">
        <v>275</v>
      </c>
      <c r="I134" s="9" t="s">
        <v>284</v>
      </c>
      <c r="J134" s="9">
        <v>400.0</v>
      </c>
      <c r="K134" s="9">
        <v>-0.154150679827258</v>
      </c>
      <c r="L134" s="9">
        <v>0.00536552433654447</v>
      </c>
      <c r="M134" s="9">
        <v>21.0</v>
      </c>
      <c r="N134" s="9">
        <v>4.0954203516</v>
      </c>
      <c r="O134" s="9">
        <v>11.0</v>
      </c>
      <c r="P134" s="9">
        <v>18.0</v>
      </c>
      <c r="Q134" s="9">
        <v>2.6077</v>
      </c>
      <c r="R134" s="9">
        <v>11.0</v>
      </c>
      <c r="S134" s="9" t="s">
        <v>285</v>
      </c>
      <c r="T134" s="9" t="s">
        <v>285</v>
      </c>
    </row>
    <row r="135" ht="12.75" customHeight="1">
      <c r="A135" s="9" t="s">
        <v>391</v>
      </c>
      <c r="B135" s="9">
        <v>36.250066</v>
      </c>
      <c r="C135" s="9">
        <v>7.26647</v>
      </c>
      <c r="D135" s="9" t="s">
        <v>278</v>
      </c>
      <c r="E135" s="9" t="s">
        <v>272</v>
      </c>
      <c r="F135" s="9" t="s">
        <v>283</v>
      </c>
      <c r="G135" s="9" t="s">
        <v>295</v>
      </c>
      <c r="H135" s="9" t="s">
        <v>275</v>
      </c>
      <c r="I135" s="9" t="s">
        <v>284</v>
      </c>
      <c r="J135" s="9">
        <v>400.0</v>
      </c>
      <c r="K135" s="9">
        <v>0.298492988555997</v>
      </c>
      <c r="L135" s="9">
        <v>0.00386320689212329</v>
      </c>
      <c r="M135" s="9">
        <v>23.0</v>
      </c>
      <c r="N135" s="9">
        <v>3.55329</v>
      </c>
      <c r="O135" s="9">
        <v>11.0</v>
      </c>
      <c r="P135" s="9">
        <v>31.0</v>
      </c>
      <c r="Q135" s="9">
        <v>4.231</v>
      </c>
      <c r="R135" s="9">
        <v>11.0</v>
      </c>
      <c r="S135" s="9" t="s">
        <v>285</v>
      </c>
      <c r="T135" s="9" t="s">
        <v>285</v>
      </c>
    </row>
    <row r="136" ht="12.75" customHeight="1">
      <c r="A136" s="9" t="s">
        <v>392</v>
      </c>
      <c r="B136" s="9">
        <v>36.250066</v>
      </c>
      <c r="C136" s="9">
        <v>7.26647</v>
      </c>
      <c r="D136" s="9" t="s">
        <v>278</v>
      </c>
      <c r="E136" s="9" t="s">
        <v>272</v>
      </c>
      <c r="F136" s="9" t="s">
        <v>283</v>
      </c>
      <c r="G136" s="9" t="s">
        <v>295</v>
      </c>
      <c r="H136" s="9" t="s">
        <v>275</v>
      </c>
      <c r="I136" s="9" t="s">
        <v>284</v>
      </c>
      <c r="J136" s="9">
        <v>400.0</v>
      </c>
      <c r="K136" s="9">
        <v>0.241162056816888</v>
      </c>
      <c r="L136" s="9">
        <v>0.0188836857970837</v>
      </c>
      <c r="M136" s="9">
        <v>11.0</v>
      </c>
      <c r="N136" s="9">
        <v>4.48</v>
      </c>
      <c r="O136" s="9">
        <v>11.0</v>
      </c>
      <c r="P136" s="9">
        <v>14.0</v>
      </c>
      <c r="Q136" s="9">
        <v>2.864</v>
      </c>
      <c r="R136" s="9">
        <v>11.0</v>
      </c>
      <c r="S136" s="9" t="s">
        <v>285</v>
      </c>
      <c r="T136" s="9" t="s">
        <v>285</v>
      </c>
    </row>
    <row r="137" ht="12.75" customHeight="1">
      <c r="A137" s="9" t="s">
        <v>393</v>
      </c>
      <c r="B137" s="9">
        <v>36.250066</v>
      </c>
      <c r="C137" s="9">
        <v>7.26647</v>
      </c>
      <c r="D137" s="9" t="s">
        <v>278</v>
      </c>
      <c r="E137" s="9" t="s">
        <v>272</v>
      </c>
      <c r="F137" s="9" t="s">
        <v>283</v>
      </c>
      <c r="G137" s="9" t="s">
        <v>295</v>
      </c>
      <c r="H137" s="9" t="s">
        <v>275</v>
      </c>
      <c r="I137" s="9" t="s">
        <v>284</v>
      </c>
      <c r="J137" s="9">
        <v>400.0</v>
      </c>
      <c r="K137" s="9">
        <v>-0.0512932943875506</v>
      </c>
      <c r="L137" s="9">
        <v>0.00876795093645958</v>
      </c>
      <c r="M137" s="9">
        <v>20.0</v>
      </c>
      <c r="N137" s="9">
        <v>3.74978</v>
      </c>
      <c r="O137" s="9">
        <v>11.0</v>
      </c>
      <c r="P137" s="9">
        <v>19.0</v>
      </c>
      <c r="Q137" s="9">
        <v>4.704</v>
      </c>
      <c r="R137" s="9">
        <v>11.0</v>
      </c>
      <c r="S137" s="9" t="s">
        <v>285</v>
      </c>
      <c r="T137" s="9" t="s">
        <v>285</v>
      </c>
    </row>
    <row r="138" ht="12.75" customHeight="1">
      <c r="A138" s="9" t="s">
        <v>394</v>
      </c>
      <c r="B138" s="9">
        <v>36.250066</v>
      </c>
      <c r="C138" s="9">
        <v>7.26647</v>
      </c>
      <c r="D138" s="9" t="s">
        <v>278</v>
      </c>
      <c r="E138" s="9" t="s">
        <v>272</v>
      </c>
      <c r="F138" s="9" t="s">
        <v>283</v>
      </c>
      <c r="G138" s="9" t="s">
        <v>295</v>
      </c>
      <c r="H138" s="9" t="s">
        <v>275</v>
      </c>
      <c r="I138" s="9" t="s">
        <v>284</v>
      </c>
      <c r="J138" s="9">
        <v>400.0</v>
      </c>
      <c r="K138" s="9">
        <v>0.0</v>
      </c>
      <c r="L138" s="9">
        <v>0.0051520202020202</v>
      </c>
      <c r="M138" s="9">
        <v>33.0</v>
      </c>
      <c r="N138" s="9">
        <v>5.555</v>
      </c>
      <c r="O138" s="9">
        <v>11.0</v>
      </c>
      <c r="P138" s="9">
        <v>33.0</v>
      </c>
      <c r="Q138" s="9">
        <v>5.555</v>
      </c>
      <c r="R138" s="9">
        <v>11.0</v>
      </c>
      <c r="S138" s="9" t="s">
        <v>285</v>
      </c>
      <c r="T138" s="9" t="s">
        <v>285</v>
      </c>
    </row>
    <row r="139" ht="12.75" customHeight="1">
      <c r="A139" s="9" t="s">
        <v>395</v>
      </c>
      <c r="B139" s="9">
        <v>36.250066</v>
      </c>
      <c r="C139" s="9">
        <v>7.26647</v>
      </c>
      <c r="D139" s="9" t="s">
        <v>278</v>
      </c>
      <c r="E139" s="9" t="s">
        <v>272</v>
      </c>
      <c r="F139" s="9" t="s">
        <v>283</v>
      </c>
      <c r="G139" s="9" t="s">
        <v>295</v>
      </c>
      <c r="H139" s="9" t="s">
        <v>275</v>
      </c>
      <c r="I139" s="9" t="s">
        <v>284</v>
      </c>
      <c r="J139" s="9">
        <v>400.0</v>
      </c>
      <c r="K139" s="9">
        <v>-0.325422400434628</v>
      </c>
      <c r="L139" s="9">
        <v>0.00820712714922068</v>
      </c>
      <c r="M139" s="9">
        <v>18.0</v>
      </c>
      <c r="N139" s="9">
        <v>2.6077</v>
      </c>
      <c r="O139" s="9">
        <v>11.0</v>
      </c>
      <c r="P139" s="9">
        <v>13.0</v>
      </c>
      <c r="Q139" s="9">
        <v>3.422</v>
      </c>
      <c r="R139" s="9">
        <v>11.0</v>
      </c>
      <c r="S139" s="9" t="s">
        <v>285</v>
      </c>
      <c r="T139" s="9" t="s">
        <v>285</v>
      </c>
    </row>
    <row r="140" ht="12.75" customHeight="1">
      <c r="A140" s="9" t="s">
        <v>396</v>
      </c>
      <c r="B140" s="9">
        <v>-78.35</v>
      </c>
      <c r="C140" s="9">
        <v>45.616667</v>
      </c>
      <c r="D140" s="9" t="s">
        <v>271</v>
      </c>
      <c r="E140" s="9" t="s">
        <v>282</v>
      </c>
      <c r="F140" s="9" t="s">
        <v>273</v>
      </c>
      <c r="G140" s="9" t="s">
        <v>274</v>
      </c>
      <c r="H140" s="9" t="s">
        <v>275</v>
      </c>
      <c r="I140" s="9" t="s">
        <v>284</v>
      </c>
      <c r="J140" s="9" t="s">
        <v>377</v>
      </c>
      <c r="K140" s="9">
        <v>0.0464514026464273</v>
      </c>
      <c r="L140" s="9">
        <v>2.40564907574131E-4</v>
      </c>
      <c r="M140" s="9">
        <v>13.25</v>
      </c>
      <c r="N140" s="9">
        <v>0.64</v>
      </c>
      <c r="O140" s="9">
        <v>30.0</v>
      </c>
      <c r="P140" s="9">
        <v>13.88</v>
      </c>
      <c r="Q140" s="9">
        <v>0.97</v>
      </c>
      <c r="R140" s="9">
        <v>30.0</v>
      </c>
      <c r="S140" s="9" t="s">
        <v>277</v>
      </c>
      <c r="T140" s="9" t="s">
        <v>277</v>
      </c>
    </row>
    <row r="141" ht="12.75" customHeight="1">
      <c r="A141" s="9" t="s">
        <v>397</v>
      </c>
      <c r="B141" s="9">
        <v>-60.266667</v>
      </c>
      <c r="C141" s="9">
        <v>-35.033333</v>
      </c>
      <c r="D141" s="9" t="s">
        <v>288</v>
      </c>
      <c r="E141" s="9" t="s">
        <v>272</v>
      </c>
      <c r="F141" s="9" t="s">
        <v>283</v>
      </c>
      <c r="G141" s="9" t="s">
        <v>295</v>
      </c>
      <c r="H141" s="9">
        <v>1950.0</v>
      </c>
      <c r="I141" s="9" t="s">
        <v>284</v>
      </c>
      <c r="J141" s="9">
        <v>0.2</v>
      </c>
      <c r="K141" s="9">
        <v>-0.287682072451781</v>
      </c>
      <c r="L141" s="9">
        <v>0.00164154320987654</v>
      </c>
      <c r="M141" s="9">
        <v>6.0</v>
      </c>
      <c r="N141" s="9">
        <v>1.92</v>
      </c>
      <c r="O141" s="9">
        <v>120.0</v>
      </c>
      <c r="P141" s="9">
        <v>4.5</v>
      </c>
      <c r="Q141" s="9">
        <v>1.13</v>
      </c>
      <c r="R141" s="9">
        <v>80.0</v>
      </c>
      <c r="S141" s="9" t="s">
        <v>277</v>
      </c>
      <c r="T141" s="9" t="s">
        <v>277</v>
      </c>
    </row>
    <row r="142" ht="12.75" customHeight="1">
      <c r="A142" s="9" t="s">
        <v>397</v>
      </c>
      <c r="B142" s="9">
        <v>-60.266667</v>
      </c>
      <c r="C142" s="9">
        <v>-35.033333</v>
      </c>
      <c r="D142" s="9" t="s">
        <v>279</v>
      </c>
      <c r="E142" s="9" t="s">
        <v>272</v>
      </c>
      <c r="F142" s="9" t="s">
        <v>283</v>
      </c>
      <c r="G142" s="9" t="s">
        <v>295</v>
      </c>
      <c r="H142" s="9">
        <v>1950.0</v>
      </c>
      <c r="I142" s="9" t="s">
        <v>284</v>
      </c>
      <c r="J142" s="9">
        <v>0.2</v>
      </c>
      <c r="K142" s="9">
        <v>-0.688506801003443</v>
      </c>
      <c r="L142" s="9">
        <v>0.00189052279777723</v>
      </c>
      <c r="M142" s="9">
        <v>10.75</v>
      </c>
      <c r="N142" s="9">
        <v>3.513085845</v>
      </c>
      <c r="O142" s="9">
        <v>80.0</v>
      </c>
      <c r="P142" s="9">
        <v>5.4</v>
      </c>
      <c r="Q142" s="9">
        <v>1.8</v>
      </c>
      <c r="R142" s="9">
        <v>200.0</v>
      </c>
      <c r="S142" s="9" t="s">
        <v>277</v>
      </c>
      <c r="T142" s="9" t="s">
        <v>277</v>
      </c>
    </row>
    <row r="143" ht="12.75" customHeight="1">
      <c r="A143" s="9" t="s">
        <v>398</v>
      </c>
      <c r="B143" s="9">
        <v>9.935556</v>
      </c>
      <c r="C143" s="9">
        <v>51.533889</v>
      </c>
      <c r="D143" s="9" t="s">
        <v>279</v>
      </c>
      <c r="E143" s="9" t="s">
        <v>282</v>
      </c>
      <c r="F143" s="9" t="s">
        <v>283</v>
      </c>
      <c r="G143" s="9" t="s">
        <v>295</v>
      </c>
      <c r="H143" s="9" t="s">
        <v>311</v>
      </c>
      <c r="I143" s="9" t="s">
        <v>284</v>
      </c>
      <c r="J143" s="9">
        <v>250000.0</v>
      </c>
      <c r="K143" s="9">
        <v>-0.0800427076735364</v>
      </c>
      <c r="L143" s="9">
        <v>0.0598049290490068</v>
      </c>
      <c r="M143" s="9">
        <v>2.21</v>
      </c>
      <c r="N143" s="9">
        <v>1.6</v>
      </c>
      <c r="O143" s="9">
        <v>14.0</v>
      </c>
      <c r="P143" s="9">
        <v>2.04</v>
      </c>
      <c r="Q143" s="9">
        <v>1.1</v>
      </c>
      <c r="R143" s="9">
        <v>13.0</v>
      </c>
      <c r="S143" s="9" t="s">
        <v>277</v>
      </c>
      <c r="T143" s="9" t="s">
        <v>277</v>
      </c>
    </row>
    <row r="144" ht="12.75" customHeight="1">
      <c r="A144" s="9" t="s">
        <v>399</v>
      </c>
      <c r="B144" s="9">
        <v>10.646667</v>
      </c>
      <c r="C144" s="9">
        <v>51.108056</v>
      </c>
      <c r="D144" s="9" t="s">
        <v>279</v>
      </c>
      <c r="E144" s="9" t="s">
        <v>282</v>
      </c>
      <c r="F144" s="9" t="s">
        <v>283</v>
      </c>
      <c r="G144" s="9" t="s">
        <v>295</v>
      </c>
      <c r="H144" s="9" t="s">
        <v>311</v>
      </c>
      <c r="I144" s="9" t="s">
        <v>284</v>
      </c>
      <c r="J144" s="9">
        <v>250000.0</v>
      </c>
      <c r="K144" s="9">
        <v>-0.0491902441907718</v>
      </c>
      <c r="L144" s="9">
        <v>0.127937670880117</v>
      </c>
      <c r="M144" s="9">
        <v>1.25</v>
      </c>
      <c r="N144" s="9">
        <v>0.94</v>
      </c>
      <c r="O144" s="9">
        <v>6.0</v>
      </c>
      <c r="P144" s="9">
        <v>1.19</v>
      </c>
      <c r="Q144" s="9">
        <v>1.07</v>
      </c>
      <c r="R144" s="9">
        <v>24.0</v>
      </c>
      <c r="S144" s="9" t="s">
        <v>277</v>
      </c>
      <c r="T144" s="9" t="s">
        <v>277</v>
      </c>
    </row>
    <row r="145" ht="12.75" customHeight="1">
      <c r="A145" s="9" t="s">
        <v>400</v>
      </c>
      <c r="B145" s="9">
        <v>5.733333</v>
      </c>
      <c r="C145" s="9">
        <v>51.52</v>
      </c>
      <c r="D145" s="9" t="s">
        <v>279</v>
      </c>
      <c r="E145" s="9" t="s">
        <v>282</v>
      </c>
      <c r="F145" s="9" t="s">
        <v>283</v>
      </c>
      <c r="G145" s="9" t="s">
        <v>295</v>
      </c>
      <c r="H145" s="9" t="s">
        <v>311</v>
      </c>
      <c r="I145" s="9" t="s">
        <v>284</v>
      </c>
      <c r="J145" s="9">
        <v>250000.0</v>
      </c>
      <c r="K145" s="9">
        <v>-0.451985123743057</v>
      </c>
      <c r="L145" s="9">
        <v>0.0639150503176477</v>
      </c>
      <c r="M145" s="9">
        <v>2.2</v>
      </c>
      <c r="N145" s="9">
        <v>1.69</v>
      </c>
      <c r="O145" s="9">
        <v>15.0</v>
      </c>
      <c r="P145" s="9">
        <v>1.4</v>
      </c>
      <c r="Q145" s="9">
        <v>0.85</v>
      </c>
      <c r="R145" s="9">
        <v>15.0</v>
      </c>
      <c r="S145" s="9" t="s">
        <v>277</v>
      </c>
      <c r="T145" s="9" t="s">
        <v>277</v>
      </c>
    </row>
    <row r="146" ht="12.75" customHeight="1">
      <c r="A146" s="9" t="s">
        <v>401</v>
      </c>
      <c r="B146" s="9">
        <v>17.633333</v>
      </c>
      <c r="C146" s="9">
        <v>59.85</v>
      </c>
      <c r="D146" s="9" t="s">
        <v>279</v>
      </c>
      <c r="E146" s="9" t="s">
        <v>282</v>
      </c>
      <c r="F146" s="9" t="s">
        <v>283</v>
      </c>
      <c r="G146" s="9" t="s">
        <v>274</v>
      </c>
      <c r="H146" s="9" t="s">
        <v>296</v>
      </c>
      <c r="I146" s="9" t="s">
        <v>284</v>
      </c>
      <c r="J146" s="9">
        <v>250000.0</v>
      </c>
      <c r="K146" s="9">
        <v>-0.751416088683921</v>
      </c>
      <c r="L146" s="9">
        <v>0.100660831857198</v>
      </c>
      <c r="M146" s="9">
        <v>2.65</v>
      </c>
      <c r="N146" s="9">
        <v>1.51</v>
      </c>
      <c r="O146" s="9">
        <v>9.0</v>
      </c>
      <c r="P146" s="9">
        <v>1.25</v>
      </c>
      <c r="Q146" s="9">
        <v>1.49</v>
      </c>
      <c r="R146" s="9">
        <v>22.0</v>
      </c>
      <c r="S146" s="9" t="s">
        <v>277</v>
      </c>
      <c r="T146" s="9" t="s">
        <v>277</v>
      </c>
    </row>
    <row r="147" ht="12.75" customHeight="1">
      <c r="A147" s="9" t="s">
        <v>402</v>
      </c>
      <c r="B147" s="9">
        <v>-86.736944</v>
      </c>
      <c r="C147" s="9">
        <v>39.524444</v>
      </c>
      <c r="D147" s="9" t="s">
        <v>278</v>
      </c>
      <c r="E147" s="9" t="s">
        <v>289</v>
      </c>
      <c r="F147" s="9" t="s">
        <v>273</v>
      </c>
      <c r="G147" s="9" t="s">
        <v>274</v>
      </c>
      <c r="H147" s="9">
        <v>1950.0</v>
      </c>
      <c r="I147" s="9" t="s">
        <v>284</v>
      </c>
      <c r="J147" s="9" t="s">
        <v>377</v>
      </c>
      <c r="K147" s="9">
        <v>0.0339603833624449</v>
      </c>
      <c r="L147" s="9">
        <v>0.00970682915401217</v>
      </c>
      <c r="M147" s="9">
        <v>39.66</v>
      </c>
      <c r="N147" s="9">
        <v>4.12</v>
      </c>
      <c r="O147" s="9">
        <v>4.0</v>
      </c>
      <c r="P147" s="9">
        <v>41.03</v>
      </c>
      <c r="Q147" s="9">
        <v>6.87</v>
      </c>
      <c r="R147" s="9">
        <v>4.0</v>
      </c>
      <c r="S147" s="9" t="s">
        <v>277</v>
      </c>
      <c r="T147" s="9" t="s">
        <v>277</v>
      </c>
    </row>
    <row r="148" ht="12.75" customHeight="1">
      <c r="A148" s="9" t="s">
        <v>402</v>
      </c>
      <c r="B148" s="9">
        <v>-86.736944</v>
      </c>
      <c r="C148" s="9">
        <v>39.524444</v>
      </c>
      <c r="D148" s="9" t="s">
        <v>279</v>
      </c>
      <c r="E148" s="9" t="s">
        <v>289</v>
      </c>
      <c r="F148" s="9" t="s">
        <v>273</v>
      </c>
      <c r="G148" s="9" t="s">
        <v>274</v>
      </c>
      <c r="H148" s="9">
        <v>1950.0</v>
      </c>
      <c r="I148" s="9" t="s">
        <v>284</v>
      </c>
      <c r="J148" s="9" t="s">
        <v>377</v>
      </c>
      <c r="K148" s="9">
        <v>0.107138120742813</v>
      </c>
      <c r="L148" s="9">
        <v>0.0214687900169867</v>
      </c>
      <c r="M148" s="9">
        <v>41.03</v>
      </c>
      <c r="N148" s="9">
        <v>6.87</v>
      </c>
      <c r="O148" s="9">
        <v>4.0</v>
      </c>
      <c r="P148" s="9">
        <v>45.67</v>
      </c>
      <c r="Q148" s="9">
        <v>12.28</v>
      </c>
      <c r="R148" s="9">
        <v>5.0</v>
      </c>
      <c r="S148" s="9" t="s">
        <v>277</v>
      </c>
      <c r="T148" s="9" t="s">
        <v>277</v>
      </c>
    </row>
    <row r="149" ht="12.75" customHeight="1">
      <c r="A149" s="9" t="s">
        <v>403</v>
      </c>
      <c r="B149" s="9">
        <v>175.08</v>
      </c>
      <c r="C149" s="9">
        <v>-37.8</v>
      </c>
      <c r="D149" s="9" t="s">
        <v>288</v>
      </c>
      <c r="E149" s="9" t="s">
        <v>289</v>
      </c>
      <c r="F149" s="9" t="s">
        <v>326</v>
      </c>
      <c r="G149" s="9" t="s">
        <v>295</v>
      </c>
      <c r="H149" s="9">
        <v>1950.0</v>
      </c>
      <c r="I149" s="9" t="s">
        <v>284</v>
      </c>
      <c r="J149" s="9">
        <v>240.25</v>
      </c>
      <c r="K149" s="9">
        <v>-0.336472236621213</v>
      </c>
      <c r="L149" s="9">
        <v>0.313711419753086</v>
      </c>
      <c r="M149" s="9">
        <v>0.63</v>
      </c>
      <c r="N149" s="9">
        <v>0.868</v>
      </c>
      <c r="O149" s="9">
        <v>16.0</v>
      </c>
      <c r="P149" s="9">
        <v>0.45</v>
      </c>
      <c r="Q149" s="9">
        <v>0.795</v>
      </c>
      <c r="R149" s="9">
        <v>16.0</v>
      </c>
      <c r="S149" s="9" t="s">
        <v>285</v>
      </c>
      <c r="T149" s="9" t="s">
        <v>285</v>
      </c>
    </row>
    <row r="150" ht="12.75" customHeight="1">
      <c r="A150" s="9" t="s">
        <v>404</v>
      </c>
      <c r="B150" s="9">
        <v>175.08</v>
      </c>
      <c r="C150" s="9">
        <v>-37.8</v>
      </c>
      <c r="D150" s="9" t="s">
        <v>288</v>
      </c>
      <c r="E150" s="9" t="s">
        <v>289</v>
      </c>
      <c r="F150" s="9" t="s">
        <v>326</v>
      </c>
      <c r="G150" s="9" t="s">
        <v>295</v>
      </c>
      <c r="H150" s="9">
        <v>1950.0</v>
      </c>
      <c r="I150" s="9" t="s">
        <v>284</v>
      </c>
      <c r="J150" s="9">
        <v>240.25</v>
      </c>
      <c r="K150" s="9">
        <v>0.202524264111474</v>
      </c>
      <c r="L150" s="9">
        <v>0.0221156334039412</v>
      </c>
      <c r="M150" s="9">
        <v>3.43</v>
      </c>
      <c r="N150" s="9">
        <v>1.565</v>
      </c>
      <c r="O150" s="9">
        <v>16.0</v>
      </c>
      <c r="P150" s="9">
        <v>4.2</v>
      </c>
      <c r="Q150" s="9">
        <v>1.603</v>
      </c>
      <c r="R150" s="9">
        <v>16.0</v>
      </c>
      <c r="S150" s="9" t="s">
        <v>285</v>
      </c>
      <c r="T150" s="9" t="s">
        <v>285</v>
      </c>
    </row>
    <row r="151" ht="12.75" customHeight="1">
      <c r="A151" s="9" t="s">
        <v>405</v>
      </c>
      <c r="B151" s="9">
        <v>-91.574063</v>
      </c>
      <c r="C151" s="9">
        <v>47.304331</v>
      </c>
      <c r="D151" s="9" t="s">
        <v>278</v>
      </c>
      <c r="E151" s="9" t="s">
        <v>282</v>
      </c>
      <c r="F151" s="9" t="s">
        <v>273</v>
      </c>
      <c r="G151" s="9" t="s">
        <v>274</v>
      </c>
      <c r="H151" s="9" t="s">
        <v>275</v>
      </c>
      <c r="I151" s="9" t="s">
        <v>284</v>
      </c>
      <c r="J151" s="9">
        <v>8100.0</v>
      </c>
      <c r="K151" s="9">
        <v>0.160560065012442</v>
      </c>
      <c r="L151" s="9">
        <v>0.0265098204791393</v>
      </c>
      <c r="M151" s="9">
        <v>10.22</v>
      </c>
      <c r="N151" s="9">
        <v>1.54</v>
      </c>
      <c r="O151" s="9">
        <v>4.0</v>
      </c>
      <c r="P151" s="9">
        <v>12.0</v>
      </c>
      <c r="Q151" s="9">
        <v>3.0</v>
      </c>
      <c r="R151" s="9">
        <v>3.0</v>
      </c>
      <c r="S151" s="9" t="s">
        <v>277</v>
      </c>
      <c r="T151" s="9" t="s">
        <v>277</v>
      </c>
    </row>
    <row r="152" ht="12.75" customHeight="1">
      <c r="A152" s="9" t="s">
        <v>406</v>
      </c>
      <c r="B152" s="9">
        <v>1.458237</v>
      </c>
      <c r="C152" s="9">
        <v>42.08337</v>
      </c>
      <c r="D152" s="9" t="s">
        <v>271</v>
      </c>
      <c r="E152" s="9" t="s">
        <v>272</v>
      </c>
      <c r="F152" s="9" t="s">
        <v>326</v>
      </c>
      <c r="G152" s="9" t="s">
        <v>295</v>
      </c>
      <c r="H152" s="9" t="s">
        <v>311</v>
      </c>
      <c r="I152" s="9" t="s">
        <v>276</v>
      </c>
      <c r="J152" s="9">
        <v>1.6</v>
      </c>
      <c r="K152" s="9">
        <v>0.00526040139918019</v>
      </c>
      <c r="L152" s="9">
        <v>0.080817867276091</v>
      </c>
      <c r="M152" s="9">
        <v>18.96</v>
      </c>
      <c r="N152" s="9">
        <v>12.62</v>
      </c>
      <c r="O152" s="9">
        <v>6.0</v>
      </c>
      <c r="P152" s="9">
        <v>19.06</v>
      </c>
      <c r="Q152" s="9">
        <v>7.8</v>
      </c>
      <c r="R152" s="9">
        <v>24.0</v>
      </c>
      <c r="S152" s="9" t="s">
        <v>277</v>
      </c>
      <c r="T152" s="9" t="s">
        <v>277</v>
      </c>
    </row>
    <row r="153" ht="12.75" customHeight="1">
      <c r="A153" s="9" t="s">
        <v>407</v>
      </c>
      <c r="B153" s="9">
        <v>1.458237</v>
      </c>
      <c r="C153" s="9">
        <v>42.08337</v>
      </c>
      <c r="D153" s="9" t="s">
        <v>271</v>
      </c>
      <c r="E153" s="9" t="s">
        <v>272</v>
      </c>
      <c r="F153" s="9" t="s">
        <v>326</v>
      </c>
      <c r="G153" s="9" t="s">
        <v>295</v>
      </c>
      <c r="H153" s="9" t="s">
        <v>311</v>
      </c>
      <c r="I153" s="9" t="s">
        <v>276</v>
      </c>
      <c r="J153" s="9">
        <v>1.6</v>
      </c>
      <c r="K153" s="9">
        <v>0.0795557342039665</v>
      </c>
      <c r="L153" s="9">
        <v>0.0929761836148251</v>
      </c>
      <c r="M153" s="9">
        <v>18.96</v>
      </c>
      <c r="N153" s="9">
        <v>12.62</v>
      </c>
      <c r="O153" s="9">
        <v>6.0</v>
      </c>
      <c r="P153" s="9">
        <v>20.53</v>
      </c>
      <c r="Q153" s="9">
        <v>8.52</v>
      </c>
      <c r="R153" s="9">
        <v>9.0</v>
      </c>
      <c r="S153" s="9" t="s">
        <v>277</v>
      </c>
      <c r="T153" s="9" t="s">
        <v>277</v>
      </c>
    </row>
    <row r="154" ht="12.75" customHeight="1">
      <c r="A154" s="9" t="s">
        <v>408</v>
      </c>
      <c r="B154" s="9">
        <v>140.75</v>
      </c>
      <c r="C154" s="9">
        <v>38.73</v>
      </c>
      <c r="D154" s="9" t="s">
        <v>292</v>
      </c>
      <c r="E154" s="9" t="s">
        <v>272</v>
      </c>
      <c r="F154" s="9" t="s">
        <v>326</v>
      </c>
      <c r="G154" s="9" t="s">
        <v>295</v>
      </c>
      <c r="H154" s="9">
        <v>1450.0</v>
      </c>
      <c r="I154" s="9" t="s">
        <v>276</v>
      </c>
      <c r="J154" s="9">
        <v>0.25</v>
      </c>
      <c r="K154" s="9">
        <v>0.0835530228182812</v>
      </c>
      <c r="L154" s="9">
        <v>0.0297142312747091</v>
      </c>
      <c r="M154" s="9">
        <v>7.0</v>
      </c>
      <c r="N154" s="9">
        <v>2.284</v>
      </c>
      <c r="O154" s="9">
        <v>8.0</v>
      </c>
      <c r="P154" s="9">
        <v>7.61</v>
      </c>
      <c r="Q154" s="9">
        <v>2.757</v>
      </c>
      <c r="R154" s="9">
        <v>8.0</v>
      </c>
      <c r="S154" s="9" t="s">
        <v>285</v>
      </c>
      <c r="T154" s="9" t="s">
        <v>285</v>
      </c>
    </row>
    <row r="155" ht="12.75" customHeight="1">
      <c r="A155" s="9" t="s">
        <v>408</v>
      </c>
      <c r="B155" s="9">
        <v>140.75</v>
      </c>
      <c r="C155" s="9">
        <v>38.73</v>
      </c>
      <c r="D155" s="9" t="s">
        <v>288</v>
      </c>
      <c r="E155" s="9" t="s">
        <v>272</v>
      </c>
      <c r="F155" s="9" t="s">
        <v>326</v>
      </c>
      <c r="G155" s="9" t="s">
        <v>295</v>
      </c>
      <c r="H155" s="9">
        <v>1450.0</v>
      </c>
      <c r="I155" s="9" t="s">
        <v>276</v>
      </c>
      <c r="J155" s="9">
        <v>0.25</v>
      </c>
      <c r="K155" s="9">
        <v>-0.00301205046999172</v>
      </c>
      <c r="L155" s="9">
        <v>0.0144801002292788</v>
      </c>
      <c r="M155" s="9">
        <v>6.65</v>
      </c>
      <c r="N155" s="9">
        <v>1.452</v>
      </c>
      <c r="O155" s="9">
        <v>8.0</v>
      </c>
      <c r="P155" s="9">
        <v>6.63</v>
      </c>
      <c r="Q155" s="9">
        <v>1.731</v>
      </c>
      <c r="R155" s="9">
        <v>8.0</v>
      </c>
      <c r="S155" s="9" t="s">
        <v>285</v>
      </c>
      <c r="T155" s="9" t="s">
        <v>285</v>
      </c>
    </row>
    <row r="156" ht="12.75" customHeight="1">
      <c r="A156" s="9" t="s">
        <v>408</v>
      </c>
      <c r="B156" s="9">
        <v>140.75</v>
      </c>
      <c r="C156" s="9">
        <v>38.73</v>
      </c>
      <c r="D156" s="9" t="s">
        <v>278</v>
      </c>
      <c r="E156" s="9" t="s">
        <v>272</v>
      </c>
      <c r="F156" s="9" t="s">
        <v>326</v>
      </c>
      <c r="G156" s="9" t="s">
        <v>295</v>
      </c>
      <c r="H156" s="9">
        <v>1450.0</v>
      </c>
      <c r="I156" s="9" t="s">
        <v>276</v>
      </c>
      <c r="J156" s="9">
        <v>0.25</v>
      </c>
      <c r="K156" s="9">
        <v>-0.0110193952496105</v>
      </c>
      <c r="L156" s="9">
        <v>0.00800200312405339</v>
      </c>
      <c r="M156" s="9">
        <v>7.3</v>
      </c>
      <c r="N156" s="9">
        <v>0.32</v>
      </c>
      <c r="O156" s="9">
        <v>16.0</v>
      </c>
      <c r="P156" s="9">
        <v>7.22</v>
      </c>
      <c r="Q156" s="9">
        <v>1.813</v>
      </c>
      <c r="R156" s="9">
        <v>8.0</v>
      </c>
      <c r="S156" s="9" t="s">
        <v>277</v>
      </c>
      <c r="T156" s="9" t="s">
        <v>285</v>
      </c>
    </row>
    <row r="157" ht="12.75" customHeight="1">
      <c r="A157" s="9" t="s">
        <v>408</v>
      </c>
      <c r="B157" s="9">
        <v>140.75</v>
      </c>
      <c r="C157" s="9">
        <v>38.73</v>
      </c>
      <c r="D157" s="9" t="s">
        <v>279</v>
      </c>
      <c r="E157" s="9" t="s">
        <v>272</v>
      </c>
      <c r="F157" s="9" t="s">
        <v>326</v>
      </c>
      <c r="G157" s="9" t="s">
        <v>295</v>
      </c>
      <c r="H157" s="9">
        <v>1450.0</v>
      </c>
      <c r="I157" s="9" t="s">
        <v>276</v>
      </c>
      <c r="J157" s="9">
        <v>0.25</v>
      </c>
      <c r="K157" s="9">
        <v>-0.105052776003143</v>
      </c>
      <c r="L157" s="9">
        <v>0.00792135327652564</v>
      </c>
      <c r="M157" s="9">
        <v>7.22</v>
      </c>
      <c r="N157" s="9">
        <v>1.813</v>
      </c>
      <c r="O157" s="9">
        <v>8.0</v>
      </c>
      <c r="P157" s="9">
        <v>6.5</v>
      </c>
      <c r="Q157" s="9">
        <v>0.2</v>
      </c>
      <c r="R157" s="9">
        <v>24.0</v>
      </c>
      <c r="S157" s="9" t="s">
        <v>285</v>
      </c>
      <c r="T157" s="9" t="s">
        <v>277</v>
      </c>
    </row>
    <row r="158" ht="12.75" customHeight="1">
      <c r="A158" s="9" t="s">
        <v>409</v>
      </c>
      <c r="B158" s="9">
        <v>22.905497</v>
      </c>
      <c r="C158" s="9">
        <v>39.119142</v>
      </c>
      <c r="D158" s="9" t="s">
        <v>288</v>
      </c>
      <c r="E158" s="9" t="s">
        <v>272</v>
      </c>
      <c r="F158" s="9" t="s">
        <v>283</v>
      </c>
      <c r="G158" s="9" t="s">
        <v>295</v>
      </c>
      <c r="H158" s="9" t="s">
        <v>311</v>
      </c>
      <c r="I158" s="9" t="s">
        <v>284</v>
      </c>
      <c r="J158" s="9">
        <v>0.25</v>
      </c>
      <c r="K158" s="9">
        <v>-0.545227050483323</v>
      </c>
      <c r="L158" s="9">
        <v>0.00913763758270321</v>
      </c>
      <c r="M158" s="9">
        <v>34.5</v>
      </c>
      <c r="N158" s="9">
        <v>3.51</v>
      </c>
      <c r="O158" s="9">
        <v>8.0</v>
      </c>
      <c r="P158" s="9">
        <v>20.0</v>
      </c>
      <c r="Q158" s="9">
        <v>5.01</v>
      </c>
      <c r="R158" s="9">
        <v>8.0</v>
      </c>
      <c r="S158" s="9" t="s">
        <v>277</v>
      </c>
      <c r="T158" s="9" t="s">
        <v>277</v>
      </c>
    </row>
    <row r="159" ht="12.75" customHeight="1">
      <c r="A159" s="9" t="s">
        <v>410</v>
      </c>
      <c r="B159" s="9">
        <v>22.905497</v>
      </c>
      <c r="C159" s="9">
        <v>39.119142</v>
      </c>
      <c r="D159" s="9" t="s">
        <v>288</v>
      </c>
      <c r="E159" s="9" t="s">
        <v>272</v>
      </c>
      <c r="F159" s="9" t="s">
        <v>283</v>
      </c>
      <c r="G159" s="9" t="s">
        <v>295</v>
      </c>
      <c r="H159" s="9" t="s">
        <v>311</v>
      </c>
      <c r="I159" s="9" t="s">
        <v>284</v>
      </c>
      <c r="J159" s="9">
        <v>100.0</v>
      </c>
      <c r="K159" s="9">
        <v>0.148420005118273</v>
      </c>
      <c r="L159" s="9">
        <v>0.00394560047562426</v>
      </c>
      <c r="M159" s="9">
        <v>12.5</v>
      </c>
      <c r="N159" s="9">
        <v>0.5</v>
      </c>
      <c r="O159" s="9">
        <v>8.0</v>
      </c>
      <c r="P159" s="9">
        <v>14.5</v>
      </c>
      <c r="Q159" s="9">
        <v>2.51</v>
      </c>
      <c r="R159" s="9">
        <v>8.0</v>
      </c>
      <c r="S159" s="9" t="s">
        <v>277</v>
      </c>
      <c r="T159" s="9" t="s">
        <v>277</v>
      </c>
    </row>
    <row r="160" ht="12.75" customHeight="1">
      <c r="A160" s="9" t="s">
        <v>411</v>
      </c>
      <c r="B160" s="9">
        <v>22.905497</v>
      </c>
      <c r="C160" s="9">
        <v>39.119142</v>
      </c>
      <c r="D160" s="9" t="s">
        <v>288</v>
      </c>
      <c r="E160" s="9" t="s">
        <v>282</v>
      </c>
      <c r="F160" s="9" t="s">
        <v>283</v>
      </c>
      <c r="G160" s="9" t="s">
        <v>295</v>
      </c>
      <c r="H160" s="9" t="s">
        <v>311</v>
      </c>
      <c r="I160" s="9" t="s">
        <v>284</v>
      </c>
      <c r="J160" s="9">
        <v>62831.84</v>
      </c>
      <c r="K160" s="9">
        <v>-0.405465108108164</v>
      </c>
      <c r="L160" s="9">
        <v>0.0165589361111111</v>
      </c>
      <c r="M160" s="9">
        <v>3.0</v>
      </c>
      <c r="N160" s="9">
        <v>1.242</v>
      </c>
      <c r="O160" s="9">
        <v>60.0</v>
      </c>
      <c r="P160" s="9">
        <v>2.0</v>
      </c>
      <c r="Q160" s="9">
        <v>2.221</v>
      </c>
      <c r="R160" s="9">
        <v>90.0</v>
      </c>
      <c r="S160" s="9" t="s">
        <v>285</v>
      </c>
      <c r="T160" s="9" t="s">
        <v>285</v>
      </c>
    </row>
    <row r="161" ht="12.75" customHeight="1">
      <c r="A161" s="9" t="s">
        <v>412</v>
      </c>
      <c r="B161" s="9">
        <v>22.905497</v>
      </c>
      <c r="C161" s="9">
        <v>39.119142</v>
      </c>
      <c r="D161" s="9" t="s">
        <v>288</v>
      </c>
      <c r="E161" s="9" t="s">
        <v>282</v>
      </c>
      <c r="F161" s="9" t="s">
        <v>283</v>
      </c>
      <c r="G161" s="9" t="s">
        <v>295</v>
      </c>
      <c r="H161" s="9" t="s">
        <v>311</v>
      </c>
      <c r="I161" s="9" t="s">
        <v>284</v>
      </c>
      <c r="J161" s="9">
        <v>62831.84</v>
      </c>
      <c r="K161" s="9">
        <v>0.182321556793955</v>
      </c>
      <c r="L161" s="9">
        <v>0.00661084649382716</v>
      </c>
      <c r="M161" s="9">
        <v>5.0</v>
      </c>
      <c r="N161" s="9">
        <v>2.423</v>
      </c>
      <c r="O161" s="9">
        <v>60.0</v>
      </c>
      <c r="P161" s="9">
        <v>6.0</v>
      </c>
      <c r="Q161" s="9">
        <v>2.956</v>
      </c>
      <c r="R161" s="9">
        <v>90.0</v>
      </c>
      <c r="S161" s="9" t="s">
        <v>285</v>
      </c>
      <c r="T161" s="9" t="s">
        <v>285</v>
      </c>
    </row>
    <row r="162" ht="12.75" customHeight="1">
      <c r="A162" s="9" t="s">
        <v>413</v>
      </c>
      <c r="B162" s="9">
        <v>22.905497</v>
      </c>
      <c r="C162" s="9">
        <v>39.119142</v>
      </c>
      <c r="D162" s="9" t="s">
        <v>288</v>
      </c>
      <c r="E162" s="9" t="s">
        <v>282</v>
      </c>
      <c r="F162" s="9" t="s">
        <v>283</v>
      </c>
      <c r="G162" s="9" t="s">
        <v>295</v>
      </c>
      <c r="H162" s="9" t="s">
        <v>311</v>
      </c>
      <c r="I162" s="9" t="s">
        <v>284</v>
      </c>
      <c r="J162" s="9">
        <v>62831.84</v>
      </c>
      <c r="K162" s="9">
        <v>0.0</v>
      </c>
      <c r="L162" s="9">
        <v>0.00180384958902722</v>
      </c>
      <c r="M162" s="9">
        <v>11.0</v>
      </c>
      <c r="N162" s="9">
        <v>2.68</v>
      </c>
      <c r="O162" s="9">
        <v>60.0</v>
      </c>
      <c r="P162" s="9">
        <v>11.0</v>
      </c>
      <c r="Q162" s="9">
        <v>2.9783085845</v>
      </c>
      <c r="R162" s="9">
        <v>90.0</v>
      </c>
      <c r="S162" s="9" t="s">
        <v>285</v>
      </c>
      <c r="T162" s="9" t="s">
        <v>285</v>
      </c>
    </row>
    <row r="163" ht="12.75" customHeight="1">
      <c r="A163" s="9" t="s">
        <v>414</v>
      </c>
      <c r="B163" s="9">
        <v>22.905497</v>
      </c>
      <c r="C163" s="9">
        <v>39.119142</v>
      </c>
      <c r="D163" s="9" t="s">
        <v>288</v>
      </c>
      <c r="E163" s="9" t="s">
        <v>272</v>
      </c>
      <c r="F163" s="9" t="s">
        <v>283</v>
      </c>
      <c r="G163" s="9" t="s">
        <v>295</v>
      </c>
      <c r="H163" s="9" t="s">
        <v>311</v>
      </c>
      <c r="I163" s="9" t="s">
        <v>284</v>
      </c>
      <c r="J163" s="9">
        <v>0.25</v>
      </c>
      <c r="K163" s="9">
        <v>-0.545227050483323</v>
      </c>
      <c r="L163" s="9">
        <v>0.00913763758270321</v>
      </c>
      <c r="M163" s="9">
        <v>34.5</v>
      </c>
      <c r="N163" s="9">
        <v>3.51</v>
      </c>
      <c r="O163" s="9">
        <v>8.0</v>
      </c>
      <c r="P163" s="9">
        <v>20.0</v>
      </c>
      <c r="Q163" s="9">
        <v>5.01</v>
      </c>
      <c r="R163" s="9">
        <v>8.0</v>
      </c>
      <c r="S163" s="9" t="s">
        <v>277</v>
      </c>
      <c r="T163" s="9" t="s">
        <v>277</v>
      </c>
    </row>
    <row r="164" ht="12.75" customHeight="1">
      <c r="A164" s="9" t="s">
        <v>415</v>
      </c>
      <c r="B164" s="9">
        <v>22.905497</v>
      </c>
      <c r="C164" s="9">
        <v>39.119142</v>
      </c>
      <c r="D164" s="9" t="s">
        <v>288</v>
      </c>
      <c r="E164" s="9" t="s">
        <v>272</v>
      </c>
      <c r="F164" s="9" t="s">
        <v>283</v>
      </c>
      <c r="G164" s="9" t="s">
        <v>295</v>
      </c>
      <c r="H164" s="9" t="s">
        <v>311</v>
      </c>
      <c r="I164" s="9" t="s">
        <v>284</v>
      </c>
      <c r="J164" s="9">
        <v>100.0</v>
      </c>
      <c r="K164" s="9">
        <v>0.148420005118273</v>
      </c>
      <c r="L164" s="9">
        <v>0.00394560047562426</v>
      </c>
      <c r="M164" s="9">
        <v>12.5</v>
      </c>
      <c r="N164" s="9">
        <v>0.5</v>
      </c>
      <c r="O164" s="9">
        <v>8.0</v>
      </c>
      <c r="P164" s="9">
        <v>14.5</v>
      </c>
      <c r="Q164" s="9">
        <v>2.51</v>
      </c>
      <c r="R164" s="9">
        <v>8.0</v>
      </c>
      <c r="S164" s="9" t="s">
        <v>277</v>
      </c>
      <c r="T164" s="9" t="s">
        <v>277</v>
      </c>
    </row>
    <row r="165" ht="12.75" customHeight="1">
      <c r="A165" s="9" t="s">
        <v>416</v>
      </c>
      <c r="B165" s="9">
        <v>22.905497</v>
      </c>
      <c r="C165" s="9">
        <v>39.119142</v>
      </c>
      <c r="D165" s="9" t="s">
        <v>288</v>
      </c>
      <c r="E165" s="9" t="s">
        <v>282</v>
      </c>
      <c r="F165" s="9" t="s">
        <v>283</v>
      </c>
      <c r="G165" s="9" t="s">
        <v>295</v>
      </c>
      <c r="H165" s="9" t="s">
        <v>311</v>
      </c>
      <c r="I165" s="9" t="s">
        <v>284</v>
      </c>
      <c r="J165" s="9">
        <v>62831.84</v>
      </c>
      <c r="K165" s="9">
        <v>-0.405465108108164</v>
      </c>
      <c r="L165" s="9">
        <v>0.0165589361111111</v>
      </c>
      <c r="M165" s="9">
        <v>3.0</v>
      </c>
      <c r="N165" s="9">
        <v>1.242</v>
      </c>
      <c r="O165" s="9">
        <v>60.0</v>
      </c>
      <c r="P165" s="9">
        <v>2.0</v>
      </c>
      <c r="Q165" s="9">
        <v>2.221</v>
      </c>
      <c r="R165" s="9">
        <v>90.0</v>
      </c>
      <c r="S165" s="9" t="s">
        <v>285</v>
      </c>
      <c r="T165" s="9" t="s">
        <v>285</v>
      </c>
    </row>
    <row r="166" ht="12.75" customHeight="1">
      <c r="A166" s="9" t="s">
        <v>417</v>
      </c>
      <c r="B166" s="9">
        <v>22.905497</v>
      </c>
      <c r="C166" s="9">
        <v>39.119142</v>
      </c>
      <c r="D166" s="9" t="s">
        <v>288</v>
      </c>
      <c r="E166" s="9" t="s">
        <v>282</v>
      </c>
      <c r="F166" s="9" t="s">
        <v>283</v>
      </c>
      <c r="G166" s="9" t="s">
        <v>295</v>
      </c>
      <c r="H166" s="9" t="s">
        <v>311</v>
      </c>
      <c r="I166" s="9" t="s">
        <v>284</v>
      </c>
      <c r="J166" s="9">
        <v>62831.84</v>
      </c>
      <c r="K166" s="9">
        <v>0.182321556793955</v>
      </c>
      <c r="L166" s="9">
        <v>0.00661084649382716</v>
      </c>
      <c r="M166" s="9">
        <v>5.0</v>
      </c>
      <c r="N166" s="9">
        <v>2.423</v>
      </c>
      <c r="O166" s="9">
        <v>60.0</v>
      </c>
      <c r="P166" s="9">
        <v>6.0</v>
      </c>
      <c r="Q166" s="9">
        <v>2.956</v>
      </c>
      <c r="R166" s="9">
        <v>90.0</v>
      </c>
      <c r="S166" s="9" t="s">
        <v>285</v>
      </c>
      <c r="T166" s="9" t="s">
        <v>285</v>
      </c>
    </row>
    <row r="167" ht="12.75" customHeight="1">
      <c r="A167" s="9" t="s">
        <v>418</v>
      </c>
      <c r="B167" s="9">
        <v>22.905497</v>
      </c>
      <c r="C167" s="9">
        <v>39.119142</v>
      </c>
      <c r="D167" s="9" t="s">
        <v>288</v>
      </c>
      <c r="E167" s="9" t="s">
        <v>282</v>
      </c>
      <c r="F167" s="9" t="s">
        <v>283</v>
      </c>
      <c r="G167" s="9" t="s">
        <v>295</v>
      </c>
      <c r="H167" s="9" t="s">
        <v>311</v>
      </c>
      <c r="I167" s="9" t="s">
        <v>284</v>
      </c>
      <c r="J167" s="9">
        <v>62831.84</v>
      </c>
      <c r="K167" s="9">
        <v>0.0</v>
      </c>
      <c r="L167" s="9">
        <v>0.00180384958902722</v>
      </c>
      <c r="M167" s="9">
        <v>11.0</v>
      </c>
      <c r="N167" s="9">
        <v>2.68</v>
      </c>
      <c r="O167" s="9">
        <v>60.0</v>
      </c>
      <c r="P167" s="9">
        <v>11.0</v>
      </c>
      <c r="Q167" s="9">
        <v>2.9783085845</v>
      </c>
      <c r="R167" s="9">
        <v>90.0</v>
      </c>
      <c r="S167" s="9" t="s">
        <v>285</v>
      </c>
      <c r="T167" s="9" t="s">
        <v>285</v>
      </c>
    </row>
    <row r="168" ht="12.75" customHeight="1">
      <c r="A168" s="9" t="s">
        <v>419</v>
      </c>
      <c r="B168" s="9">
        <v>25.179199</v>
      </c>
      <c r="C168" s="9">
        <v>47.369793</v>
      </c>
      <c r="D168" s="9" t="s">
        <v>271</v>
      </c>
      <c r="E168" s="9" t="s">
        <v>272</v>
      </c>
      <c r="F168" s="9" t="s">
        <v>326</v>
      </c>
      <c r="G168" s="9" t="s">
        <v>274</v>
      </c>
      <c r="H168" s="9">
        <v>1450.0</v>
      </c>
      <c r="I168" s="9" t="s">
        <v>276</v>
      </c>
      <c r="J168" s="9">
        <v>80.0</v>
      </c>
      <c r="K168" s="9">
        <v>-0.175890666463664</v>
      </c>
      <c r="L168" s="9">
        <v>0.0351282609492085</v>
      </c>
      <c r="M168" s="9">
        <v>31.0</v>
      </c>
      <c r="N168" s="9">
        <v>4.832</v>
      </c>
      <c r="O168" s="9">
        <v>2.0</v>
      </c>
      <c r="P168" s="9">
        <v>26.0</v>
      </c>
      <c r="Q168" s="9">
        <v>5.574</v>
      </c>
      <c r="R168" s="9">
        <v>2.0</v>
      </c>
      <c r="S168" s="9" t="s">
        <v>285</v>
      </c>
      <c r="T168" s="9" t="s">
        <v>285</v>
      </c>
    </row>
    <row r="169" ht="12.75" customHeight="1">
      <c r="A169" s="9" t="s">
        <v>419</v>
      </c>
      <c r="B169" s="9">
        <v>25.179199</v>
      </c>
      <c r="C169" s="9">
        <v>47.369793</v>
      </c>
      <c r="D169" s="9" t="s">
        <v>278</v>
      </c>
      <c r="E169" s="9" t="s">
        <v>272</v>
      </c>
      <c r="F169" s="9" t="s">
        <v>326</v>
      </c>
      <c r="G169" s="9" t="s">
        <v>274</v>
      </c>
      <c r="H169" s="9">
        <v>1450.0</v>
      </c>
      <c r="I169" s="9" t="s">
        <v>276</v>
      </c>
      <c r="J169" s="9">
        <v>80.0</v>
      </c>
      <c r="K169" s="9">
        <v>0.414681763213088</v>
      </c>
      <c r="L169" s="9">
        <v>0.0486362556231807</v>
      </c>
      <c r="M169" s="9">
        <v>18.0</v>
      </c>
      <c r="N169" s="9">
        <v>5.5645365845</v>
      </c>
      <c r="O169" s="9">
        <v>2.0</v>
      </c>
      <c r="P169" s="9">
        <v>27.25</v>
      </c>
      <c r="Q169" s="9">
        <v>2.25</v>
      </c>
      <c r="R169" s="9">
        <v>8.0</v>
      </c>
      <c r="S169" s="9" t="s">
        <v>285</v>
      </c>
      <c r="T169" s="9" t="s">
        <v>277</v>
      </c>
    </row>
    <row r="170" ht="12.75" customHeight="1">
      <c r="A170" s="9" t="s">
        <v>420</v>
      </c>
      <c r="B170" s="9">
        <v>-8.635</v>
      </c>
      <c r="C170" s="9">
        <v>41.424</v>
      </c>
      <c r="D170" s="9" t="s">
        <v>271</v>
      </c>
      <c r="E170" s="9" t="s">
        <v>272</v>
      </c>
      <c r="F170" s="9" t="s">
        <v>273</v>
      </c>
      <c r="G170" s="9" t="s">
        <v>295</v>
      </c>
      <c r="H170" s="9" t="s">
        <v>311</v>
      </c>
      <c r="I170" s="9" t="s">
        <v>284</v>
      </c>
      <c r="J170" s="9">
        <v>100.0</v>
      </c>
      <c r="K170" s="9">
        <v>-0.167235919375914</v>
      </c>
      <c r="L170" s="9">
        <v>0.0717976316966291</v>
      </c>
      <c r="M170" s="9">
        <v>5.0</v>
      </c>
      <c r="N170" s="9">
        <v>3.12</v>
      </c>
      <c r="O170" s="9">
        <v>8.0</v>
      </c>
      <c r="P170" s="9">
        <v>4.23</v>
      </c>
      <c r="Q170" s="9">
        <v>3.28</v>
      </c>
      <c r="R170" s="9">
        <v>26.0</v>
      </c>
      <c r="S170" s="9" t="s">
        <v>277</v>
      </c>
      <c r="T170" s="9" t="s">
        <v>277</v>
      </c>
    </row>
    <row r="171" ht="12.75" customHeight="1">
      <c r="A171" s="9" t="s">
        <v>420</v>
      </c>
      <c r="B171" s="9">
        <v>-8.635</v>
      </c>
      <c r="C171" s="9">
        <v>41.424</v>
      </c>
      <c r="D171" s="9" t="s">
        <v>279</v>
      </c>
      <c r="E171" s="9" t="s">
        <v>272</v>
      </c>
      <c r="F171" s="9" t="s">
        <v>273</v>
      </c>
      <c r="G171" s="9" t="s">
        <v>295</v>
      </c>
      <c r="H171" s="9" t="s">
        <v>311</v>
      </c>
      <c r="I171" s="9" t="s">
        <v>284</v>
      </c>
      <c r="J171" s="9">
        <v>100.0</v>
      </c>
      <c r="K171" s="9">
        <v>0.338833665573702</v>
      </c>
      <c r="L171" s="9">
        <v>0.0260725731868601</v>
      </c>
      <c r="M171" s="9">
        <v>4.411</v>
      </c>
      <c r="N171" s="9">
        <v>3.19</v>
      </c>
      <c r="O171" s="9">
        <v>34.0</v>
      </c>
      <c r="P171" s="9">
        <v>6.19</v>
      </c>
      <c r="Q171" s="9">
        <v>2.56</v>
      </c>
      <c r="R171" s="9">
        <v>16.0</v>
      </c>
      <c r="S171" s="9" t="s">
        <v>277</v>
      </c>
      <c r="T171" s="9" t="s">
        <v>277</v>
      </c>
    </row>
    <row r="172" ht="12.75" customHeight="1">
      <c r="A172" s="9" t="s">
        <v>421</v>
      </c>
      <c r="B172" s="9">
        <v>12.666667</v>
      </c>
      <c r="C172" s="9">
        <v>42.433333</v>
      </c>
      <c r="D172" s="9" t="s">
        <v>288</v>
      </c>
      <c r="E172" s="9" t="s">
        <v>272</v>
      </c>
      <c r="F172" s="9" t="s">
        <v>283</v>
      </c>
      <c r="G172" s="9" t="s">
        <v>295</v>
      </c>
      <c r="H172" s="9" t="s">
        <v>311</v>
      </c>
      <c r="I172" s="9" t="s">
        <v>284</v>
      </c>
      <c r="J172" s="9">
        <v>35.0</v>
      </c>
      <c r="K172" s="9">
        <v>0.0563529365511316</v>
      </c>
      <c r="L172" s="9">
        <v>0.0431345892148482</v>
      </c>
      <c r="M172" s="9">
        <v>6.9</v>
      </c>
      <c r="N172" s="9">
        <v>1.955</v>
      </c>
      <c r="O172" s="9">
        <v>3.0</v>
      </c>
      <c r="P172" s="9">
        <v>7.3</v>
      </c>
      <c r="Q172" s="9">
        <v>1.618</v>
      </c>
      <c r="R172" s="9">
        <v>3.0</v>
      </c>
      <c r="S172" s="9" t="s">
        <v>285</v>
      </c>
      <c r="T172" s="9" t="s">
        <v>285</v>
      </c>
    </row>
    <row r="173" ht="12.75" customHeight="1">
      <c r="A173" s="9" t="s">
        <v>422</v>
      </c>
      <c r="B173" s="9">
        <v>115.940049</v>
      </c>
      <c r="C173" s="9">
        <v>28.560383</v>
      </c>
      <c r="D173" s="9" t="s">
        <v>288</v>
      </c>
      <c r="E173" s="9" t="s">
        <v>272</v>
      </c>
      <c r="F173" s="9" t="s">
        <v>283</v>
      </c>
      <c r="G173" s="9" t="s">
        <v>295</v>
      </c>
      <c r="H173" s="9" t="s">
        <v>311</v>
      </c>
      <c r="I173" s="9" t="s">
        <v>284</v>
      </c>
      <c r="J173" s="9">
        <v>20.0</v>
      </c>
      <c r="K173" s="9">
        <v>-0.53766227771955</v>
      </c>
      <c r="L173" s="9">
        <v>0.0881409871022214</v>
      </c>
      <c r="M173" s="9">
        <v>8.56</v>
      </c>
      <c r="N173" s="9">
        <v>5.64</v>
      </c>
      <c r="O173" s="9">
        <v>9.0</v>
      </c>
      <c r="P173" s="9">
        <v>5.0</v>
      </c>
      <c r="Q173" s="9">
        <v>1.73</v>
      </c>
      <c r="R173" s="9">
        <v>3.0</v>
      </c>
      <c r="S173" s="9" t="s">
        <v>277</v>
      </c>
      <c r="T173" s="9" t="s">
        <v>277</v>
      </c>
    </row>
    <row r="174" ht="12.75" customHeight="1">
      <c r="A174" s="9" t="s">
        <v>422</v>
      </c>
      <c r="B174" s="9">
        <v>115.940049</v>
      </c>
      <c r="C174" s="9">
        <v>28.560383</v>
      </c>
      <c r="D174" s="9" t="s">
        <v>298</v>
      </c>
      <c r="E174" s="9" t="s">
        <v>272</v>
      </c>
      <c r="F174" s="9" t="s">
        <v>283</v>
      </c>
      <c r="G174" s="9" t="s">
        <v>295</v>
      </c>
      <c r="H174" s="9" t="s">
        <v>311</v>
      </c>
      <c r="I174" s="9" t="s">
        <v>284</v>
      </c>
      <c r="J174" s="9">
        <v>20.0</v>
      </c>
      <c r="K174" s="9">
        <v>-0.265268477614881</v>
      </c>
      <c r="L174" s="9">
        <v>0.0974894433863855</v>
      </c>
      <c r="M174" s="9">
        <v>10.0</v>
      </c>
      <c r="N174" s="9">
        <v>1.73</v>
      </c>
      <c r="O174" s="9">
        <v>3.0</v>
      </c>
      <c r="P174" s="9">
        <v>7.67</v>
      </c>
      <c r="Q174" s="9">
        <v>7.86</v>
      </c>
      <c r="R174" s="9">
        <v>12.0</v>
      </c>
      <c r="S174" s="9" t="s">
        <v>277</v>
      </c>
      <c r="T174" s="9" t="s">
        <v>277</v>
      </c>
    </row>
    <row r="175" ht="12.75" customHeight="1">
      <c r="A175" s="9" t="s">
        <v>423</v>
      </c>
      <c r="B175" s="9">
        <v>117.682928</v>
      </c>
      <c r="C175" s="9">
        <v>5.021463</v>
      </c>
      <c r="D175" s="9" t="s">
        <v>278</v>
      </c>
      <c r="E175" s="9" t="s">
        <v>282</v>
      </c>
      <c r="F175" s="9" t="s">
        <v>273</v>
      </c>
      <c r="G175" s="9" t="s">
        <v>293</v>
      </c>
      <c r="H175" s="9" t="s">
        <v>275</v>
      </c>
      <c r="I175" s="9" t="s">
        <v>284</v>
      </c>
      <c r="J175" s="9" t="s">
        <v>377</v>
      </c>
      <c r="K175" s="9">
        <v>0.0143887374520995</v>
      </c>
      <c r="L175" s="9">
        <v>0.00258825962647189</v>
      </c>
      <c r="M175" s="9">
        <v>27.6</v>
      </c>
      <c r="N175" s="9">
        <v>9.0</v>
      </c>
      <c r="O175" s="9">
        <v>81.0</v>
      </c>
      <c r="P175" s="9">
        <v>28.0</v>
      </c>
      <c r="Q175" s="9">
        <v>9.0</v>
      </c>
      <c r="R175" s="9">
        <v>81.0</v>
      </c>
      <c r="S175" s="9" t="s">
        <v>277</v>
      </c>
      <c r="T175" s="9" t="s">
        <v>277</v>
      </c>
    </row>
    <row r="176" ht="12.75" customHeight="1">
      <c r="A176" s="9" t="s">
        <v>424</v>
      </c>
      <c r="B176" s="9">
        <v>117.682928</v>
      </c>
      <c r="C176" s="9">
        <v>5.021463</v>
      </c>
      <c r="D176" s="9" t="s">
        <v>278</v>
      </c>
      <c r="E176" s="9" t="s">
        <v>289</v>
      </c>
      <c r="F176" s="9" t="s">
        <v>273</v>
      </c>
      <c r="G176" s="9" t="s">
        <v>293</v>
      </c>
      <c r="H176" s="9" t="s">
        <v>275</v>
      </c>
      <c r="I176" s="9" t="s">
        <v>284</v>
      </c>
      <c r="J176" s="9">
        <v>1.0</v>
      </c>
      <c r="K176" s="9">
        <v>-0.0899482366629395</v>
      </c>
      <c r="L176" s="9">
        <v>0.00634926359354417</v>
      </c>
      <c r="M176" s="9">
        <v>18.6</v>
      </c>
      <c r="N176" s="9">
        <v>6.48</v>
      </c>
      <c r="O176" s="9">
        <v>42.0</v>
      </c>
      <c r="P176" s="9">
        <v>17.0</v>
      </c>
      <c r="Q176" s="9">
        <v>6.48</v>
      </c>
      <c r="R176" s="9">
        <v>42.0</v>
      </c>
      <c r="S176" s="9" t="s">
        <v>277</v>
      </c>
      <c r="T176" s="9" t="s">
        <v>277</v>
      </c>
    </row>
    <row r="177" ht="12.75" customHeight="1">
      <c r="A177" s="9" t="s">
        <v>425</v>
      </c>
      <c r="B177" s="9">
        <v>117.682928</v>
      </c>
      <c r="C177" s="9">
        <v>5.021463</v>
      </c>
      <c r="D177" s="9" t="s">
        <v>278</v>
      </c>
      <c r="E177" s="9" t="s">
        <v>289</v>
      </c>
      <c r="F177" s="9" t="s">
        <v>273</v>
      </c>
      <c r="G177" s="9" t="s">
        <v>293</v>
      </c>
      <c r="H177" s="9" t="s">
        <v>275</v>
      </c>
      <c r="I177" s="9" t="s">
        <v>284</v>
      </c>
      <c r="J177" s="9" t="s">
        <v>377</v>
      </c>
      <c r="K177" s="9">
        <v>-0.0361796565775024</v>
      </c>
      <c r="L177" s="9">
        <v>0.00534169879812697</v>
      </c>
      <c r="M177" s="9">
        <v>19.7</v>
      </c>
      <c r="N177" s="9">
        <v>4.47</v>
      </c>
      <c r="O177" s="9">
        <v>20.0</v>
      </c>
      <c r="P177" s="9">
        <v>19.0</v>
      </c>
      <c r="Q177" s="9">
        <v>4.47</v>
      </c>
      <c r="R177" s="9">
        <v>20.0</v>
      </c>
      <c r="S177" s="9" t="s">
        <v>277</v>
      </c>
      <c r="T177" s="9" t="s">
        <v>277</v>
      </c>
    </row>
    <row r="178" ht="12.75" customHeight="1">
      <c r="A178" s="9" t="s">
        <v>426</v>
      </c>
      <c r="B178" s="9">
        <v>-122.4175</v>
      </c>
      <c r="C178" s="9">
        <v>38.8175</v>
      </c>
      <c r="D178" s="9" t="s">
        <v>279</v>
      </c>
      <c r="E178" s="9" t="s">
        <v>289</v>
      </c>
      <c r="F178" s="9" t="s">
        <v>283</v>
      </c>
      <c r="G178" s="9" t="s">
        <v>295</v>
      </c>
      <c r="H178" s="9" t="s">
        <v>311</v>
      </c>
      <c r="I178" s="9" t="s">
        <v>284</v>
      </c>
      <c r="J178" s="9">
        <v>1.0</v>
      </c>
      <c r="K178" s="9">
        <v>-0.0344861760711693</v>
      </c>
      <c r="L178" s="9">
        <v>0.00952874639614655</v>
      </c>
      <c r="M178" s="9">
        <v>5.9</v>
      </c>
      <c r="N178" s="9">
        <v>4.24</v>
      </c>
      <c r="O178" s="9">
        <v>80.0</v>
      </c>
      <c r="P178" s="9">
        <v>5.7</v>
      </c>
      <c r="Q178" s="9">
        <v>3.87</v>
      </c>
      <c r="R178" s="9">
        <v>150.0</v>
      </c>
      <c r="S178" s="9" t="s">
        <v>277</v>
      </c>
      <c r="T178" s="9" t="s">
        <v>277</v>
      </c>
    </row>
    <row r="179" ht="12.75" customHeight="1">
      <c r="A179" s="9" t="s">
        <v>427</v>
      </c>
      <c r="B179" s="9">
        <v>14.15</v>
      </c>
      <c r="C179" s="9">
        <v>57.0</v>
      </c>
      <c r="D179" s="9" t="s">
        <v>279</v>
      </c>
      <c r="E179" s="9" t="s">
        <v>282</v>
      </c>
      <c r="F179" s="9" t="s">
        <v>273</v>
      </c>
      <c r="G179" s="9" t="s">
        <v>295</v>
      </c>
      <c r="H179" s="9" t="s">
        <v>311</v>
      </c>
      <c r="I179" s="9" t="s">
        <v>284</v>
      </c>
      <c r="J179" s="9">
        <v>30.0</v>
      </c>
      <c r="K179" s="9">
        <v>0.315391928710482</v>
      </c>
      <c r="L179" s="9">
        <v>0.0321151610432273</v>
      </c>
      <c r="M179" s="9">
        <v>11.3</v>
      </c>
      <c r="N179" s="9">
        <v>1.2</v>
      </c>
      <c r="O179" s="9">
        <v>12.0</v>
      </c>
      <c r="P179" s="9">
        <v>15.49</v>
      </c>
      <c r="Q179" s="9">
        <v>5.47</v>
      </c>
      <c r="R179" s="9">
        <v>4.0</v>
      </c>
      <c r="S179" s="9" t="s">
        <v>277</v>
      </c>
      <c r="T179" s="9" t="s">
        <v>277</v>
      </c>
    </row>
    <row r="180" ht="12.75" customHeight="1">
      <c r="A180" s="9" t="s">
        <v>428</v>
      </c>
      <c r="B180" s="9">
        <v>-16.405556</v>
      </c>
      <c r="C180" s="9">
        <v>28.414444</v>
      </c>
      <c r="D180" s="9" t="s">
        <v>278</v>
      </c>
      <c r="E180" s="9" t="s">
        <v>272</v>
      </c>
      <c r="F180" s="9" t="s">
        <v>273</v>
      </c>
      <c r="G180" s="9" t="s">
        <v>295</v>
      </c>
      <c r="H180" s="9">
        <v>1450.0</v>
      </c>
      <c r="I180" s="9" t="s">
        <v>284</v>
      </c>
      <c r="J180" s="9">
        <v>400.0</v>
      </c>
      <c r="K180" s="9">
        <v>0.862643430061864</v>
      </c>
      <c r="L180" s="9">
        <v>0.140223064458784</v>
      </c>
      <c r="M180" s="9">
        <v>5.82</v>
      </c>
      <c r="N180" s="9">
        <v>5.11</v>
      </c>
      <c r="O180" s="9">
        <v>6.0</v>
      </c>
      <c r="P180" s="9">
        <v>13.79</v>
      </c>
      <c r="Q180" s="9">
        <v>3.66</v>
      </c>
      <c r="R180" s="9">
        <v>6.0</v>
      </c>
      <c r="S180" s="9" t="s">
        <v>277</v>
      </c>
      <c r="T180" s="9" t="s">
        <v>277</v>
      </c>
    </row>
    <row r="181" ht="12.75" customHeight="1">
      <c r="A181" s="9" t="s">
        <v>429</v>
      </c>
      <c r="B181" s="9">
        <v>117.333333</v>
      </c>
      <c r="C181" s="9">
        <v>5.333333</v>
      </c>
      <c r="D181" s="9" t="s">
        <v>278</v>
      </c>
      <c r="E181" s="9" t="s">
        <v>272</v>
      </c>
      <c r="F181" s="9" t="s">
        <v>273</v>
      </c>
      <c r="G181" s="9" t="s">
        <v>293</v>
      </c>
      <c r="H181" s="9" t="s">
        <v>275</v>
      </c>
      <c r="I181" s="9" t="s">
        <v>276</v>
      </c>
      <c r="J181" s="9">
        <v>0.2</v>
      </c>
      <c r="K181" s="9">
        <v>-0.704532502785071</v>
      </c>
      <c r="L181" s="9">
        <v>0.0130364591239462</v>
      </c>
      <c r="M181" s="9">
        <v>79.5</v>
      </c>
      <c r="N181" s="9">
        <v>10.3</v>
      </c>
      <c r="O181" s="9">
        <v>4.0</v>
      </c>
      <c r="P181" s="9">
        <v>39.3</v>
      </c>
      <c r="Q181" s="9">
        <v>6.4</v>
      </c>
      <c r="R181" s="9">
        <v>3.0</v>
      </c>
      <c r="S181" s="9" t="s">
        <v>277</v>
      </c>
      <c r="T181" s="9" t="s">
        <v>277</v>
      </c>
    </row>
    <row r="182" ht="12.75" customHeight="1">
      <c r="A182" s="9" t="s">
        <v>430</v>
      </c>
      <c r="B182" s="9">
        <v>-63.69386</v>
      </c>
      <c r="C182" s="9">
        <v>-22.750447</v>
      </c>
      <c r="D182" s="9" t="s">
        <v>292</v>
      </c>
      <c r="E182" s="9" t="s">
        <v>282</v>
      </c>
      <c r="F182" s="9" t="s">
        <v>326</v>
      </c>
      <c r="G182" s="9" t="s">
        <v>295</v>
      </c>
      <c r="H182" s="9" t="s">
        <v>296</v>
      </c>
      <c r="I182" s="9" t="s">
        <v>284</v>
      </c>
      <c r="J182" s="9">
        <v>1963.5</v>
      </c>
      <c r="K182" s="9">
        <v>0.196710294246054</v>
      </c>
      <c r="L182" s="9">
        <v>0.0249076406149822</v>
      </c>
      <c r="M182" s="9">
        <v>2.3</v>
      </c>
      <c r="N182" s="9">
        <v>1.8</v>
      </c>
      <c r="O182" s="9">
        <v>48.0</v>
      </c>
      <c r="P182" s="9">
        <v>2.8</v>
      </c>
      <c r="Q182" s="9">
        <v>2.0</v>
      </c>
      <c r="R182" s="9">
        <v>42.0</v>
      </c>
      <c r="S182" s="9" t="s">
        <v>277</v>
      </c>
      <c r="T182" s="9" t="s">
        <v>277</v>
      </c>
    </row>
    <row r="183" ht="12.75" customHeight="1">
      <c r="A183" s="9" t="s">
        <v>430</v>
      </c>
      <c r="B183" s="9">
        <v>-63.69386</v>
      </c>
      <c r="C183" s="9">
        <v>-22.750447</v>
      </c>
      <c r="D183" s="9" t="s">
        <v>278</v>
      </c>
      <c r="E183" s="9" t="s">
        <v>282</v>
      </c>
      <c r="F183" s="9" t="s">
        <v>326</v>
      </c>
      <c r="G183" s="9" t="s">
        <v>295</v>
      </c>
      <c r="H183" s="9" t="s">
        <v>296</v>
      </c>
      <c r="I183" s="9" t="s">
        <v>284</v>
      </c>
      <c r="J183" s="9">
        <v>1963.5</v>
      </c>
      <c r="K183" s="9">
        <v>0.406781763992911</v>
      </c>
      <c r="L183" s="9">
        <v>0.0121759905060288</v>
      </c>
      <c r="M183" s="9">
        <v>2.53</v>
      </c>
      <c r="N183" s="9">
        <v>1.9</v>
      </c>
      <c r="O183" s="9">
        <v>90.0</v>
      </c>
      <c r="P183" s="9">
        <v>3.8</v>
      </c>
      <c r="Q183" s="9">
        <v>1.6</v>
      </c>
      <c r="R183" s="9">
        <v>30.0</v>
      </c>
      <c r="S183" s="9" t="s">
        <v>277</v>
      </c>
      <c r="T183" s="9" t="s">
        <v>277</v>
      </c>
    </row>
    <row r="184" ht="12.75" customHeight="1">
      <c r="A184" s="9" t="s">
        <v>430</v>
      </c>
      <c r="B184" s="9">
        <v>-63.69386</v>
      </c>
      <c r="C184" s="9">
        <v>-22.750447</v>
      </c>
      <c r="D184" s="9" t="s">
        <v>279</v>
      </c>
      <c r="E184" s="9" t="s">
        <v>282</v>
      </c>
      <c r="F184" s="9" t="s">
        <v>326</v>
      </c>
      <c r="G184" s="9" t="s">
        <v>295</v>
      </c>
      <c r="H184" s="9" t="s">
        <v>296</v>
      </c>
      <c r="I184" s="9" t="s">
        <v>284</v>
      </c>
      <c r="J184" s="9">
        <v>1963.5</v>
      </c>
      <c r="K184" s="9">
        <v>-0.23638877806423</v>
      </c>
      <c r="L184" s="9">
        <v>0.0135550132641545</v>
      </c>
      <c r="M184" s="9">
        <v>3.8</v>
      </c>
      <c r="N184" s="9">
        <v>1.6</v>
      </c>
      <c r="O184" s="9">
        <v>30.0</v>
      </c>
      <c r="P184" s="9">
        <v>3.0</v>
      </c>
      <c r="Q184" s="9">
        <v>1.7</v>
      </c>
      <c r="R184" s="9">
        <v>42.0</v>
      </c>
      <c r="S184" s="9" t="s">
        <v>277</v>
      </c>
      <c r="T184" s="9" t="s">
        <v>277</v>
      </c>
    </row>
    <row r="185" ht="12.75" customHeight="1">
      <c r="A185" s="9" t="s">
        <v>431</v>
      </c>
      <c r="B185" s="9">
        <v>-63.69386</v>
      </c>
      <c r="C185" s="9">
        <v>-22.750447</v>
      </c>
      <c r="D185" s="9" t="s">
        <v>292</v>
      </c>
      <c r="E185" s="9" t="s">
        <v>282</v>
      </c>
      <c r="F185" s="9" t="s">
        <v>326</v>
      </c>
      <c r="G185" s="9" t="s">
        <v>295</v>
      </c>
      <c r="H185" s="9" t="s">
        <v>296</v>
      </c>
      <c r="I185" s="9" t="s">
        <v>284</v>
      </c>
      <c r="J185" s="9">
        <v>1963.5</v>
      </c>
      <c r="K185" s="9">
        <v>0.0</v>
      </c>
      <c r="L185" s="9">
        <v>0.00827406125849032</v>
      </c>
      <c r="M185" s="9">
        <v>5.1</v>
      </c>
      <c r="N185" s="9">
        <v>2.3</v>
      </c>
      <c r="O185" s="9">
        <v>48.0</v>
      </c>
      <c r="P185" s="9">
        <v>5.1</v>
      </c>
      <c r="Q185" s="9">
        <v>2.1</v>
      </c>
      <c r="R185" s="9">
        <v>42.0</v>
      </c>
      <c r="S185" s="9" t="s">
        <v>277</v>
      </c>
      <c r="T185" s="9" t="s">
        <v>277</v>
      </c>
    </row>
    <row r="186" ht="12.75" customHeight="1">
      <c r="A186" s="9" t="s">
        <v>431</v>
      </c>
      <c r="B186" s="9">
        <v>-63.69386</v>
      </c>
      <c r="C186" s="9">
        <v>-22.750447</v>
      </c>
      <c r="D186" s="9" t="s">
        <v>278</v>
      </c>
      <c r="E186" s="9" t="s">
        <v>282</v>
      </c>
      <c r="F186" s="9" t="s">
        <v>326</v>
      </c>
      <c r="G186" s="9" t="s">
        <v>295</v>
      </c>
      <c r="H186" s="9" t="s">
        <v>296</v>
      </c>
      <c r="I186" s="9" t="s">
        <v>284</v>
      </c>
      <c r="J186" s="9">
        <v>1963.5</v>
      </c>
      <c r="K186" s="9">
        <v>-0.103184236235231</v>
      </c>
      <c r="L186" s="9">
        <v>0.0111413048525356</v>
      </c>
      <c r="M186" s="9">
        <v>5.1</v>
      </c>
      <c r="N186" s="9">
        <v>2.2</v>
      </c>
      <c r="O186" s="9">
        <v>90.0</v>
      </c>
      <c r="P186" s="9">
        <v>4.6</v>
      </c>
      <c r="Q186" s="9">
        <v>2.4</v>
      </c>
      <c r="R186" s="9">
        <v>30.0</v>
      </c>
      <c r="S186" s="9" t="s">
        <v>277</v>
      </c>
      <c r="T186" s="9" t="s">
        <v>277</v>
      </c>
    </row>
    <row r="187" ht="12.75" customHeight="1">
      <c r="A187" s="9" t="s">
        <v>431</v>
      </c>
      <c r="B187" s="9">
        <v>-63.69386</v>
      </c>
      <c r="C187" s="9">
        <v>-22.750447</v>
      </c>
      <c r="D187" s="9" t="s">
        <v>279</v>
      </c>
      <c r="E187" s="9" t="s">
        <v>282</v>
      </c>
      <c r="F187" s="9" t="s">
        <v>326</v>
      </c>
      <c r="G187" s="9" t="s">
        <v>295</v>
      </c>
      <c r="H187" s="9" t="s">
        <v>296</v>
      </c>
      <c r="I187" s="9" t="s">
        <v>284</v>
      </c>
      <c r="J187" s="9">
        <v>1963.5</v>
      </c>
      <c r="K187" s="9">
        <v>-1.26369203902756</v>
      </c>
      <c r="L187" s="9">
        <v>0.0328832478170853</v>
      </c>
      <c r="M187" s="9">
        <v>4.6</v>
      </c>
      <c r="N187" s="9">
        <v>2.4</v>
      </c>
      <c r="O187" s="9">
        <v>30.0</v>
      </c>
      <c r="P187" s="9">
        <v>1.3</v>
      </c>
      <c r="Q187" s="9">
        <v>1.3</v>
      </c>
      <c r="R187" s="9">
        <v>42.0</v>
      </c>
      <c r="S187" s="9" t="s">
        <v>277</v>
      </c>
      <c r="T187" s="9" t="s">
        <v>277</v>
      </c>
    </row>
    <row r="188" ht="12.75" customHeight="1">
      <c r="A188" s="9" t="s">
        <v>432</v>
      </c>
      <c r="B188" s="9">
        <v>-63.69386</v>
      </c>
      <c r="C188" s="9">
        <v>-22.750447</v>
      </c>
      <c r="D188" s="9" t="s">
        <v>292</v>
      </c>
      <c r="E188" s="9" t="s">
        <v>282</v>
      </c>
      <c r="F188" s="9" t="s">
        <v>326</v>
      </c>
      <c r="G188" s="9" t="s">
        <v>295</v>
      </c>
      <c r="H188" s="9" t="s">
        <v>296</v>
      </c>
      <c r="I188" s="9" t="s">
        <v>284</v>
      </c>
      <c r="J188" s="9">
        <v>1963.5</v>
      </c>
      <c r="K188" s="9">
        <v>0.0</v>
      </c>
      <c r="L188" s="9">
        <v>0.153108465608466</v>
      </c>
      <c r="M188" s="9">
        <v>0.3</v>
      </c>
      <c r="N188" s="9">
        <v>0.5</v>
      </c>
      <c r="O188" s="9">
        <v>48.0</v>
      </c>
      <c r="P188" s="9">
        <v>0.3</v>
      </c>
      <c r="Q188" s="9">
        <v>0.6</v>
      </c>
      <c r="R188" s="9">
        <v>42.0</v>
      </c>
      <c r="S188" s="9" t="s">
        <v>277</v>
      </c>
      <c r="T188" s="9" t="s">
        <v>277</v>
      </c>
    </row>
    <row r="189" ht="12.75" customHeight="1">
      <c r="A189" s="9" t="s">
        <v>432</v>
      </c>
      <c r="B189" s="9">
        <v>-63.69386</v>
      </c>
      <c r="C189" s="9">
        <v>-22.750447</v>
      </c>
      <c r="D189" s="9" t="s">
        <v>278</v>
      </c>
      <c r="E189" s="9" t="s">
        <v>282</v>
      </c>
      <c r="F189" s="9" t="s">
        <v>326</v>
      </c>
      <c r="G189" s="9" t="s">
        <v>295</v>
      </c>
      <c r="H189" s="9" t="s">
        <v>296</v>
      </c>
      <c r="I189" s="9" t="s">
        <v>284</v>
      </c>
      <c r="J189" s="9">
        <v>1963.5</v>
      </c>
      <c r="K189" s="9">
        <v>0.0</v>
      </c>
      <c r="L189" s="9">
        <v>0.118716049382716</v>
      </c>
      <c r="M189" s="9">
        <v>0.3</v>
      </c>
      <c r="N189" s="9">
        <v>0.46</v>
      </c>
      <c r="O189" s="9">
        <v>90.0</v>
      </c>
      <c r="P189" s="9">
        <v>0.3</v>
      </c>
      <c r="Q189" s="9">
        <v>0.5</v>
      </c>
      <c r="R189" s="9">
        <v>30.0</v>
      </c>
      <c r="S189" s="9" t="s">
        <v>277</v>
      </c>
      <c r="T189" s="9" t="s">
        <v>277</v>
      </c>
    </row>
    <row r="190" ht="12.75" customHeight="1">
      <c r="A190" s="9" t="s">
        <v>432</v>
      </c>
      <c r="B190" s="9">
        <v>-63.69386</v>
      </c>
      <c r="C190" s="9">
        <v>-22.750447</v>
      </c>
      <c r="D190" s="9" t="s">
        <v>279</v>
      </c>
      <c r="E190" s="9" t="s">
        <v>282</v>
      </c>
      <c r="F190" s="9" t="s">
        <v>326</v>
      </c>
      <c r="G190" s="9" t="s">
        <v>295</v>
      </c>
      <c r="H190" s="9" t="s">
        <v>296</v>
      </c>
      <c r="I190" s="9" t="s">
        <v>284</v>
      </c>
      <c r="J190" s="9">
        <v>1963.5</v>
      </c>
      <c r="K190" s="9">
        <v>0.0</v>
      </c>
      <c r="L190" s="9">
        <v>0.158730158730159</v>
      </c>
      <c r="M190" s="9">
        <v>0.3</v>
      </c>
      <c r="N190" s="9">
        <v>0.5</v>
      </c>
      <c r="O190" s="9">
        <v>30.0</v>
      </c>
      <c r="P190" s="9">
        <v>0.3</v>
      </c>
      <c r="Q190" s="9">
        <v>0.5</v>
      </c>
      <c r="R190" s="9">
        <v>42.0</v>
      </c>
      <c r="S190" s="9" t="s">
        <v>277</v>
      </c>
      <c r="T190" s="9" t="s">
        <v>277</v>
      </c>
    </row>
    <row r="191" ht="12.75" customHeight="1">
      <c r="A191" s="9" t="s">
        <v>433</v>
      </c>
      <c r="B191" s="9">
        <v>-63.69386</v>
      </c>
      <c r="C191" s="9">
        <v>-22.750447</v>
      </c>
      <c r="D191" s="9" t="s">
        <v>292</v>
      </c>
      <c r="E191" s="9" t="s">
        <v>282</v>
      </c>
      <c r="F191" s="9" t="s">
        <v>326</v>
      </c>
      <c r="G191" s="9" t="s">
        <v>295</v>
      </c>
      <c r="H191" s="9" t="s">
        <v>296</v>
      </c>
      <c r="I191" s="9" t="s">
        <v>284</v>
      </c>
      <c r="J191" s="9">
        <v>1963.5</v>
      </c>
      <c r="K191" s="9">
        <v>0.693147180559945</v>
      </c>
      <c r="L191" s="9">
        <v>0.100198412698413</v>
      </c>
      <c r="M191" s="9">
        <v>0.3</v>
      </c>
      <c r="N191" s="9">
        <v>0.5</v>
      </c>
      <c r="O191" s="9">
        <v>48.0</v>
      </c>
      <c r="P191" s="9">
        <v>0.6</v>
      </c>
      <c r="Q191" s="9">
        <v>0.8</v>
      </c>
      <c r="R191" s="9">
        <v>42.0</v>
      </c>
      <c r="S191" s="9" t="s">
        <v>277</v>
      </c>
      <c r="T191" s="9" t="s">
        <v>277</v>
      </c>
    </row>
    <row r="192" ht="12.75" customHeight="1">
      <c r="A192" s="9" t="s">
        <v>433</v>
      </c>
      <c r="B192" s="9">
        <v>-63.69386</v>
      </c>
      <c r="C192" s="9">
        <v>-22.750447</v>
      </c>
      <c r="D192" s="9" t="s">
        <v>278</v>
      </c>
      <c r="E192" s="9" t="s">
        <v>282</v>
      </c>
      <c r="F192" s="9" t="s">
        <v>326</v>
      </c>
      <c r="G192" s="9" t="s">
        <v>295</v>
      </c>
      <c r="H192" s="9" t="s">
        <v>296</v>
      </c>
      <c r="I192" s="9" t="s">
        <v>284</v>
      </c>
      <c r="J192" s="9">
        <v>1963.5</v>
      </c>
      <c r="K192" s="9">
        <v>0.715620036412004</v>
      </c>
      <c r="L192" s="9">
        <v>0.0590966483011938</v>
      </c>
      <c r="M192" s="9">
        <v>0.44</v>
      </c>
      <c r="N192" s="9">
        <v>0.67</v>
      </c>
      <c r="O192" s="9">
        <v>90.0</v>
      </c>
      <c r="P192" s="9">
        <v>0.9</v>
      </c>
      <c r="Q192" s="9">
        <v>0.9</v>
      </c>
      <c r="R192" s="9">
        <v>30.0</v>
      </c>
      <c r="S192" s="9" t="s">
        <v>277</v>
      </c>
      <c r="T192" s="9" t="s">
        <v>277</v>
      </c>
    </row>
    <row r="193" ht="12.75" customHeight="1">
      <c r="A193" s="9" t="s">
        <v>433</v>
      </c>
      <c r="B193" s="9">
        <v>-63.69386</v>
      </c>
      <c r="C193" s="9">
        <v>-22.750447</v>
      </c>
      <c r="D193" s="9" t="s">
        <v>279</v>
      </c>
      <c r="E193" s="9" t="s">
        <v>282</v>
      </c>
      <c r="F193" s="9" t="s">
        <v>326</v>
      </c>
      <c r="G193" s="9" t="s">
        <v>295</v>
      </c>
      <c r="H193" s="9" t="s">
        <v>296</v>
      </c>
      <c r="I193" s="9" t="s">
        <v>284</v>
      </c>
      <c r="J193" s="9">
        <v>1963.5</v>
      </c>
      <c r="K193" s="9">
        <v>0.0</v>
      </c>
      <c r="L193" s="9">
        <v>0.0477366255144033</v>
      </c>
      <c r="M193" s="9">
        <v>0.9</v>
      </c>
      <c r="N193" s="9">
        <v>0.9</v>
      </c>
      <c r="O193" s="9">
        <v>30.0</v>
      </c>
      <c r="P193" s="9">
        <v>0.9</v>
      </c>
      <c r="Q193" s="9">
        <v>0.7</v>
      </c>
      <c r="R193" s="9">
        <v>42.0</v>
      </c>
      <c r="S193" s="9" t="s">
        <v>277</v>
      </c>
      <c r="T193" s="9" t="s">
        <v>277</v>
      </c>
    </row>
    <row r="194" ht="12.75" customHeight="1">
      <c r="A194" s="9" t="s">
        <v>434</v>
      </c>
      <c r="B194" s="9">
        <v>-63.69386</v>
      </c>
      <c r="C194" s="9">
        <v>-22.750447</v>
      </c>
      <c r="D194" s="9" t="s">
        <v>292</v>
      </c>
      <c r="E194" s="9" t="s">
        <v>282</v>
      </c>
      <c r="F194" s="9" t="s">
        <v>326</v>
      </c>
      <c r="G194" s="9" t="s">
        <v>295</v>
      </c>
      <c r="H194" s="9" t="s">
        <v>296</v>
      </c>
      <c r="I194" s="9" t="s">
        <v>284</v>
      </c>
      <c r="J194" s="9">
        <v>1963.5</v>
      </c>
      <c r="K194" s="9">
        <v>-0.916290731874155</v>
      </c>
      <c r="L194" s="9">
        <v>0.0580357142857143</v>
      </c>
      <c r="M194" s="9">
        <v>1.0</v>
      </c>
      <c r="N194" s="9">
        <v>1.0</v>
      </c>
      <c r="O194" s="9">
        <v>48.0</v>
      </c>
      <c r="P194" s="9">
        <v>0.4</v>
      </c>
      <c r="Q194" s="9">
        <v>0.5</v>
      </c>
      <c r="R194" s="9">
        <v>42.0</v>
      </c>
      <c r="S194" s="9" t="s">
        <v>277</v>
      </c>
      <c r="T194" s="9" t="s">
        <v>277</v>
      </c>
    </row>
    <row r="195" ht="12.75" customHeight="1">
      <c r="A195" s="9" t="s">
        <v>434</v>
      </c>
      <c r="B195" s="9">
        <v>-63.69386</v>
      </c>
      <c r="C195" s="9">
        <v>-22.750447</v>
      </c>
      <c r="D195" s="9" t="s">
        <v>278</v>
      </c>
      <c r="E195" s="9" t="s">
        <v>282</v>
      </c>
      <c r="F195" s="9" t="s">
        <v>326</v>
      </c>
      <c r="G195" s="9" t="s">
        <v>295</v>
      </c>
      <c r="H195" s="9" t="s">
        <v>296</v>
      </c>
      <c r="I195" s="9" t="s">
        <v>284</v>
      </c>
      <c r="J195" s="9">
        <v>1963.5</v>
      </c>
      <c r="K195" s="9">
        <v>-1.28093384546206</v>
      </c>
      <c r="L195" s="9">
        <v>0.149185528120713</v>
      </c>
      <c r="M195" s="9">
        <v>0.72</v>
      </c>
      <c r="N195" s="9">
        <v>0.86</v>
      </c>
      <c r="O195" s="9">
        <v>90.0</v>
      </c>
      <c r="P195" s="9">
        <v>0.2</v>
      </c>
      <c r="Q195" s="9">
        <v>0.4</v>
      </c>
      <c r="R195" s="9">
        <v>30.0</v>
      </c>
      <c r="S195" s="9" t="s">
        <v>277</v>
      </c>
      <c r="T195" s="9" t="s">
        <v>277</v>
      </c>
    </row>
    <row r="196" ht="12.75" customHeight="1">
      <c r="A196" s="9" t="s">
        <v>435</v>
      </c>
      <c r="B196" s="9">
        <v>140.75</v>
      </c>
      <c r="C196" s="9">
        <v>38.75</v>
      </c>
      <c r="D196" s="9" t="s">
        <v>279</v>
      </c>
      <c r="E196" s="9" t="s">
        <v>272</v>
      </c>
      <c r="F196" s="9" t="s">
        <v>273</v>
      </c>
      <c r="G196" s="9" t="s">
        <v>295</v>
      </c>
      <c r="H196" s="9">
        <v>1450.0</v>
      </c>
      <c r="I196" s="9" t="s">
        <v>276</v>
      </c>
      <c r="J196" s="9">
        <v>0.24</v>
      </c>
      <c r="K196" s="9">
        <v>0.482170368005615</v>
      </c>
      <c r="L196" s="9">
        <v>0.0762189372578582</v>
      </c>
      <c r="M196" s="9">
        <v>10.62</v>
      </c>
      <c r="N196" s="9">
        <v>2.0</v>
      </c>
      <c r="O196" s="9">
        <v>3.0</v>
      </c>
      <c r="P196" s="9">
        <v>17.2</v>
      </c>
      <c r="Q196" s="9">
        <v>7.56</v>
      </c>
      <c r="R196" s="9">
        <v>3.0</v>
      </c>
      <c r="S196" s="9" t="s">
        <v>277</v>
      </c>
      <c r="T196" s="9" t="s">
        <v>277</v>
      </c>
    </row>
    <row r="197" ht="12.75" customHeight="1">
      <c r="A197" s="9" t="s">
        <v>436</v>
      </c>
      <c r="B197" s="9">
        <v>12.25</v>
      </c>
      <c r="C197" s="9">
        <v>51.833333</v>
      </c>
      <c r="D197" s="9" t="s">
        <v>271</v>
      </c>
      <c r="E197" s="9" t="s">
        <v>272</v>
      </c>
      <c r="F197" s="9" t="s">
        <v>326</v>
      </c>
      <c r="G197" s="9" t="s">
        <v>295</v>
      </c>
      <c r="H197" s="9" t="s">
        <v>311</v>
      </c>
      <c r="I197" s="9" t="s">
        <v>276</v>
      </c>
      <c r="J197" s="9">
        <v>16.0</v>
      </c>
      <c r="K197" s="9">
        <v>-0.502186261175283</v>
      </c>
      <c r="L197" s="9">
        <v>0.0356022504186368</v>
      </c>
      <c r="M197" s="9">
        <v>4.61</v>
      </c>
      <c r="N197" s="9">
        <v>2.09</v>
      </c>
      <c r="O197" s="9">
        <v>31.0</v>
      </c>
      <c r="P197" s="9">
        <v>2.79</v>
      </c>
      <c r="Q197" s="9">
        <v>2.07</v>
      </c>
      <c r="R197" s="9">
        <v>19.0</v>
      </c>
      <c r="S197" s="9" t="s">
        <v>277</v>
      </c>
      <c r="T197" s="9" t="s">
        <v>277</v>
      </c>
    </row>
    <row r="198" ht="12.75" customHeight="1">
      <c r="A198" s="9" t="s">
        <v>436</v>
      </c>
      <c r="B198" s="9">
        <v>12.25</v>
      </c>
      <c r="C198" s="9">
        <v>51.833333</v>
      </c>
      <c r="D198" s="9" t="s">
        <v>278</v>
      </c>
      <c r="E198" s="9" t="s">
        <v>272</v>
      </c>
      <c r="F198" s="9" t="s">
        <v>326</v>
      </c>
      <c r="G198" s="9" t="s">
        <v>295</v>
      </c>
      <c r="H198" s="9" t="s">
        <v>311</v>
      </c>
      <c r="I198" s="9" t="s">
        <v>276</v>
      </c>
      <c r="J198" s="9">
        <v>16.0</v>
      </c>
      <c r="K198" s="9">
        <v>-0.425667815425684</v>
      </c>
      <c r="L198" s="9">
        <v>0.0239489961478375</v>
      </c>
      <c r="M198" s="9">
        <v>6.0</v>
      </c>
      <c r="N198" s="9">
        <v>4.25</v>
      </c>
      <c r="O198" s="9">
        <v>29.0</v>
      </c>
      <c r="P198" s="9">
        <v>3.92</v>
      </c>
      <c r="Q198" s="9">
        <v>2.26</v>
      </c>
      <c r="R198" s="9">
        <v>50.0</v>
      </c>
      <c r="S198" s="9" t="s">
        <v>277</v>
      </c>
      <c r="T198" s="9" t="s">
        <v>277</v>
      </c>
    </row>
    <row r="199" ht="12.75" customHeight="1">
      <c r="A199" s="9" t="s">
        <v>436</v>
      </c>
      <c r="B199" s="9">
        <v>12.25</v>
      </c>
      <c r="C199" s="9">
        <v>51.833333</v>
      </c>
      <c r="D199" s="9" t="s">
        <v>279</v>
      </c>
      <c r="E199" s="9" t="s">
        <v>272</v>
      </c>
      <c r="F199" s="9" t="s">
        <v>326</v>
      </c>
      <c r="G199" s="9" t="s">
        <v>295</v>
      </c>
      <c r="H199" s="9" t="s">
        <v>311</v>
      </c>
      <c r="I199" s="9" t="s">
        <v>276</v>
      </c>
      <c r="J199" s="9">
        <v>16.0</v>
      </c>
      <c r="K199" s="9">
        <v>-0.163119349810019</v>
      </c>
      <c r="L199" s="9">
        <v>0.0409177566785867</v>
      </c>
      <c r="M199" s="9">
        <v>3.92</v>
      </c>
      <c r="N199" s="9">
        <v>2.26</v>
      </c>
      <c r="O199" s="9">
        <v>50.0</v>
      </c>
      <c r="P199" s="9">
        <v>3.33</v>
      </c>
      <c r="Q199" s="9">
        <v>1.51</v>
      </c>
      <c r="R199" s="9">
        <v>6.0</v>
      </c>
      <c r="S199" s="9" t="s">
        <v>277</v>
      </c>
      <c r="T199" s="9" t="s">
        <v>277</v>
      </c>
    </row>
    <row r="200" ht="12.75" customHeight="1">
      <c r="A200" s="9" t="s">
        <v>437</v>
      </c>
      <c r="B200" s="9">
        <v>10.21157</v>
      </c>
      <c r="C200" s="9">
        <v>51.424986</v>
      </c>
      <c r="D200" s="9" t="s">
        <v>279</v>
      </c>
      <c r="E200" s="9" t="s">
        <v>272</v>
      </c>
      <c r="F200" s="9" t="s">
        <v>283</v>
      </c>
      <c r="G200" s="9" t="s">
        <v>295</v>
      </c>
      <c r="H200" s="9" t="s">
        <v>311</v>
      </c>
      <c r="I200" s="9" t="s">
        <v>284</v>
      </c>
      <c r="J200" s="9">
        <v>5.0</v>
      </c>
      <c r="K200" s="9">
        <v>-2.32145357729843</v>
      </c>
      <c r="L200" s="9">
        <v>0.0166822627036811</v>
      </c>
      <c r="M200" s="9">
        <v>4.28</v>
      </c>
      <c r="N200" s="9">
        <v>1.67</v>
      </c>
      <c r="O200" s="9">
        <v>144.0</v>
      </c>
      <c r="P200" s="9">
        <v>0.42</v>
      </c>
      <c r="Q200" s="9">
        <v>0.63</v>
      </c>
      <c r="R200" s="9">
        <v>144.0</v>
      </c>
      <c r="S200" s="9" t="s">
        <v>277</v>
      </c>
      <c r="T200" s="9" t="s">
        <v>277</v>
      </c>
    </row>
    <row r="201" ht="12.75" customHeight="1">
      <c r="A201" s="9" t="s">
        <v>438</v>
      </c>
      <c r="B201" s="9">
        <v>10.21157</v>
      </c>
      <c r="C201" s="9">
        <v>51.424986</v>
      </c>
      <c r="D201" s="9" t="s">
        <v>279</v>
      </c>
      <c r="E201" s="9" t="s">
        <v>272</v>
      </c>
      <c r="F201" s="9" t="s">
        <v>283</v>
      </c>
      <c r="G201" s="9" t="s">
        <v>295</v>
      </c>
      <c r="H201" s="9" t="s">
        <v>311</v>
      </c>
      <c r="I201" s="9" t="s">
        <v>284</v>
      </c>
      <c r="J201" s="9">
        <v>5.0</v>
      </c>
      <c r="K201" s="9">
        <v>-1.55420915448631</v>
      </c>
      <c r="L201" s="9">
        <v>0.00282355219278808</v>
      </c>
      <c r="M201" s="9">
        <v>3.17</v>
      </c>
      <c r="N201" s="9">
        <v>0.71</v>
      </c>
      <c r="O201" s="9">
        <v>144.0</v>
      </c>
      <c r="P201" s="9">
        <v>0.67</v>
      </c>
      <c r="Q201" s="9">
        <v>0.4</v>
      </c>
      <c r="R201" s="9">
        <v>144.0</v>
      </c>
      <c r="S201" s="9" t="s">
        <v>277</v>
      </c>
      <c r="T201" s="9" t="s">
        <v>277</v>
      </c>
    </row>
    <row r="202" ht="12.75" customHeight="1">
      <c r="A202" s="9" t="s">
        <v>439</v>
      </c>
      <c r="B202" s="9">
        <v>10.21157</v>
      </c>
      <c r="C202" s="9">
        <v>51.424986</v>
      </c>
      <c r="D202" s="9" t="s">
        <v>279</v>
      </c>
      <c r="E202" s="9" t="s">
        <v>289</v>
      </c>
      <c r="F202" s="9" t="s">
        <v>283</v>
      </c>
      <c r="G202" s="9" t="s">
        <v>295</v>
      </c>
      <c r="H202" s="9" t="s">
        <v>311</v>
      </c>
      <c r="I202" s="9" t="s">
        <v>284</v>
      </c>
      <c r="J202" s="9">
        <v>5.0</v>
      </c>
      <c r="K202" s="9">
        <v>0.113231366441665</v>
      </c>
      <c r="L202" s="9">
        <v>2.12600627136081E-4</v>
      </c>
      <c r="M202" s="9">
        <v>3.67</v>
      </c>
      <c r="N202" s="9">
        <v>0.47</v>
      </c>
      <c r="O202" s="9">
        <v>144.0</v>
      </c>
      <c r="P202" s="9">
        <v>4.11</v>
      </c>
      <c r="Q202" s="9">
        <v>0.49</v>
      </c>
      <c r="R202" s="9">
        <v>144.0</v>
      </c>
      <c r="S202" s="9" t="s">
        <v>277</v>
      </c>
      <c r="T202" s="9" t="s">
        <v>277</v>
      </c>
    </row>
    <row r="203" ht="12.75" customHeight="1">
      <c r="A203" s="9" t="s">
        <v>440</v>
      </c>
      <c r="B203" s="9">
        <v>10.21157</v>
      </c>
      <c r="C203" s="9">
        <v>51.424986</v>
      </c>
      <c r="D203" s="9" t="s">
        <v>279</v>
      </c>
      <c r="E203" s="9" t="s">
        <v>289</v>
      </c>
      <c r="F203" s="9" t="s">
        <v>283</v>
      </c>
      <c r="G203" s="9" t="s">
        <v>295</v>
      </c>
      <c r="H203" s="9" t="s">
        <v>311</v>
      </c>
      <c r="I203" s="9" t="s">
        <v>284</v>
      </c>
      <c r="J203" s="9">
        <v>5.0</v>
      </c>
      <c r="K203" s="9">
        <v>-0.114880275998422</v>
      </c>
      <c r="L203" s="9">
        <v>2.33436970092102E-4</v>
      </c>
      <c r="M203" s="9">
        <v>5.16</v>
      </c>
      <c r="N203" s="9">
        <v>0.77</v>
      </c>
      <c r="O203" s="9">
        <v>144.0</v>
      </c>
      <c r="P203" s="9">
        <v>4.6</v>
      </c>
      <c r="Q203" s="9">
        <v>0.49</v>
      </c>
      <c r="R203" s="9">
        <v>144.0</v>
      </c>
      <c r="S203" s="9" t="s">
        <v>277</v>
      </c>
      <c r="T203" s="9" t="s">
        <v>277</v>
      </c>
    </row>
    <row r="204" ht="12.75" customHeight="1">
      <c r="A204" s="9" t="s">
        <v>441</v>
      </c>
      <c r="B204" s="9">
        <v>10.21157</v>
      </c>
      <c r="C204" s="9">
        <v>51.424986</v>
      </c>
      <c r="D204" s="9" t="s">
        <v>279</v>
      </c>
      <c r="E204" s="9" t="s">
        <v>289</v>
      </c>
      <c r="F204" s="9" t="s">
        <v>283</v>
      </c>
      <c r="G204" s="9" t="s">
        <v>295</v>
      </c>
      <c r="H204" s="9" t="s">
        <v>311</v>
      </c>
      <c r="I204" s="9" t="s">
        <v>284</v>
      </c>
      <c r="J204" s="9">
        <v>5.0</v>
      </c>
      <c r="K204" s="9">
        <v>-0.862832153349388</v>
      </c>
      <c r="L204" s="9">
        <v>0.00108782674428339</v>
      </c>
      <c r="M204" s="9">
        <v>3.46</v>
      </c>
      <c r="N204" s="9">
        <v>0.42</v>
      </c>
      <c r="O204" s="9">
        <v>144.0</v>
      </c>
      <c r="P204" s="9">
        <v>1.46</v>
      </c>
      <c r="Q204" s="9">
        <v>0.55</v>
      </c>
      <c r="R204" s="9">
        <v>144.0</v>
      </c>
      <c r="S204" s="9" t="s">
        <v>277</v>
      </c>
      <c r="T204" s="9" t="s">
        <v>277</v>
      </c>
    </row>
    <row r="205" ht="12.75" customHeight="1">
      <c r="A205" s="9" t="s">
        <v>442</v>
      </c>
      <c r="B205" s="9">
        <v>10.21157</v>
      </c>
      <c r="C205" s="9">
        <v>51.424986</v>
      </c>
      <c r="D205" s="9" t="s">
        <v>279</v>
      </c>
      <c r="E205" s="9" t="s">
        <v>289</v>
      </c>
      <c r="F205" s="9" t="s">
        <v>283</v>
      </c>
      <c r="G205" s="9" t="s">
        <v>295</v>
      </c>
      <c r="H205" s="9" t="s">
        <v>311</v>
      </c>
      <c r="I205" s="9" t="s">
        <v>284</v>
      </c>
      <c r="J205" s="9">
        <v>5.0</v>
      </c>
      <c r="K205" s="9">
        <v>0.0794641713542468</v>
      </c>
      <c r="L205" s="9">
        <v>1.79999422070865E-4</v>
      </c>
      <c r="M205" s="9">
        <v>2.66</v>
      </c>
      <c r="N205" s="9">
        <v>0.2</v>
      </c>
      <c r="O205" s="9">
        <v>144.0</v>
      </c>
      <c r="P205" s="9">
        <v>2.88</v>
      </c>
      <c r="Q205" s="9">
        <v>0.41</v>
      </c>
      <c r="R205" s="9">
        <v>144.0</v>
      </c>
      <c r="S205" s="9" t="s">
        <v>277</v>
      </c>
      <c r="T205" s="9" t="s">
        <v>277</v>
      </c>
    </row>
    <row r="206" ht="12.75" customHeight="1">
      <c r="A206" s="9" t="s">
        <v>443</v>
      </c>
      <c r="B206" s="9">
        <v>9.354281</v>
      </c>
      <c r="C206" s="9">
        <v>48.300293</v>
      </c>
      <c r="D206" s="9" t="s">
        <v>298</v>
      </c>
      <c r="E206" s="9" t="s">
        <v>272</v>
      </c>
      <c r="F206" s="9" t="s">
        <v>273</v>
      </c>
      <c r="G206" s="9" t="s">
        <v>295</v>
      </c>
      <c r="H206" s="9" t="s">
        <v>311</v>
      </c>
      <c r="I206" s="9" t="s">
        <v>284</v>
      </c>
      <c r="J206" s="9">
        <v>400.0</v>
      </c>
      <c r="K206" s="9">
        <v>-0.0482667409698346</v>
      </c>
      <c r="L206" s="9">
        <v>0.00699681639407135</v>
      </c>
      <c r="M206" s="9">
        <v>19.1</v>
      </c>
      <c r="N206" s="9">
        <v>6.08</v>
      </c>
      <c r="O206" s="9">
        <v>20.0</v>
      </c>
      <c r="P206" s="9">
        <v>18.2</v>
      </c>
      <c r="Q206" s="9">
        <v>8.94</v>
      </c>
      <c r="R206" s="9">
        <v>125.0</v>
      </c>
      <c r="S206" s="9" t="s">
        <v>277</v>
      </c>
      <c r="T206" s="9" t="s">
        <v>277</v>
      </c>
    </row>
    <row r="207" ht="12.75" customHeight="1">
      <c r="A207" s="9" t="s">
        <v>444</v>
      </c>
      <c r="B207" s="9">
        <v>10.454313</v>
      </c>
      <c r="C207" s="9">
        <v>51.059247</v>
      </c>
      <c r="D207" s="9" t="s">
        <v>298</v>
      </c>
      <c r="E207" s="9" t="s">
        <v>272</v>
      </c>
      <c r="F207" s="9" t="s">
        <v>273</v>
      </c>
      <c r="G207" s="9" t="s">
        <v>295</v>
      </c>
      <c r="H207" s="9" t="s">
        <v>311</v>
      </c>
      <c r="I207" s="9" t="s">
        <v>284</v>
      </c>
      <c r="J207" s="9">
        <v>400.0</v>
      </c>
      <c r="K207" s="9">
        <v>-0.287138446453071</v>
      </c>
      <c r="L207" s="9">
        <v>0.0141640132447841</v>
      </c>
      <c r="M207" s="9">
        <v>6.13</v>
      </c>
      <c r="N207" s="9">
        <v>3.4</v>
      </c>
      <c r="O207" s="9">
        <v>31.0</v>
      </c>
      <c r="P207" s="9">
        <v>4.6</v>
      </c>
      <c r="Q207" s="9">
        <v>3.04</v>
      </c>
      <c r="R207" s="9">
        <v>103.0</v>
      </c>
      <c r="S207" s="9" t="s">
        <v>277</v>
      </c>
      <c r="T207" s="9" t="s">
        <v>277</v>
      </c>
    </row>
    <row r="208" ht="12.75" customHeight="1">
      <c r="A208" s="9" t="s">
        <v>445</v>
      </c>
      <c r="B208" s="9">
        <v>17.416667</v>
      </c>
      <c r="C208" s="9">
        <v>48.9</v>
      </c>
      <c r="D208" s="9" t="s">
        <v>292</v>
      </c>
      <c r="E208" s="9" t="s">
        <v>272</v>
      </c>
      <c r="F208" s="9" t="s">
        <v>326</v>
      </c>
      <c r="G208" s="9" t="s">
        <v>295</v>
      </c>
      <c r="H208" s="9" t="s">
        <v>311</v>
      </c>
      <c r="I208" s="9" t="s">
        <v>276</v>
      </c>
      <c r="J208" s="9">
        <v>0.375</v>
      </c>
      <c r="K208" s="9">
        <v>-0.0273989741881144</v>
      </c>
      <c r="L208" s="9">
        <v>0.00150229922949309</v>
      </c>
      <c r="M208" s="9">
        <v>37.0</v>
      </c>
      <c r="N208" s="9">
        <v>4.24</v>
      </c>
      <c r="O208" s="9">
        <v>18.0</v>
      </c>
      <c r="P208" s="9">
        <v>36.0</v>
      </c>
      <c r="Q208" s="9">
        <v>5.2</v>
      </c>
      <c r="R208" s="9">
        <v>27.0</v>
      </c>
      <c r="S208" s="9" t="s">
        <v>277</v>
      </c>
      <c r="T208" s="9" t="s">
        <v>277</v>
      </c>
    </row>
    <row r="209" ht="12.75" customHeight="1">
      <c r="A209" s="9" t="s">
        <v>445</v>
      </c>
      <c r="B209" s="9">
        <v>17.416667</v>
      </c>
      <c r="C209" s="9">
        <v>48.9</v>
      </c>
      <c r="D209" s="9" t="s">
        <v>278</v>
      </c>
      <c r="E209" s="9" t="s">
        <v>272</v>
      </c>
      <c r="F209" s="9" t="s">
        <v>326</v>
      </c>
      <c r="G209" s="9" t="s">
        <v>295</v>
      </c>
      <c r="H209" s="9" t="s">
        <v>311</v>
      </c>
      <c r="I209" s="9" t="s">
        <v>276</v>
      </c>
      <c r="J209" s="9">
        <v>0.375</v>
      </c>
      <c r="K209" s="9">
        <v>0.0560894666510436</v>
      </c>
      <c r="L209" s="9">
        <v>7.13829212930112E-4</v>
      </c>
      <c r="M209" s="9">
        <v>36.4</v>
      </c>
      <c r="N209" s="9">
        <v>4.6</v>
      </c>
      <c r="O209" s="9">
        <v>45.0</v>
      </c>
      <c r="P209" s="9">
        <v>38.5</v>
      </c>
      <c r="Q209" s="9">
        <v>5.36</v>
      </c>
      <c r="R209" s="9">
        <v>54.0</v>
      </c>
      <c r="S209" s="9" t="s">
        <v>277</v>
      </c>
      <c r="T209" s="9" t="s">
        <v>277</v>
      </c>
    </row>
    <row r="210" ht="12.75" customHeight="1">
      <c r="A210" s="9" t="s">
        <v>445</v>
      </c>
      <c r="B210" s="9">
        <v>17.416667</v>
      </c>
      <c r="C210" s="9">
        <v>48.9</v>
      </c>
      <c r="D210" s="9" t="s">
        <v>279</v>
      </c>
      <c r="E210" s="9" t="s">
        <v>272</v>
      </c>
      <c r="F210" s="9" t="s">
        <v>326</v>
      </c>
      <c r="G210" s="9" t="s">
        <v>295</v>
      </c>
      <c r="H210" s="9" t="s">
        <v>311</v>
      </c>
      <c r="I210" s="9" t="s">
        <v>276</v>
      </c>
      <c r="J210" s="9">
        <v>0.375</v>
      </c>
      <c r="K210" s="9">
        <v>0.0382212128201977</v>
      </c>
      <c r="L210" s="9">
        <v>0.00285782500679335</v>
      </c>
      <c r="M210" s="9">
        <v>38.5</v>
      </c>
      <c r="N210" s="9">
        <v>5.36</v>
      </c>
      <c r="O210" s="9">
        <v>54.0</v>
      </c>
      <c r="P210" s="9">
        <v>40.0</v>
      </c>
      <c r="Q210" s="9">
        <v>10.39</v>
      </c>
      <c r="R210" s="9">
        <v>27.0</v>
      </c>
      <c r="S210" s="9" t="s">
        <v>277</v>
      </c>
      <c r="T210" s="9" t="s">
        <v>277</v>
      </c>
    </row>
    <row r="211" ht="12.75" customHeight="1">
      <c r="A211" s="9" t="s">
        <v>446</v>
      </c>
      <c r="B211" s="9">
        <v>34.516667</v>
      </c>
      <c r="C211" s="9">
        <v>0.1</v>
      </c>
      <c r="D211" s="9" t="s">
        <v>278</v>
      </c>
      <c r="E211" s="9" t="s">
        <v>272</v>
      </c>
      <c r="F211" s="9" t="s">
        <v>326</v>
      </c>
      <c r="G211" s="9" t="s">
        <v>293</v>
      </c>
      <c r="H211" s="9">
        <v>1950.0</v>
      </c>
      <c r="I211" s="9" t="s">
        <v>276</v>
      </c>
      <c r="J211" s="9">
        <v>100.0</v>
      </c>
      <c r="K211" s="9">
        <v>-0.12341685337464</v>
      </c>
      <c r="L211" s="9">
        <v>0.0524644226685265</v>
      </c>
      <c r="M211" s="9">
        <v>2.67</v>
      </c>
      <c r="N211" s="9">
        <v>1.88</v>
      </c>
      <c r="O211" s="9">
        <v>21.0</v>
      </c>
      <c r="P211" s="9">
        <v>2.36</v>
      </c>
      <c r="Q211" s="9">
        <v>1.5</v>
      </c>
      <c r="R211" s="9">
        <v>14.0</v>
      </c>
      <c r="S211" s="9" t="s">
        <v>277</v>
      </c>
      <c r="T211" s="9" t="s">
        <v>277</v>
      </c>
    </row>
    <row r="212" ht="12.75" customHeight="1">
      <c r="A212" s="9" t="s">
        <v>447</v>
      </c>
      <c r="B212" s="9">
        <v>-72.180129</v>
      </c>
      <c r="C212" s="9">
        <v>45.358705</v>
      </c>
      <c r="D212" s="9" t="s">
        <v>278</v>
      </c>
      <c r="E212" s="9" t="s">
        <v>272</v>
      </c>
      <c r="F212" s="9" t="s">
        <v>326</v>
      </c>
      <c r="G212" s="9" t="s">
        <v>274</v>
      </c>
      <c r="H212" s="9" t="s">
        <v>311</v>
      </c>
      <c r="I212" s="9" t="s">
        <v>276</v>
      </c>
      <c r="J212" s="9">
        <v>0.09</v>
      </c>
      <c r="K212" s="9">
        <v>0.0390980212937323</v>
      </c>
      <c r="L212" s="9">
        <v>0.00360448017917158</v>
      </c>
      <c r="M212" s="9">
        <v>18.81</v>
      </c>
      <c r="N212" s="9">
        <v>6.67</v>
      </c>
      <c r="O212" s="9">
        <v>84.0</v>
      </c>
      <c r="P212" s="9">
        <v>19.56</v>
      </c>
      <c r="Q212" s="9">
        <v>8.23</v>
      </c>
      <c r="R212" s="9">
        <v>84.0</v>
      </c>
      <c r="S212" s="9" t="s">
        <v>277</v>
      </c>
      <c r="T212" s="9" t="s">
        <v>277</v>
      </c>
    </row>
    <row r="213" ht="12.75" customHeight="1">
      <c r="A213" s="9" t="s">
        <v>448</v>
      </c>
      <c r="B213" s="9">
        <v>-1.110188</v>
      </c>
      <c r="C213" s="9">
        <v>52.974749</v>
      </c>
      <c r="D213" s="9" t="s">
        <v>279</v>
      </c>
      <c r="E213" s="9" t="s">
        <v>272</v>
      </c>
      <c r="F213" s="9" t="s">
        <v>283</v>
      </c>
      <c r="G213" s="9" t="s">
        <v>295</v>
      </c>
      <c r="H213" s="9">
        <v>1450.0</v>
      </c>
      <c r="I213" s="9" t="s">
        <v>284</v>
      </c>
      <c r="J213" s="9">
        <v>9.0</v>
      </c>
      <c r="K213" s="9">
        <v>-1.37624402526639</v>
      </c>
      <c r="L213" s="9">
        <v>0.00348416154321234</v>
      </c>
      <c r="M213" s="9">
        <v>9.9</v>
      </c>
      <c r="N213" s="9">
        <v>6.92</v>
      </c>
      <c r="O213" s="9">
        <v>414.0</v>
      </c>
      <c r="P213" s="9">
        <v>2.5</v>
      </c>
      <c r="Q213" s="9">
        <v>2.88</v>
      </c>
      <c r="R213" s="9">
        <v>576.0</v>
      </c>
      <c r="S213" s="9" t="s">
        <v>277</v>
      </c>
      <c r="T213" s="9" t="s">
        <v>277</v>
      </c>
    </row>
    <row r="214" ht="12.75" customHeight="1">
      <c r="A214" s="9" t="s">
        <v>449</v>
      </c>
      <c r="B214" s="9">
        <v>-1.110188</v>
      </c>
      <c r="C214" s="9">
        <v>52.974749</v>
      </c>
      <c r="D214" s="9" t="s">
        <v>279</v>
      </c>
      <c r="E214" s="9" t="s">
        <v>289</v>
      </c>
      <c r="F214" s="9" t="s">
        <v>283</v>
      </c>
      <c r="G214" s="9" t="s">
        <v>295</v>
      </c>
      <c r="H214" s="9">
        <v>1450.0</v>
      </c>
      <c r="I214" s="9" t="s">
        <v>284</v>
      </c>
      <c r="J214" s="9">
        <v>1.0</v>
      </c>
      <c r="K214" s="9">
        <v>-0.374693449441411</v>
      </c>
      <c r="L214" s="9">
        <v>0.0187423731275826</v>
      </c>
      <c r="M214" s="9">
        <v>1.6</v>
      </c>
      <c r="N214" s="9">
        <v>1.41</v>
      </c>
      <c r="O214" s="9">
        <v>88.0</v>
      </c>
      <c r="P214" s="9">
        <v>1.1</v>
      </c>
      <c r="Q214" s="9">
        <v>1.2</v>
      </c>
      <c r="R214" s="9">
        <v>120.0</v>
      </c>
      <c r="S214" s="9" t="s">
        <v>277</v>
      </c>
      <c r="T214" s="9" t="s">
        <v>277</v>
      </c>
    </row>
    <row r="215" ht="12.75" customHeight="1">
      <c r="A215" s="9" t="s">
        <v>450</v>
      </c>
      <c r="B215" s="9">
        <v>-1.110188</v>
      </c>
      <c r="C215" s="9">
        <v>52.974749</v>
      </c>
      <c r="D215" s="9" t="s">
        <v>279</v>
      </c>
      <c r="E215" s="9" t="s">
        <v>289</v>
      </c>
      <c r="F215" s="9" t="s">
        <v>283</v>
      </c>
      <c r="G215" s="9" t="s">
        <v>295</v>
      </c>
      <c r="H215" s="9">
        <v>1450.0</v>
      </c>
      <c r="I215" s="9" t="s">
        <v>284</v>
      </c>
      <c r="J215" s="9" t="s">
        <v>377</v>
      </c>
      <c r="K215" s="9">
        <v>-0.23638877806423</v>
      </c>
      <c r="L215" s="9">
        <v>0.00508920678973484</v>
      </c>
      <c r="M215" s="9">
        <v>1.9</v>
      </c>
      <c r="N215" s="9">
        <v>1.49</v>
      </c>
      <c r="O215" s="9">
        <v>275.0</v>
      </c>
      <c r="P215" s="9">
        <v>1.5</v>
      </c>
      <c r="Q215" s="9">
        <v>1.57</v>
      </c>
      <c r="R215" s="9">
        <v>384.0</v>
      </c>
      <c r="S215" s="9" t="s">
        <v>277</v>
      </c>
      <c r="T215" s="9" t="s">
        <v>277</v>
      </c>
    </row>
    <row r="216" ht="12.75" customHeight="1">
      <c r="A216" s="9" t="s">
        <v>451</v>
      </c>
      <c r="B216" s="9">
        <v>-1.110188</v>
      </c>
      <c r="C216" s="9">
        <v>52.974749</v>
      </c>
      <c r="D216" s="9" t="s">
        <v>279</v>
      </c>
      <c r="E216" s="9" t="s">
        <v>289</v>
      </c>
      <c r="F216" s="9" t="s">
        <v>283</v>
      </c>
      <c r="G216" s="9" t="s">
        <v>295</v>
      </c>
      <c r="H216" s="9">
        <v>1450.0</v>
      </c>
      <c r="I216" s="9" t="s">
        <v>284</v>
      </c>
      <c r="J216" s="9" t="s">
        <v>377</v>
      </c>
      <c r="K216" s="9">
        <v>-0.154150679827258</v>
      </c>
      <c r="L216" s="9">
        <v>0.00957007654940133</v>
      </c>
      <c r="M216" s="9">
        <v>1.4</v>
      </c>
      <c r="N216" s="9">
        <v>1.66</v>
      </c>
      <c r="O216" s="9">
        <v>275.0</v>
      </c>
      <c r="P216" s="9">
        <v>1.2</v>
      </c>
      <c r="Q216" s="9">
        <v>1.57</v>
      </c>
      <c r="R216" s="9">
        <v>384.0</v>
      </c>
      <c r="S216" s="9" t="s">
        <v>277</v>
      </c>
      <c r="T216" s="9" t="s">
        <v>277</v>
      </c>
    </row>
    <row r="217" ht="12.75" customHeight="1">
      <c r="A217" s="9" t="s">
        <v>452</v>
      </c>
      <c r="B217" s="9">
        <v>-1.110188</v>
      </c>
      <c r="C217" s="9">
        <v>52.974749</v>
      </c>
      <c r="D217" s="9" t="s">
        <v>279</v>
      </c>
      <c r="E217" s="9" t="s">
        <v>289</v>
      </c>
      <c r="F217" s="9" t="s">
        <v>283</v>
      </c>
      <c r="G217" s="9" t="s">
        <v>295</v>
      </c>
      <c r="H217" s="9">
        <v>1450.0</v>
      </c>
      <c r="I217" s="9" t="s">
        <v>284</v>
      </c>
      <c r="J217" s="9" t="s">
        <v>377</v>
      </c>
      <c r="K217" s="9">
        <v>-0.241162056816888</v>
      </c>
      <c r="L217" s="9">
        <v>0.0141123267055753</v>
      </c>
      <c r="M217" s="9">
        <v>1.4</v>
      </c>
      <c r="N217" s="9">
        <v>1.65</v>
      </c>
      <c r="O217" s="9">
        <v>188.0</v>
      </c>
      <c r="P217" s="9">
        <v>1.1</v>
      </c>
      <c r="Q217" s="9">
        <v>1.46</v>
      </c>
      <c r="R217" s="9">
        <v>262.0</v>
      </c>
      <c r="S217" s="9" t="s">
        <v>277</v>
      </c>
      <c r="T217" s="9" t="s">
        <v>277</v>
      </c>
    </row>
    <row r="218" ht="12.75" customHeight="1">
      <c r="A218" s="9" t="s">
        <v>453</v>
      </c>
      <c r="B218" s="9">
        <v>-1.110188</v>
      </c>
      <c r="C218" s="9">
        <v>52.974749</v>
      </c>
      <c r="D218" s="9" t="s">
        <v>279</v>
      </c>
      <c r="E218" s="9" t="s">
        <v>289</v>
      </c>
      <c r="F218" s="9" t="s">
        <v>283</v>
      </c>
      <c r="G218" s="9" t="s">
        <v>295</v>
      </c>
      <c r="H218" s="9">
        <v>1450.0</v>
      </c>
      <c r="I218" s="9" t="s">
        <v>284</v>
      </c>
      <c r="J218" s="9" t="s">
        <v>377</v>
      </c>
      <c r="K218" s="9">
        <v>0.0512932943875505</v>
      </c>
      <c r="L218" s="9">
        <v>0.00637409027952657</v>
      </c>
      <c r="M218" s="9">
        <v>1.9</v>
      </c>
      <c r="N218" s="9">
        <v>1.82</v>
      </c>
      <c r="O218" s="9">
        <v>275.0</v>
      </c>
      <c r="P218" s="9">
        <v>2.0</v>
      </c>
      <c r="Q218" s="9">
        <v>2.16</v>
      </c>
      <c r="R218" s="9">
        <v>384.0</v>
      </c>
      <c r="S218" s="9" t="s">
        <v>277</v>
      </c>
      <c r="T218" s="9" t="s">
        <v>277</v>
      </c>
    </row>
    <row r="219" ht="12.75" customHeight="1">
      <c r="A219" s="9" t="s">
        <v>454</v>
      </c>
      <c r="B219" s="9">
        <v>-1.110188</v>
      </c>
      <c r="C219" s="9">
        <v>52.974749</v>
      </c>
      <c r="D219" s="9" t="s">
        <v>279</v>
      </c>
      <c r="E219" s="9" t="s">
        <v>282</v>
      </c>
      <c r="F219" s="9" t="s">
        <v>283</v>
      </c>
      <c r="G219" s="9" t="s">
        <v>295</v>
      </c>
      <c r="H219" s="9">
        <v>1450.0</v>
      </c>
      <c r="I219" s="9" t="s">
        <v>284</v>
      </c>
      <c r="J219" s="9" t="s">
        <v>377</v>
      </c>
      <c r="K219" s="9">
        <v>0.0859424298007248</v>
      </c>
      <c r="L219" s="9">
        <v>0.00186246265876703</v>
      </c>
      <c r="M219" s="9">
        <v>7.8</v>
      </c>
      <c r="N219" s="9">
        <v>2.24</v>
      </c>
      <c r="O219" s="9">
        <v>69.0</v>
      </c>
      <c r="P219" s="9">
        <v>8.5</v>
      </c>
      <c r="Q219" s="9">
        <v>2.14</v>
      </c>
      <c r="R219" s="9">
        <v>95.0</v>
      </c>
      <c r="S219" s="9" t="s">
        <v>277</v>
      </c>
      <c r="T219" s="9" t="s">
        <v>277</v>
      </c>
    </row>
    <row r="220" ht="12.75" customHeight="1">
      <c r="A220" s="9" t="s">
        <v>455</v>
      </c>
      <c r="B220" s="9">
        <v>118.733333</v>
      </c>
      <c r="C220" s="9">
        <v>36.916667</v>
      </c>
      <c r="D220" s="9" t="s">
        <v>288</v>
      </c>
      <c r="E220" s="9" t="s">
        <v>289</v>
      </c>
      <c r="F220" s="9" t="s">
        <v>283</v>
      </c>
      <c r="G220" s="9" t="s">
        <v>295</v>
      </c>
      <c r="H220" s="9" t="s">
        <v>296</v>
      </c>
      <c r="I220" s="9" t="s">
        <v>284</v>
      </c>
      <c r="J220" s="9">
        <v>21.8</v>
      </c>
      <c r="K220" s="9">
        <v>-0.249998638617386</v>
      </c>
      <c r="L220" s="9">
        <v>0.155678771141041</v>
      </c>
      <c r="M220" s="9">
        <v>2.17</v>
      </c>
      <c r="N220" s="9">
        <v>0.888</v>
      </c>
      <c r="O220" s="9">
        <v>3.0</v>
      </c>
      <c r="P220" s="9">
        <v>1.69</v>
      </c>
      <c r="Q220" s="9">
        <v>0.925</v>
      </c>
      <c r="R220" s="9">
        <v>3.0</v>
      </c>
      <c r="S220" s="9" t="s">
        <v>285</v>
      </c>
      <c r="T220" s="9" t="s">
        <v>285</v>
      </c>
    </row>
    <row r="221" ht="12.75" customHeight="1">
      <c r="A221" s="9" t="s">
        <v>456</v>
      </c>
      <c r="B221" s="9">
        <v>75.8573449</v>
      </c>
      <c r="C221" s="9">
        <v>14.335082</v>
      </c>
      <c r="D221" s="9" t="s">
        <v>288</v>
      </c>
      <c r="E221" s="9" t="s">
        <v>289</v>
      </c>
      <c r="F221" s="9" t="s">
        <v>283</v>
      </c>
      <c r="G221" s="9" t="s">
        <v>339</v>
      </c>
      <c r="H221" s="9" t="s">
        <v>311</v>
      </c>
      <c r="I221" s="9" t="s">
        <v>284</v>
      </c>
      <c r="J221" s="9">
        <v>1.0</v>
      </c>
      <c r="K221" s="9">
        <v>1.03821657837837</v>
      </c>
      <c r="L221" s="9">
        <v>0.0351782714417534</v>
      </c>
      <c r="M221" s="9">
        <v>0.91</v>
      </c>
      <c r="N221" s="9">
        <v>1.13</v>
      </c>
      <c r="O221" s="9">
        <v>78.0</v>
      </c>
      <c r="P221" s="9">
        <v>2.57</v>
      </c>
      <c r="Q221" s="9">
        <v>1.53</v>
      </c>
      <c r="R221" s="9">
        <v>23.0</v>
      </c>
      <c r="S221" s="9" t="s">
        <v>277</v>
      </c>
      <c r="T221" s="9" t="s">
        <v>277</v>
      </c>
    </row>
    <row r="222" ht="12.75" customHeight="1">
      <c r="A222" s="9" t="s">
        <v>457</v>
      </c>
      <c r="B222" s="9">
        <v>-71.166667</v>
      </c>
      <c r="C222" s="9">
        <v>47.333333</v>
      </c>
      <c r="D222" s="9" t="s">
        <v>271</v>
      </c>
      <c r="E222" s="9" t="s">
        <v>289</v>
      </c>
      <c r="F222" s="9" t="s">
        <v>273</v>
      </c>
      <c r="G222" s="9" t="s">
        <v>274</v>
      </c>
      <c r="H222" s="9" t="s">
        <v>275</v>
      </c>
      <c r="I222" s="9" t="s">
        <v>284</v>
      </c>
      <c r="J222" s="9">
        <v>100.0</v>
      </c>
      <c r="K222" s="9">
        <v>0.0291565842914555</v>
      </c>
      <c r="L222" s="9">
        <v>0.00208044056373878</v>
      </c>
      <c r="M222" s="9">
        <v>33.8</v>
      </c>
      <c r="N222" s="9">
        <v>5.11</v>
      </c>
      <c r="O222" s="9">
        <v>15.0</v>
      </c>
      <c r="P222" s="9">
        <v>34.8</v>
      </c>
      <c r="Q222" s="9">
        <v>3.18</v>
      </c>
      <c r="R222" s="9">
        <v>15.0</v>
      </c>
      <c r="S222" s="9" t="s">
        <v>277</v>
      </c>
      <c r="T222" s="9" t="s">
        <v>277</v>
      </c>
    </row>
    <row r="223" ht="12.75" customHeight="1">
      <c r="A223" s="9" t="s">
        <v>457</v>
      </c>
      <c r="B223" s="9">
        <v>-71.166667</v>
      </c>
      <c r="C223" s="9">
        <v>47.333333</v>
      </c>
      <c r="D223" s="9" t="s">
        <v>279</v>
      </c>
      <c r="E223" s="9" t="s">
        <v>289</v>
      </c>
      <c r="F223" s="9" t="s">
        <v>273</v>
      </c>
      <c r="G223" s="9" t="s">
        <v>274</v>
      </c>
      <c r="H223" s="9" t="s">
        <v>275</v>
      </c>
      <c r="I223" s="9" t="s">
        <v>284</v>
      </c>
      <c r="J223" s="9">
        <v>100.0</v>
      </c>
      <c r="K223" s="9">
        <v>0.0315664659678345</v>
      </c>
      <c r="L223" s="9">
        <v>0.00769741094743119</v>
      </c>
      <c r="M223" s="9">
        <v>34.3</v>
      </c>
      <c r="N223" s="9">
        <v>4.05</v>
      </c>
      <c r="O223" s="9">
        <v>30.0</v>
      </c>
      <c r="P223" s="9">
        <v>35.4</v>
      </c>
      <c r="Q223" s="9">
        <v>11.66</v>
      </c>
      <c r="R223" s="9">
        <v>15.0</v>
      </c>
      <c r="S223" s="9" t="s">
        <v>277</v>
      </c>
      <c r="T223" s="9" t="s">
        <v>277</v>
      </c>
    </row>
    <row r="224" ht="12.75" customHeight="1">
      <c r="A224" s="9" t="s">
        <v>458</v>
      </c>
      <c r="B224" s="9">
        <v>-71.166667</v>
      </c>
      <c r="C224" s="9">
        <v>47.333333</v>
      </c>
      <c r="D224" s="9" t="s">
        <v>271</v>
      </c>
      <c r="E224" s="9" t="s">
        <v>289</v>
      </c>
      <c r="F224" s="9" t="s">
        <v>273</v>
      </c>
      <c r="G224" s="9" t="s">
        <v>274</v>
      </c>
      <c r="H224" s="9" t="s">
        <v>275</v>
      </c>
      <c r="I224" s="9" t="s">
        <v>284</v>
      </c>
      <c r="J224" s="9">
        <v>100.0</v>
      </c>
      <c r="K224" s="9">
        <v>0.135036283803943</v>
      </c>
      <c r="L224" s="9">
        <v>0.00497342518959461</v>
      </c>
      <c r="M224" s="9">
        <v>16.6</v>
      </c>
      <c r="N224" s="9">
        <v>3.76</v>
      </c>
      <c r="O224" s="9">
        <v>15.0</v>
      </c>
      <c r="P224" s="9">
        <v>19.0</v>
      </c>
      <c r="Q224" s="9">
        <v>2.9</v>
      </c>
      <c r="R224" s="9">
        <v>15.0</v>
      </c>
      <c r="S224" s="9" t="s">
        <v>277</v>
      </c>
      <c r="T224" s="9" t="s">
        <v>277</v>
      </c>
    </row>
    <row r="225" ht="12.75" customHeight="1">
      <c r="A225" s="9" t="s">
        <v>458</v>
      </c>
      <c r="B225" s="9">
        <v>-71.166667</v>
      </c>
      <c r="C225" s="9">
        <v>47.333333</v>
      </c>
      <c r="D225" s="9" t="s">
        <v>279</v>
      </c>
      <c r="E225" s="9" t="s">
        <v>289</v>
      </c>
      <c r="F225" s="9" t="s">
        <v>273</v>
      </c>
      <c r="G225" s="9" t="s">
        <v>274</v>
      </c>
      <c r="H225" s="9" t="s">
        <v>275</v>
      </c>
      <c r="I225" s="9" t="s">
        <v>284</v>
      </c>
      <c r="J225" s="9">
        <v>100.0</v>
      </c>
      <c r="K225" s="9">
        <v>-0.0592556962090931</v>
      </c>
      <c r="L225" s="9">
        <v>0.00746816461728995</v>
      </c>
      <c r="M225" s="9">
        <v>18.25</v>
      </c>
      <c r="N225" s="9">
        <v>3.61</v>
      </c>
      <c r="O225" s="9">
        <v>30.0</v>
      </c>
      <c r="P225" s="9">
        <v>17.2</v>
      </c>
      <c r="Q225" s="9">
        <v>5.23</v>
      </c>
      <c r="R225" s="9">
        <v>15.0</v>
      </c>
      <c r="S225" s="9" t="s">
        <v>277</v>
      </c>
      <c r="T225" s="9" t="s">
        <v>277</v>
      </c>
    </row>
    <row r="226" ht="12.75" customHeight="1">
      <c r="A226" s="9" t="s">
        <v>459</v>
      </c>
      <c r="B226" s="9">
        <v>-71.166667</v>
      </c>
      <c r="C226" s="9">
        <v>47.333333</v>
      </c>
      <c r="D226" s="9" t="s">
        <v>271</v>
      </c>
      <c r="E226" s="9" t="s">
        <v>272</v>
      </c>
      <c r="F226" s="9" t="s">
        <v>273</v>
      </c>
      <c r="G226" s="9" t="s">
        <v>274</v>
      </c>
      <c r="H226" s="9" t="s">
        <v>275</v>
      </c>
      <c r="I226" s="9" t="s">
        <v>284</v>
      </c>
      <c r="J226" s="9">
        <v>100.0</v>
      </c>
      <c r="K226" s="9">
        <v>0.149159308358674</v>
      </c>
      <c r="L226" s="9">
        <v>0.0319741204577286</v>
      </c>
      <c r="M226" s="9">
        <v>3.73</v>
      </c>
      <c r="N226" s="9">
        <v>1.94</v>
      </c>
      <c r="O226" s="9">
        <v>15.0</v>
      </c>
      <c r="P226" s="9">
        <v>4.33</v>
      </c>
      <c r="Q226" s="9">
        <v>1.98</v>
      </c>
      <c r="R226" s="9">
        <v>15.0</v>
      </c>
      <c r="S226" s="9" t="s">
        <v>277</v>
      </c>
      <c r="T226" s="9" t="s">
        <v>277</v>
      </c>
    </row>
    <row r="227" ht="12.75" customHeight="1">
      <c r="A227" s="9" t="s">
        <v>459</v>
      </c>
      <c r="B227" s="9">
        <v>-71.166667</v>
      </c>
      <c r="C227" s="9">
        <v>47.333333</v>
      </c>
      <c r="D227" s="9" t="s">
        <v>279</v>
      </c>
      <c r="E227" s="9" t="s">
        <v>272</v>
      </c>
      <c r="F227" s="9" t="s">
        <v>273</v>
      </c>
      <c r="G227" s="9" t="s">
        <v>274</v>
      </c>
      <c r="H227" s="9" t="s">
        <v>275</v>
      </c>
      <c r="I227" s="9" t="s">
        <v>284</v>
      </c>
      <c r="J227" s="9">
        <v>100.0</v>
      </c>
      <c r="K227" s="9">
        <v>-0.00747201483870107</v>
      </c>
      <c r="L227" s="9">
        <v>0.0156975640743432</v>
      </c>
      <c r="M227" s="9">
        <v>4.03</v>
      </c>
      <c r="N227" s="9">
        <v>1.87</v>
      </c>
      <c r="O227" s="9">
        <v>30.0</v>
      </c>
      <c r="P227" s="9">
        <v>4.0</v>
      </c>
      <c r="Q227" s="9">
        <v>1.43</v>
      </c>
      <c r="R227" s="9">
        <v>15.0</v>
      </c>
      <c r="S227" s="9" t="s">
        <v>277</v>
      </c>
      <c r="T227" s="9" t="s">
        <v>277</v>
      </c>
    </row>
    <row r="228" ht="12.75" customHeight="1">
      <c r="A228" s="9" t="s">
        <v>460</v>
      </c>
      <c r="B228" s="9">
        <v>6.047399</v>
      </c>
      <c r="C228" s="9">
        <v>4.798869</v>
      </c>
      <c r="D228" s="9" t="s">
        <v>278</v>
      </c>
      <c r="E228" s="9" t="s">
        <v>272</v>
      </c>
      <c r="F228" s="9" t="s">
        <v>273</v>
      </c>
      <c r="G228" s="9" t="s">
        <v>293</v>
      </c>
      <c r="H228" s="9">
        <v>1450.0</v>
      </c>
      <c r="I228" s="9" t="s">
        <v>276</v>
      </c>
      <c r="J228" s="9" t="s">
        <v>377</v>
      </c>
      <c r="K228" s="9">
        <v>0.581170484540931</v>
      </c>
      <c r="L228" s="9">
        <v>0.00247085570117311</v>
      </c>
      <c r="M228" s="9">
        <v>15.67</v>
      </c>
      <c r="N228" s="9">
        <v>1.92</v>
      </c>
      <c r="O228" s="9">
        <v>12.0</v>
      </c>
      <c r="P228" s="9">
        <v>28.02</v>
      </c>
      <c r="Q228" s="9">
        <v>3.39</v>
      </c>
      <c r="R228" s="9">
        <v>12.0</v>
      </c>
      <c r="S228" s="9" t="s">
        <v>277</v>
      </c>
      <c r="T228" s="9" t="s">
        <v>277</v>
      </c>
    </row>
    <row r="229" ht="12.75" customHeight="1">
      <c r="A229" s="9" t="s">
        <v>461</v>
      </c>
      <c r="B229" s="9">
        <v>-96.959286</v>
      </c>
      <c r="C229" s="9">
        <v>19.456422</v>
      </c>
      <c r="D229" s="9" t="s">
        <v>278</v>
      </c>
      <c r="E229" s="9" t="s">
        <v>282</v>
      </c>
      <c r="F229" s="9" t="s">
        <v>283</v>
      </c>
      <c r="G229" s="9" t="s">
        <v>293</v>
      </c>
      <c r="H229" s="9">
        <v>1450.0</v>
      </c>
      <c r="I229" s="9" t="s">
        <v>284</v>
      </c>
      <c r="J229" s="9">
        <v>153.0</v>
      </c>
      <c r="K229" s="9">
        <v>-0.268263986594679</v>
      </c>
      <c r="L229" s="9">
        <v>0.065777600307453</v>
      </c>
      <c r="M229" s="9">
        <v>17.0</v>
      </c>
      <c r="N229" s="9">
        <v>3.7413085845</v>
      </c>
      <c r="O229" s="9">
        <v>2.0</v>
      </c>
      <c r="P229" s="9">
        <v>13.0</v>
      </c>
      <c r="Q229" s="9">
        <v>3.748</v>
      </c>
      <c r="R229" s="9">
        <v>2.0</v>
      </c>
      <c r="S229" s="9" t="s">
        <v>285</v>
      </c>
      <c r="T229" s="9" t="s">
        <v>285</v>
      </c>
    </row>
    <row r="230" ht="12.75" customHeight="1">
      <c r="A230" s="9" t="s">
        <v>462</v>
      </c>
      <c r="B230" s="9">
        <v>9.354281</v>
      </c>
      <c r="C230" s="9">
        <v>48.300293</v>
      </c>
      <c r="D230" s="9" t="s">
        <v>298</v>
      </c>
      <c r="E230" s="9" t="s">
        <v>272</v>
      </c>
      <c r="F230" s="9" t="s">
        <v>273</v>
      </c>
      <c r="G230" s="9" t="s">
        <v>295</v>
      </c>
      <c r="H230" s="9" t="s">
        <v>311</v>
      </c>
      <c r="I230" s="9" t="s">
        <v>284</v>
      </c>
      <c r="J230" s="9">
        <v>400.0</v>
      </c>
      <c r="K230" s="9">
        <v>0.0</v>
      </c>
      <c r="L230" s="9">
        <v>0.0094144646626828</v>
      </c>
      <c r="M230" s="9">
        <v>2.3</v>
      </c>
      <c r="N230" s="9">
        <v>1.67</v>
      </c>
      <c r="O230" s="9">
        <v>70.0</v>
      </c>
      <c r="P230" s="9">
        <v>2.3</v>
      </c>
      <c r="Q230" s="9">
        <v>1.6</v>
      </c>
      <c r="R230" s="9">
        <v>257.0</v>
      </c>
      <c r="S230" s="9" t="s">
        <v>277</v>
      </c>
      <c r="T230" s="9" t="s">
        <v>277</v>
      </c>
    </row>
    <row r="231" ht="12.75" customHeight="1">
      <c r="A231" s="9" t="s">
        <v>463</v>
      </c>
      <c r="B231" s="9">
        <v>10.454313</v>
      </c>
      <c r="C231" s="9">
        <v>51.059247</v>
      </c>
      <c r="D231" s="9" t="s">
        <v>298</v>
      </c>
      <c r="E231" s="9" t="s">
        <v>272</v>
      </c>
      <c r="F231" s="9" t="s">
        <v>273</v>
      </c>
      <c r="G231" s="9" t="s">
        <v>295</v>
      </c>
      <c r="H231" s="9" t="s">
        <v>311</v>
      </c>
      <c r="I231" s="9" t="s">
        <v>284</v>
      </c>
      <c r="J231" s="9">
        <v>400.0</v>
      </c>
      <c r="K231" s="9">
        <v>-0.042559614418796</v>
      </c>
      <c r="L231" s="9">
        <v>0.00362522590731928</v>
      </c>
      <c r="M231" s="9">
        <v>2.4</v>
      </c>
      <c r="N231" s="9">
        <v>1.12</v>
      </c>
      <c r="O231" s="9">
        <v>125.0</v>
      </c>
      <c r="P231" s="9">
        <v>2.3</v>
      </c>
      <c r="Q231" s="9">
        <v>1.6</v>
      </c>
      <c r="R231" s="9">
        <v>257.0</v>
      </c>
      <c r="S231" s="9" t="s">
        <v>277</v>
      </c>
      <c r="T231" s="9" t="s">
        <v>277</v>
      </c>
    </row>
    <row r="232" ht="12.75" customHeight="1">
      <c r="A232" s="9" t="s">
        <v>464</v>
      </c>
      <c r="B232" s="9">
        <v>9.354281</v>
      </c>
      <c r="C232" s="9">
        <v>48.300293</v>
      </c>
      <c r="D232" s="9" t="s">
        <v>298</v>
      </c>
      <c r="E232" s="9" t="s">
        <v>272</v>
      </c>
      <c r="F232" s="9" t="s">
        <v>273</v>
      </c>
      <c r="G232" s="9" t="s">
        <v>295</v>
      </c>
      <c r="H232" s="9" t="s">
        <v>311</v>
      </c>
      <c r="I232" s="9" t="s">
        <v>284</v>
      </c>
      <c r="J232" s="9">
        <v>400.0</v>
      </c>
      <c r="K232" s="9">
        <v>-0.0317486983145803</v>
      </c>
      <c r="L232" s="9">
        <v>0.00495711960197372</v>
      </c>
      <c r="M232" s="9">
        <v>6.4</v>
      </c>
      <c r="N232" s="9">
        <v>3.35</v>
      </c>
      <c r="O232" s="9">
        <v>70.0</v>
      </c>
      <c r="P232" s="9">
        <v>6.2</v>
      </c>
      <c r="Q232" s="9">
        <v>3.21</v>
      </c>
      <c r="R232" s="9">
        <v>257.0</v>
      </c>
      <c r="S232" s="9" t="s">
        <v>277</v>
      </c>
      <c r="T232" s="9" t="s">
        <v>277</v>
      </c>
    </row>
    <row r="233" ht="12.75" customHeight="1">
      <c r="A233" s="9" t="s">
        <v>465</v>
      </c>
      <c r="B233" s="9">
        <v>10.454313</v>
      </c>
      <c r="C233" s="9">
        <v>51.059247</v>
      </c>
      <c r="D233" s="9" t="s">
        <v>298</v>
      </c>
      <c r="E233" s="9" t="s">
        <v>272</v>
      </c>
      <c r="F233" s="9" t="s">
        <v>273</v>
      </c>
      <c r="G233" s="9" t="s">
        <v>295</v>
      </c>
      <c r="H233" s="9" t="s">
        <v>311</v>
      </c>
      <c r="I233" s="9" t="s">
        <v>284</v>
      </c>
      <c r="J233" s="9">
        <v>400.0</v>
      </c>
      <c r="K233" s="9">
        <v>-0.117783035656383</v>
      </c>
      <c r="L233" s="9">
        <v>0.00271071919603719</v>
      </c>
      <c r="M233" s="9">
        <v>7.2</v>
      </c>
      <c r="N233" s="9">
        <v>3.35</v>
      </c>
      <c r="O233" s="9">
        <v>125.0</v>
      </c>
      <c r="P233" s="9">
        <v>6.4</v>
      </c>
      <c r="Q233" s="9">
        <v>3.21</v>
      </c>
      <c r="R233" s="9">
        <v>257.0</v>
      </c>
      <c r="S233" s="9" t="s">
        <v>277</v>
      </c>
      <c r="T233" s="9" t="s">
        <v>277</v>
      </c>
    </row>
    <row r="234" ht="12.75" customHeight="1">
      <c r="A234" s="9" t="s">
        <v>466</v>
      </c>
      <c r="B234" s="9">
        <v>9.354281</v>
      </c>
      <c r="C234" s="9">
        <v>48.300293</v>
      </c>
      <c r="D234" s="9" t="s">
        <v>298</v>
      </c>
      <c r="E234" s="9" t="s">
        <v>272</v>
      </c>
      <c r="F234" s="9" t="s">
        <v>273</v>
      </c>
      <c r="G234" s="9" t="s">
        <v>295</v>
      </c>
      <c r="H234" s="9" t="s">
        <v>311</v>
      </c>
      <c r="I234" s="9" t="s">
        <v>284</v>
      </c>
      <c r="J234" s="9">
        <v>400.0</v>
      </c>
      <c r="K234" s="9">
        <v>0.100083458556982</v>
      </c>
      <c r="L234" s="9">
        <v>0.00435438015850049</v>
      </c>
      <c r="M234" s="9">
        <v>13.3</v>
      </c>
      <c r="N234" s="9">
        <v>6.69</v>
      </c>
      <c r="O234" s="9">
        <v>70.0</v>
      </c>
      <c r="P234" s="9">
        <v>14.7</v>
      </c>
      <c r="Q234" s="9">
        <v>6.41</v>
      </c>
      <c r="R234" s="9">
        <v>257.0</v>
      </c>
      <c r="S234" s="9" t="s">
        <v>277</v>
      </c>
      <c r="T234" s="9" t="s">
        <v>277</v>
      </c>
    </row>
    <row r="235" ht="12.75" customHeight="1">
      <c r="A235" s="9" t="s">
        <v>467</v>
      </c>
      <c r="B235" s="9">
        <v>10.454313</v>
      </c>
      <c r="C235" s="9">
        <v>51.059247</v>
      </c>
      <c r="D235" s="9" t="s">
        <v>298</v>
      </c>
      <c r="E235" s="9" t="s">
        <v>272</v>
      </c>
      <c r="F235" s="9" t="s">
        <v>273</v>
      </c>
      <c r="G235" s="9" t="s">
        <v>295</v>
      </c>
      <c r="H235" s="9" t="s">
        <v>311</v>
      </c>
      <c r="I235" s="9" t="s">
        <v>284</v>
      </c>
      <c r="J235" s="9">
        <v>400.0</v>
      </c>
      <c r="K235" s="9">
        <v>-0.0724550792154224</v>
      </c>
      <c r="L235" s="9">
        <v>7.62830532181892E-4</v>
      </c>
      <c r="M235" s="9">
        <v>18.6</v>
      </c>
      <c r="N235" s="9">
        <v>4.47</v>
      </c>
      <c r="O235" s="9">
        <v>125.0</v>
      </c>
      <c r="P235" s="9">
        <v>17.3</v>
      </c>
      <c r="Q235" s="9">
        <v>4.81</v>
      </c>
      <c r="R235" s="9">
        <v>257.0</v>
      </c>
      <c r="S235" s="9" t="s">
        <v>277</v>
      </c>
      <c r="T235" s="9" t="s">
        <v>277</v>
      </c>
    </row>
    <row r="236" ht="12.75" customHeight="1">
      <c r="A236" s="9" t="s">
        <v>468</v>
      </c>
      <c r="B236" s="9">
        <v>9.354281</v>
      </c>
      <c r="C236" s="9">
        <v>48.300293</v>
      </c>
      <c r="D236" s="9" t="s">
        <v>298</v>
      </c>
      <c r="E236" s="9" t="s">
        <v>272</v>
      </c>
      <c r="F236" s="9" t="s">
        <v>273</v>
      </c>
      <c r="G236" s="9" t="s">
        <v>295</v>
      </c>
      <c r="H236" s="9" t="s">
        <v>311</v>
      </c>
      <c r="I236" s="9" t="s">
        <v>284</v>
      </c>
      <c r="J236" s="9">
        <v>400.0</v>
      </c>
      <c r="K236" s="9">
        <v>0.628608659422374</v>
      </c>
      <c r="L236" s="9">
        <v>0.0451594453033321</v>
      </c>
      <c r="M236" s="9">
        <v>1.6</v>
      </c>
      <c r="N236" s="9">
        <v>2.51</v>
      </c>
      <c r="O236" s="9">
        <v>70.0</v>
      </c>
      <c r="P236" s="9">
        <v>3.0</v>
      </c>
      <c r="Q236" s="9">
        <v>4.81</v>
      </c>
      <c r="R236" s="9">
        <v>257.0</v>
      </c>
      <c r="S236" s="9" t="s">
        <v>277</v>
      </c>
      <c r="T236" s="9" t="s">
        <v>277</v>
      </c>
    </row>
    <row r="237" ht="12.75" customHeight="1">
      <c r="A237" s="9" t="s">
        <v>469</v>
      </c>
      <c r="B237" s="9">
        <v>10.454313</v>
      </c>
      <c r="C237" s="9">
        <v>51.059247</v>
      </c>
      <c r="D237" s="9" t="s">
        <v>298</v>
      </c>
      <c r="E237" s="9" t="s">
        <v>272</v>
      </c>
      <c r="F237" s="9" t="s">
        <v>273</v>
      </c>
      <c r="G237" s="9" t="s">
        <v>295</v>
      </c>
      <c r="H237" s="9" t="s">
        <v>311</v>
      </c>
      <c r="I237" s="9" t="s">
        <v>284</v>
      </c>
      <c r="J237" s="9">
        <v>400.0</v>
      </c>
      <c r="K237" s="9">
        <v>0.60077386042893</v>
      </c>
      <c r="L237" s="9">
        <v>0.0180616390719767</v>
      </c>
      <c r="M237" s="9">
        <v>1.7</v>
      </c>
      <c r="N237" s="9">
        <v>2.24</v>
      </c>
      <c r="O237" s="9">
        <v>125.0</v>
      </c>
      <c r="P237" s="9">
        <v>3.1</v>
      </c>
      <c r="Q237" s="9">
        <v>3.21</v>
      </c>
      <c r="R237" s="9">
        <v>257.0</v>
      </c>
      <c r="S237" s="9" t="s">
        <v>277</v>
      </c>
      <c r="T237" s="9" t="s">
        <v>277</v>
      </c>
    </row>
    <row r="238" ht="12.75" customHeight="1">
      <c r="A238" s="9" t="s">
        <v>470</v>
      </c>
      <c r="B238" s="9">
        <v>18.55</v>
      </c>
      <c r="C238" s="9">
        <v>4.5</v>
      </c>
      <c r="D238" s="9" t="s">
        <v>271</v>
      </c>
      <c r="E238" s="9" t="s">
        <v>272</v>
      </c>
      <c r="F238" s="9" t="s">
        <v>273</v>
      </c>
      <c r="G238" s="9" t="s">
        <v>293</v>
      </c>
      <c r="H238" s="9">
        <v>1950.0</v>
      </c>
      <c r="I238" s="9" t="s">
        <v>276</v>
      </c>
      <c r="J238" s="9">
        <v>1.0</v>
      </c>
      <c r="K238" s="9">
        <v>0.0562452986644488</v>
      </c>
      <c r="L238" s="9">
        <v>5.1436933757167E-4</v>
      </c>
      <c r="M238" s="9">
        <v>126.0</v>
      </c>
      <c r="N238" s="9">
        <v>8.67</v>
      </c>
      <c r="O238" s="9">
        <v>12.0</v>
      </c>
      <c r="P238" s="9">
        <v>133.29</v>
      </c>
      <c r="Q238" s="9">
        <v>3.86</v>
      </c>
      <c r="R238" s="9">
        <v>7.0</v>
      </c>
      <c r="S238" s="9" t="s">
        <v>277</v>
      </c>
      <c r="T238" s="9" t="s">
        <v>277</v>
      </c>
    </row>
    <row r="239" ht="12.75" customHeight="1">
      <c r="A239" s="9" t="s">
        <v>471</v>
      </c>
      <c r="B239" s="9">
        <v>11.033333</v>
      </c>
      <c r="C239" s="9">
        <v>50.983333</v>
      </c>
      <c r="D239" s="9" t="s">
        <v>279</v>
      </c>
      <c r="E239" s="9" t="s">
        <v>272</v>
      </c>
      <c r="F239" s="9" t="s">
        <v>326</v>
      </c>
      <c r="G239" s="9" t="s">
        <v>295</v>
      </c>
      <c r="H239" s="9" t="s">
        <v>311</v>
      </c>
      <c r="I239" s="9" t="s">
        <v>276</v>
      </c>
      <c r="J239" s="9">
        <v>16.0</v>
      </c>
      <c r="K239" s="9">
        <v>0.0372713947972314</v>
      </c>
      <c r="L239" s="9">
        <v>0.0102226684815435</v>
      </c>
      <c r="M239" s="9">
        <v>7.9</v>
      </c>
      <c r="N239" s="9">
        <v>2.97</v>
      </c>
      <c r="O239" s="9">
        <v>18.0</v>
      </c>
      <c r="P239" s="9">
        <v>8.2</v>
      </c>
      <c r="Q239" s="9">
        <v>2.15</v>
      </c>
      <c r="R239" s="9">
        <v>29.0</v>
      </c>
      <c r="S239" s="9" t="s">
        <v>277</v>
      </c>
      <c r="T239" s="9" t="s">
        <v>277</v>
      </c>
    </row>
    <row r="240" ht="12.75" customHeight="1">
      <c r="A240" s="9" t="s">
        <v>472</v>
      </c>
      <c r="B240" s="9">
        <v>11.033333</v>
      </c>
      <c r="C240" s="9">
        <v>50.983333</v>
      </c>
      <c r="D240" s="9" t="s">
        <v>279</v>
      </c>
      <c r="E240" s="9" t="s">
        <v>272</v>
      </c>
      <c r="F240" s="9" t="s">
        <v>326</v>
      </c>
      <c r="G240" s="9" t="s">
        <v>295</v>
      </c>
      <c r="H240" s="9" t="s">
        <v>311</v>
      </c>
      <c r="I240" s="9" t="s">
        <v>276</v>
      </c>
      <c r="J240" s="9">
        <v>16.0</v>
      </c>
      <c r="K240" s="9">
        <v>-0.167054084663166</v>
      </c>
      <c r="L240" s="9">
        <v>0.0320608816738549</v>
      </c>
      <c r="M240" s="9">
        <v>2.6</v>
      </c>
      <c r="N240" s="9">
        <v>1.7</v>
      </c>
      <c r="O240" s="9">
        <v>18.0</v>
      </c>
      <c r="P240" s="9">
        <v>2.2</v>
      </c>
      <c r="Q240" s="9">
        <v>1.08</v>
      </c>
      <c r="R240" s="9">
        <v>29.0</v>
      </c>
      <c r="S240" s="9" t="s">
        <v>277</v>
      </c>
      <c r="T240" s="9" t="s">
        <v>277</v>
      </c>
    </row>
    <row r="241" ht="12.75" customHeight="1">
      <c r="A241" s="9" t="s">
        <v>473</v>
      </c>
      <c r="B241" s="9">
        <v>11.033333</v>
      </c>
      <c r="C241" s="9">
        <v>50.983333</v>
      </c>
      <c r="D241" s="9" t="s">
        <v>279</v>
      </c>
      <c r="E241" s="9" t="s">
        <v>272</v>
      </c>
      <c r="F241" s="9" t="s">
        <v>326</v>
      </c>
      <c r="G241" s="9" t="s">
        <v>295</v>
      </c>
      <c r="H241" s="9" t="s">
        <v>311</v>
      </c>
      <c r="I241" s="9" t="s">
        <v>276</v>
      </c>
      <c r="J241" s="9">
        <v>16.0</v>
      </c>
      <c r="K241" s="9">
        <v>-0.207189623371968</v>
      </c>
      <c r="L241" s="9">
        <v>0.0129575393133579</v>
      </c>
      <c r="M241" s="9">
        <v>17.1</v>
      </c>
      <c r="N241" s="9">
        <v>6.79</v>
      </c>
      <c r="O241" s="9">
        <v>18.0</v>
      </c>
      <c r="P241" s="9">
        <v>13.9</v>
      </c>
      <c r="Q241" s="9">
        <v>4.85</v>
      </c>
      <c r="R241" s="9">
        <v>29.0</v>
      </c>
      <c r="S241" s="9" t="s">
        <v>277</v>
      </c>
      <c r="T241" s="9" t="s">
        <v>277</v>
      </c>
    </row>
    <row r="242" ht="12.75" customHeight="1">
      <c r="A242" s="9" t="s">
        <v>474</v>
      </c>
      <c r="B242" s="9">
        <v>11.033333</v>
      </c>
      <c r="C242" s="9">
        <v>50.983333</v>
      </c>
      <c r="D242" s="9" t="s">
        <v>279</v>
      </c>
      <c r="E242" s="9" t="s">
        <v>289</v>
      </c>
      <c r="F242" s="9" t="s">
        <v>326</v>
      </c>
      <c r="G242" s="9" t="s">
        <v>295</v>
      </c>
      <c r="H242" s="9" t="s">
        <v>311</v>
      </c>
      <c r="I242" s="9" t="s">
        <v>284</v>
      </c>
      <c r="J242" s="9">
        <v>120.0</v>
      </c>
      <c r="K242" s="9">
        <v>-0.287682072451781</v>
      </c>
      <c r="L242" s="9">
        <v>0.0434332375478927</v>
      </c>
      <c r="M242" s="9">
        <v>8.0</v>
      </c>
      <c r="N242" s="9">
        <v>4.24</v>
      </c>
      <c r="O242" s="9">
        <v>18.0</v>
      </c>
      <c r="P242" s="9">
        <v>6.0</v>
      </c>
      <c r="Q242" s="9">
        <v>5.39</v>
      </c>
      <c r="R242" s="9">
        <v>29.0</v>
      </c>
      <c r="S242" s="9" t="s">
        <v>277</v>
      </c>
      <c r="T242" s="9" t="s">
        <v>277</v>
      </c>
    </row>
    <row r="243" ht="12.75" customHeight="1">
      <c r="A243" s="9" t="s">
        <v>475</v>
      </c>
      <c r="B243" s="9">
        <v>11.033333</v>
      </c>
      <c r="C243" s="9">
        <v>50.983333</v>
      </c>
      <c r="D243" s="9" t="s">
        <v>279</v>
      </c>
      <c r="E243" s="9" t="s">
        <v>289</v>
      </c>
      <c r="F243" s="9" t="s">
        <v>326</v>
      </c>
      <c r="G243" s="9" t="s">
        <v>295</v>
      </c>
      <c r="H243" s="9" t="s">
        <v>311</v>
      </c>
      <c r="I243" s="9" t="s">
        <v>284</v>
      </c>
      <c r="J243" s="9">
        <v>120.0</v>
      </c>
      <c r="K243" s="9">
        <v>-1.09861228866811</v>
      </c>
      <c r="L243" s="9">
        <v>0.110972839506173</v>
      </c>
      <c r="M243" s="9">
        <v>3.0</v>
      </c>
      <c r="N243" s="9">
        <v>4.24</v>
      </c>
      <c r="O243" s="9">
        <v>18.0</v>
      </c>
      <c r="P243" s="9">
        <v>1.0</v>
      </c>
      <c r="Q243" s="9">
        <v>0.0</v>
      </c>
      <c r="R243" s="9">
        <v>29.0</v>
      </c>
      <c r="S243" s="9" t="s">
        <v>277</v>
      </c>
      <c r="T243" s="9" t="s">
        <v>277</v>
      </c>
    </row>
    <row r="244" ht="12.75" customHeight="1">
      <c r="A244" s="9" t="s">
        <v>476</v>
      </c>
      <c r="B244" s="9">
        <v>11.033333</v>
      </c>
      <c r="C244" s="9">
        <v>50.983333</v>
      </c>
      <c r="D244" s="9" t="s">
        <v>279</v>
      </c>
      <c r="E244" s="9" t="s">
        <v>289</v>
      </c>
      <c r="F244" s="9" t="s">
        <v>326</v>
      </c>
      <c r="G244" s="9" t="s">
        <v>295</v>
      </c>
      <c r="H244" s="9" t="s">
        <v>311</v>
      </c>
      <c r="I244" s="9" t="s">
        <v>284</v>
      </c>
      <c r="J244" s="9">
        <v>120.0</v>
      </c>
      <c r="K244" s="9">
        <v>0.0</v>
      </c>
      <c r="L244" s="9">
        <v>0.0408275940261162</v>
      </c>
      <c r="M244" s="9">
        <v>7.0</v>
      </c>
      <c r="N244" s="9">
        <v>4.24</v>
      </c>
      <c r="O244" s="9">
        <v>18.0</v>
      </c>
      <c r="P244" s="9">
        <v>7.0</v>
      </c>
      <c r="Q244" s="9">
        <v>5.39</v>
      </c>
      <c r="R244" s="9">
        <v>29.0</v>
      </c>
      <c r="S244" s="9" t="s">
        <v>277</v>
      </c>
      <c r="T244" s="9" t="s">
        <v>277</v>
      </c>
    </row>
    <row r="245" ht="12.75" customHeight="1">
      <c r="A245" s="9" t="s">
        <v>477</v>
      </c>
      <c r="B245" s="9">
        <v>11.033333</v>
      </c>
      <c r="C245" s="9">
        <v>50.983333</v>
      </c>
      <c r="D245" s="9" t="s">
        <v>279</v>
      </c>
      <c r="E245" s="9" t="s">
        <v>289</v>
      </c>
      <c r="F245" s="9" t="s">
        <v>326</v>
      </c>
      <c r="G245" s="9" t="s">
        <v>295</v>
      </c>
      <c r="H245" s="9" t="s">
        <v>311</v>
      </c>
      <c r="I245" s="9" t="s">
        <v>284</v>
      </c>
      <c r="J245" s="9">
        <v>120.0</v>
      </c>
      <c r="K245" s="9">
        <v>-0.182321556793955</v>
      </c>
      <c r="L245" s="9">
        <v>0.0277432098765432</v>
      </c>
      <c r="M245" s="9">
        <v>6.0</v>
      </c>
      <c r="N245" s="9">
        <v>4.24</v>
      </c>
      <c r="O245" s="9">
        <v>18.0</v>
      </c>
      <c r="P245" s="9">
        <v>5.0</v>
      </c>
      <c r="Q245" s="9">
        <v>0.0</v>
      </c>
      <c r="R245" s="9">
        <v>29.0</v>
      </c>
      <c r="S245" s="9" t="s">
        <v>277</v>
      </c>
      <c r="T245" s="9" t="s">
        <v>277</v>
      </c>
    </row>
    <row r="246" ht="12.75" customHeight="1">
      <c r="A246" s="9" t="s">
        <v>478</v>
      </c>
      <c r="B246" s="9">
        <v>102.612532</v>
      </c>
      <c r="C246" s="9">
        <v>32.390972</v>
      </c>
      <c r="D246" s="9" t="s">
        <v>288</v>
      </c>
      <c r="E246" s="9" t="s">
        <v>272</v>
      </c>
      <c r="F246" s="9" t="s">
        <v>273</v>
      </c>
      <c r="G246" s="9" t="s">
        <v>274</v>
      </c>
      <c r="H246" s="9" t="s">
        <v>311</v>
      </c>
      <c r="I246" s="9" t="s">
        <v>284</v>
      </c>
      <c r="J246" s="9">
        <v>300.0</v>
      </c>
      <c r="K246" s="9">
        <v>-0.413729617958058</v>
      </c>
      <c r="L246" s="9">
        <v>0.0568282355291417</v>
      </c>
      <c r="M246" s="9">
        <v>7.29</v>
      </c>
      <c r="N246" s="9">
        <v>3.23</v>
      </c>
      <c r="O246" s="9">
        <v>13.0</v>
      </c>
      <c r="P246" s="9">
        <v>4.82</v>
      </c>
      <c r="Q246" s="9">
        <v>3.55</v>
      </c>
      <c r="R246" s="9">
        <v>13.0</v>
      </c>
      <c r="S246" s="9" t="s">
        <v>277</v>
      </c>
      <c r="T246" s="9" t="s">
        <v>277</v>
      </c>
    </row>
    <row r="247" ht="12.75" customHeight="1">
      <c r="A247" s="9" t="s">
        <v>479</v>
      </c>
      <c r="B247" s="9">
        <v>102.612532</v>
      </c>
      <c r="C247" s="9">
        <v>32.390972</v>
      </c>
      <c r="D247" s="9" t="s">
        <v>288</v>
      </c>
      <c r="E247" s="9" t="s">
        <v>272</v>
      </c>
      <c r="F247" s="9" t="s">
        <v>273</v>
      </c>
      <c r="G247" s="9" t="s">
        <v>274</v>
      </c>
      <c r="H247" s="9" t="s">
        <v>311</v>
      </c>
      <c r="I247" s="9" t="s">
        <v>284</v>
      </c>
      <c r="J247" s="9">
        <v>300.0</v>
      </c>
      <c r="K247" s="9">
        <v>-0.227977950224751</v>
      </c>
      <c r="L247" s="9">
        <v>0.0167464684815993</v>
      </c>
      <c r="M247" s="9">
        <v>19.18</v>
      </c>
      <c r="N247" s="9">
        <v>6.05</v>
      </c>
      <c r="O247" s="9">
        <v>13.0</v>
      </c>
      <c r="P247" s="9">
        <v>15.27</v>
      </c>
      <c r="Q247" s="9">
        <v>5.25</v>
      </c>
      <c r="R247" s="9">
        <v>13.0</v>
      </c>
      <c r="S247" s="9" t="s">
        <v>277</v>
      </c>
      <c r="T247" s="9" t="s">
        <v>277</v>
      </c>
    </row>
    <row r="248" ht="12.75" customHeight="1">
      <c r="A248" s="9" t="s">
        <v>480</v>
      </c>
      <c r="B248" s="9">
        <v>102.612532</v>
      </c>
      <c r="C248" s="9">
        <v>32.390972</v>
      </c>
      <c r="D248" s="9" t="s">
        <v>288</v>
      </c>
      <c r="E248" s="9" t="s">
        <v>272</v>
      </c>
      <c r="F248" s="9" t="s">
        <v>273</v>
      </c>
      <c r="G248" s="9" t="s">
        <v>274</v>
      </c>
      <c r="H248" s="9" t="s">
        <v>311</v>
      </c>
      <c r="I248" s="9" t="s">
        <v>284</v>
      </c>
      <c r="J248" s="9">
        <v>300.0</v>
      </c>
      <c r="K248" s="9">
        <v>-0.427234675292404</v>
      </c>
      <c r="L248" s="9">
        <v>0.0138367567170679</v>
      </c>
      <c r="M248" s="9">
        <v>22.29</v>
      </c>
      <c r="N248" s="9">
        <v>5.2</v>
      </c>
      <c r="O248" s="9">
        <v>13.0</v>
      </c>
      <c r="P248" s="9">
        <v>14.54</v>
      </c>
      <c r="Q248" s="9">
        <v>5.15</v>
      </c>
      <c r="R248" s="9">
        <v>13.0</v>
      </c>
      <c r="S248" s="9" t="s">
        <v>277</v>
      </c>
      <c r="T248" s="9" t="s">
        <v>277</v>
      </c>
    </row>
    <row r="249" ht="12.75" customHeight="1">
      <c r="A249" s="9" t="s">
        <v>481</v>
      </c>
      <c r="B249" s="9">
        <v>-82.47</v>
      </c>
      <c r="C249" s="9">
        <v>49.42</v>
      </c>
      <c r="D249" s="9" t="s">
        <v>288</v>
      </c>
      <c r="E249" s="9" t="s">
        <v>282</v>
      </c>
      <c r="F249" s="9" t="s">
        <v>273</v>
      </c>
      <c r="G249" s="9" t="s">
        <v>274</v>
      </c>
      <c r="H249" s="9" t="s">
        <v>311</v>
      </c>
      <c r="I249" s="9" t="s">
        <v>284</v>
      </c>
      <c r="J249" s="9" t="s">
        <v>377</v>
      </c>
      <c r="K249" s="9">
        <v>-0.129677823308533</v>
      </c>
      <c r="L249" s="9">
        <v>0.00973855742837032</v>
      </c>
      <c r="M249" s="9">
        <v>22.2</v>
      </c>
      <c r="N249" s="9">
        <v>9.68</v>
      </c>
      <c r="O249" s="9">
        <v>33.0</v>
      </c>
      <c r="P249" s="9">
        <v>19.5</v>
      </c>
      <c r="Q249" s="9">
        <v>8.52</v>
      </c>
      <c r="R249" s="9">
        <v>48.0</v>
      </c>
      <c r="S249" s="9" t="s">
        <v>277</v>
      </c>
      <c r="T249" s="9" t="s">
        <v>277</v>
      </c>
    </row>
    <row r="250" ht="12.75" customHeight="1">
      <c r="A250" s="9" t="s">
        <v>482</v>
      </c>
      <c r="B250" s="9">
        <v>-82.47</v>
      </c>
      <c r="C250" s="9">
        <v>49.42</v>
      </c>
      <c r="D250" s="9" t="s">
        <v>288</v>
      </c>
      <c r="E250" s="9" t="s">
        <v>282</v>
      </c>
      <c r="F250" s="9" t="s">
        <v>273</v>
      </c>
      <c r="G250" s="9" t="s">
        <v>274</v>
      </c>
      <c r="H250" s="9" t="s">
        <v>311</v>
      </c>
      <c r="I250" s="9" t="s">
        <v>284</v>
      </c>
      <c r="J250" s="9" t="s">
        <v>377</v>
      </c>
      <c r="K250" s="9">
        <v>-0.0216224640131657</v>
      </c>
      <c r="L250" s="9">
        <v>0.0146295503457631</v>
      </c>
      <c r="M250" s="9">
        <v>18.7</v>
      </c>
      <c r="N250" s="9">
        <v>7.75</v>
      </c>
      <c r="O250" s="9">
        <v>24.0</v>
      </c>
      <c r="P250" s="9">
        <v>18.3</v>
      </c>
      <c r="Q250" s="9">
        <v>7.75</v>
      </c>
      <c r="R250" s="9">
        <v>24.0</v>
      </c>
      <c r="S250" s="9" t="s">
        <v>277</v>
      </c>
      <c r="T250" s="9" t="s">
        <v>277</v>
      </c>
    </row>
    <row r="251" ht="12.75" customHeight="1">
      <c r="A251" s="9" t="s">
        <v>483</v>
      </c>
      <c r="B251" s="9">
        <v>-2.35</v>
      </c>
      <c r="C251" s="9">
        <v>54.2</v>
      </c>
      <c r="D251" s="9" t="s">
        <v>271</v>
      </c>
      <c r="E251" s="9" t="s">
        <v>272</v>
      </c>
      <c r="F251" s="9" t="s">
        <v>326</v>
      </c>
      <c r="G251" s="9" t="s">
        <v>295</v>
      </c>
      <c r="H251" s="9">
        <v>1450.0</v>
      </c>
      <c r="I251" s="9" t="s">
        <v>276</v>
      </c>
      <c r="J251" s="9">
        <v>4.0</v>
      </c>
      <c r="K251" s="9">
        <v>0.189124304116707</v>
      </c>
      <c r="L251" s="9">
        <v>9.2215881205663E-4</v>
      </c>
      <c r="M251" s="9">
        <v>14.65</v>
      </c>
      <c r="N251" s="9">
        <v>2.05</v>
      </c>
      <c r="O251" s="9">
        <v>72.0</v>
      </c>
      <c r="P251" s="9">
        <v>17.7</v>
      </c>
      <c r="Q251" s="9">
        <v>2.708</v>
      </c>
      <c r="R251" s="9">
        <v>36.0</v>
      </c>
      <c r="S251" s="9" t="s">
        <v>277</v>
      </c>
      <c r="T251" s="9" t="s">
        <v>285</v>
      </c>
    </row>
    <row r="252" ht="12.75" customHeight="1">
      <c r="A252" s="9" t="s">
        <v>484</v>
      </c>
      <c r="B252" s="9">
        <v>-85.366667</v>
      </c>
      <c r="C252" s="9">
        <v>42.4</v>
      </c>
      <c r="D252" s="9" t="s">
        <v>298</v>
      </c>
      <c r="E252" s="9" t="s">
        <v>272</v>
      </c>
      <c r="F252" s="9" t="s">
        <v>326</v>
      </c>
      <c r="G252" s="9" t="s">
        <v>274</v>
      </c>
      <c r="H252" s="9">
        <v>1950.0</v>
      </c>
      <c r="I252" s="9" t="s">
        <v>276</v>
      </c>
      <c r="J252" s="9">
        <v>1.0</v>
      </c>
      <c r="K252" s="9">
        <v>-0.485802496791642</v>
      </c>
      <c r="L252" s="9">
        <v>0.0144219242571982</v>
      </c>
      <c r="M252" s="9">
        <v>16.97</v>
      </c>
      <c r="N252" s="9">
        <v>4.09</v>
      </c>
      <c r="O252" s="9">
        <v>12.0</v>
      </c>
      <c r="P252" s="9">
        <v>10.44</v>
      </c>
      <c r="Q252" s="9">
        <v>3.54</v>
      </c>
      <c r="R252" s="9">
        <v>12.0</v>
      </c>
      <c r="S252" s="9" t="s">
        <v>277</v>
      </c>
      <c r="T252" s="9" t="s">
        <v>277</v>
      </c>
    </row>
    <row r="253" ht="12.75" customHeight="1">
      <c r="A253" s="9" t="s">
        <v>485</v>
      </c>
      <c r="B253" s="9">
        <v>12.982133</v>
      </c>
      <c r="C253" s="9">
        <v>32.445684</v>
      </c>
      <c r="D253" s="9" t="s">
        <v>279</v>
      </c>
      <c r="E253" s="9" t="s">
        <v>272</v>
      </c>
      <c r="F253" s="9" t="s">
        <v>326</v>
      </c>
      <c r="G253" s="9" t="s">
        <v>339</v>
      </c>
      <c r="H253" s="9" t="s">
        <v>311</v>
      </c>
      <c r="I253" s="9" t="s">
        <v>276</v>
      </c>
      <c r="J253" s="9">
        <v>20.0</v>
      </c>
      <c r="K253" s="9">
        <v>-1.10885736714299</v>
      </c>
      <c r="L253" s="9">
        <v>0.00490424766482836</v>
      </c>
      <c r="M253" s="9">
        <v>45.13</v>
      </c>
      <c r="N253" s="9">
        <v>5.18</v>
      </c>
      <c r="O253" s="9">
        <v>10.0</v>
      </c>
      <c r="P253" s="9">
        <v>14.89</v>
      </c>
      <c r="Q253" s="9">
        <v>2.82</v>
      </c>
      <c r="R253" s="9">
        <v>10.0</v>
      </c>
      <c r="S253" s="9" t="s">
        <v>277</v>
      </c>
      <c r="T253" s="9" t="s">
        <v>277</v>
      </c>
    </row>
    <row r="254" ht="12.75" customHeight="1">
      <c r="A254" s="9" t="s">
        <v>486</v>
      </c>
      <c r="B254" s="9">
        <v>19.453333</v>
      </c>
      <c r="C254" s="9">
        <v>64.111667</v>
      </c>
      <c r="D254" s="9" t="s">
        <v>298</v>
      </c>
      <c r="E254" s="9" t="s">
        <v>272</v>
      </c>
      <c r="F254" s="9" t="s">
        <v>273</v>
      </c>
      <c r="G254" s="9" t="s">
        <v>274</v>
      </c>
      <c r="H254" s="9" t="s">
        <v>275</v>
      </c>
      <c r="I254" s="9" t="s">
        <v>284</v>
      </c>
      <c r="J254" s="9">
        <v>40.0</v>
      </c>
      <c r="K254" s="9">
        <v>-0.259511195485085</v>
      </c>
      <c r="L254" s="9">
        <v>0.0112441175344749</v>
      </c>
      <c r="M254" s="9">
        <v>9.8</v>
      </c>
      <c r="N254" s="9">
        <v>1.32</v>
      </c>
      <c r="O254" s="9">
        <v>8.0</v>
      </c>
      <c r="P254" s="9">
        <v>7.56</v>
      </c>
      <c r="Q254" s="9">
        <v>2.68</v>
      </c>
      <c r="R254" s="9">
        <v>14.0</v>
      </c>
      <c r="S254" s="9" t="s">
        <v>277</v>
      </c>
      <c r="T254" s="9" t="s">
        <v>277</v>
      </c>
    </row>
    <row r="255" ht="12.75" customHeight="1">
      <c r="A255" s="9" t="s">
        <v>487</v>
      </c>
      <c r="B255" s="9">
        <v>19.453333</v>
      </c>
      <c r="C255" s="9">
        <v>64.111667</v>
      </c>
      <c r="D255" s="9" t="s">
        <v>288</v>
      </c>
      <c r="E255" s="9" t="s">
        <v>272</v>
      </c>
      <c r="F255" s="9" t="s">
        <v>273</v>
      </c>
      <c r="G255" s="9" t="s">
        <v>274</v>
      </c>
      <c r="H255" s="9" t="s">
        <v>275</v>
      </c>
      <c r="I255" s="9" t="s">
        <v>284</v>
      </c>
      <c r="J255" s="9">
        <v>40.0</v>
      </c>
      <c r="K255" s="9">
        <v>0.275467038359636</v>
      </c>
      <c r="L255" s="9">
        <v>0.00652916612401642</v>
      </c>
      <c r="M255" s="9">
        <v>10.09</v>
      </c>
      <c r="N255" s="9">
        <v>2.53</v>
      </c>
      <c r="O255" s="9">
        <v>12.0</v>
      </c>
      <c r="P255" s="9">
        <v>13.29</v>
      </c>
      <c r="Q255" s="9">
        <v>1.35</v>
      </c>
      <c r="R255" s="9">
        <v>8.0</v>
      </c>
      <c r="S255" s="9" t="s">
        <v>277</v>
      </c>
      <c r="T255" s="9" t="s">
        <v>277</v>
      </c>
    </row>
    <row r="256" ht="12.75" customHeight="1">
      <c r="A256" s="9" t="s">
        <v>488</v>
      </c>
      <c r="B256" s="9">
        <v>8.541821</v>
      </c>
      <c r="C256" s="9">
        <v>47.113187</v>
      </c>
      <c r="D256" s="9" t="s">
        <v>288</v>
      </c>
      <c r="E256" s="9" t="s">
        <v>272</v>
      </c>
      <c r="F256" s="9" t="s">
        <v>326</v>
      </c>
      <c r="G256" s="9" t="s">
        <v>295</v>
      </c>
      <c r="H256" s="9" t="s">
        <v>296</v>
      </c>
      <c r="I256" s="9" t="s">
        <v>276</v>
      </c>
      <c r="J256" s="9">
        <v>25.0</v>
      </c>
      <c r="K256" s="9">
        <v>-0.124709388125076</v>
      </c>
      <c r="L256" s="9">
        <v>0.0131532063063556</v>
      </c>
      <c r="M256" s="9">
        <v>13.22</v>
      </c>
      <c r="N256" s="9">
        <v>2.53</v>
      </c>
      <c r="O256" s="9">
        <v>6.0</v>
      </c>
      <c r="P256" s="9">
        <v>11.67</v>
      </c>
      <c r="Q256" s="9">
        <v>2.4</v>
      </c>
      <c r="R256" s="9">
        <v>6.0</v>
      </c>
      <c r="S256" s="9" t="s">
        <v>277</v>
      </c>
      <c r="T256" s="9" t="s">
        <v>277</v>
      </c>
    </row>
    <row r="257" ht="12.75" customHeight="1">
      <c r="A257" s="9" t="s">
        <v>489</v>
      </c>
      <c r="B257" s="9">
        <v>-2.628417566</v>
      </c>
      <c r="C257" s="9">
        <v>53.98562471</v>
      </c>
      <c r="D257" s="9" t="s">
        <v>288</v>
      </c>
      <c r="E257" s="9" t="s">
        <v>272</v>
      </c>
      <c r="F257" s="9" t="s">
        <v>326</v>
      </c>
      <c r="G257" s="9" t="s">
        <v>295</v>
      </c>
      <c r="H257" s="9">
        <v>1450.0</v>
      </c>
      <c r="I257" s="9" t="s">
        <v>276</v>
      </c>
      <c r="J257" s="9">
        <v>25.0</v>
      </c>
      <c r="K257" s="9">
        <v>-0.137827705795328</v>
      </c>
      <c r="L257" s="9">
        <v>0.00772885837847682</v>
      </c>
      <c r="M257" s="9">
        <v>10.33</v>
      </c>
      <c r="N257" s="9">
        <v>1.7</v>
      </c>
      <c r="O257" s="9">
        <v>6.0</v>
      </c>
      <c r="P257" s="9">
        <v>9.0</v>
      </c>
      <c r="Q257" s="9">
        <v>1.25</v>
      </c>
      <c r="R257" s="9">
        <v>6.0</v>
      </c>
      <c r="S257" s="9" t="s">
        <v>277</v>
      </c>
      <c r="T257" s="9" t="s">
        <v>277</v>
      </c>
    </row>
    <row r="258" ht="12.75" customHeight="1">
      <c r="A258" s="9" t="s">
        <v>490</v>
      </c>
      <c r="B258" s="9">
        <v>-105.233544</v>
      </c>
      <c r="C258" s="9">
        <v>39.972022</v>
      </c>
      <c r="D258" s="9" t="s">
        <v>298</v>
      </c>
      <c r="E258" s="9" t="s">
        <v>272</v>
      </c>
      <c r="F258" s="9" t="s">
        <v>326</v>
      </c>
      <c r="G258" s="9" t="s">
        <v>274</v>
      </c>
      <c r="H258" s="9">
        <v>1950.0</v>
      </c>
      <c r="I258" s="9" t="s">
        <v>276</v>
      </c>
      <c r="J258" s="9">
        <v>25.0</v>
      </c>
      <c r="K258" s="9">
        <v>0.175272504856541</v>
      </c>
      <c r="L258" s="9">
        <v>0.0217217949545709</v>
      </c>
      <c r="M258" s="9">
        <v>7.83</v>
      </c>
      <c r="N258" s="9">
        <v>1.46</v>
      </c>
      <c r="O258" s="9">
        <v>4.0</v>
      </c>
      <c r="P258" s="9">
        <v>9.33</v>
      </c>
      <c r="Q258" s="9">
        <v>2.13</v>
      </c>
      <c r="R258" s="9">
        <v>4.0</v>
      </c>
      <c r="S258" s="9" t="s">
        <v>277</v>
      </c>
      <c r="T258" s="9" t="s">
        <v>277</v>
      </c>
    </row>
    <row r="259" ht="12.75" customHeight="1">
      <c r="A259" s="9" t="s">
        <v>491</v>
      </c>
      <c r="B259" s="9">
        <v>-86.70167</v>
      </c>
      <c r="C259" s="9">
        <v>36.871944</v>
      </c>
      <c r="D259" s="9" t="s">
        <v>298</v>
      </c>
      <c r="E259" s="9" t="s">
        <v>272</v>
      </c>
      <c r="F259" s="9" t="s">
        <v>326</v>
      </c>
      <c r="G259" s="9" t="s">
        <v>295</v>
      </c>
      <c r="H259" s="9">
        <v>1950.0</v>
      </c>
      <c r="I259" s="9" t="s">
        <v>276</v>
      </c>
      <c r="J259" s="9">
        <v>25.0</v>
      </c>
      <c r="K259" s="9">
        <v>-0.0460653668432468</v>
      </c>
      <c r="L259" s="9">
        <v>0.049125839283114</v>
      </c>
      <c r="M259" s="9">
        <v>7.33</v>
      </c>
      <c r="N259" s="9">
        <v>2.36</v>
      </c>
      <c r="O259" s="9">
        <v>6.0</v>
      </c>
      <c r="P259" s="9">
        <v>7.0</v>
      </c>
      <c r="Q259" s="9">
        <v>3.06</v>
      </c>
      <c r="R259" s="9">
        <v>6.0</v>
      </c>
      <c r="S259" s="9" t="s">
        <v>277</v>
      </c>
      <c r="T259" s="9" t="s">
        <v>277</v>
      </c>
    </row>
    <row r="260" ht="12.75" customHeight="1">
      <c r="A260" s="9" t="s">
        <v>492</v>
      </c>
      <c r="B260" s="9">
        <v>-96.582821</v>
      </c>
      <c r="C260" s="9">
        <v>39.070856</v>
      </c>
      <c r="D260" s="9" t="s">
        <v>279</v>
      </c>
      <c r="E260" s="9" t="s">
        <v>272</v>
      </c>
      <c r="F260" s="9" t="s">
        <v>326</v>
      </c>
      <c r="G260" s="9" t="s">
        <v>295</v>
      </c>
      <c r="H260" s="9">
        <v>1950.0</v>
      </c>
      <c r="I260" s="9" t="s">
        <v>276</v>
      </c>
      <c r="J260" s="9">
        <v>25.0</v>
      </c>
      <c r="K260" s="9">
        <v>-0.136544405632071</v>
      </c>
      <c r="L260" s="9">
        <v>0.00764176894880069</v>
      </c>
      <c r="M260" s="9">
        <v>15.67</v>
      </c>
      <c r="N260" s="9">
        <v>2.45</v>
      </c>
      <c r="O260" s="9">
        <v>6.0</v>
      </c>
      <c r="P260" s="9">
        <v>13.67</v>
      </c>
      <c r="Q260" s="9">
        <v>2.0</v>
      </c>
      <c r="R260" s="9">
        <v>6.0</v>
      </c>
      <c r="S260" s="9" t="s">
        <v>277</v>
      </c>
      <c r="T260" s="9" t="s">
        <v>277</v>
      </c>
    </row>
    <row r="261" ht="12.75" customHeight="1">
      <c r="A261" s="9" t="s">
        <v>493</v>
      </c>
      <c r="B261" s="9">
        <v>-112.173729</v>
      </c>
      <c r="C261" s="9">
        <v>44.52412</v>
      </c>
      <c r="D261" s="9" t="s">
        <v>288</v>
      </c>
      <c r="E261" s="9" t="s">
        <v>272</v>
      </c>
      <c r="F261" s="9" t="s">
        <v>326</v>
      </c>
      <c r="G261" s="9" t="s">
        <v>274</v>
      </c>
      <c r="H261" s="9" t="s">
        <v>275</v>
      </c>
      <c r="I261" s="9" t="s">
        <v>276</v>
      </c>
      <c r="J261" s="9">
        <v>25.0</v>
      </c>
      <c r="K261" s="9">
        <v>-0.115831815525122</v>
      </c>
      <c r="L261" s="9">
        <v>0.0109868478912983</v>
      </c>
      <c r="M261" s="9">
        <v>16.0</v>
      </c>
      <c r="N261" s="9">
        <v>3.11</v>
      </c>
      <c r="O261" s="9">
        <v>8.0</v>
      </c>
      <c r="P261" s="9">
        <v>14.25</v>
      </c>
      <c r="Q261" s="9">
        <v>3.19</v>
      </c>
      <c r="R261" s="9">
        <v>8.0</v>
      </c>
      <c r="S261" s="9" t="s">
        <v>277</v>
      </c>
      <c r="T261" s="9" t="s">
        <v>277</v>
      </c>
    </row>
    <row r="262" ht="12.75" customHeight="1">
      <c r="A262" s="9" t="s">
        <v>494</v>
      </c>
      <c r="B262" s="9">
        <v>-84.500556</v>
      </c>
      <c r="C262" s="9">
        <v>38.135833</v>
      </c>
      <c r="D262" s="9" t="s">
        <v>288</v>
      </c>
      <c r="E262" s="9" t="s">
        <v>272</v>
      </c>
      <c r="F262" s="9" t="s">
        <v>326</v>
      </c>
      <c r="G262" s="9" t="s">
        <v>295</v>
      </c>
      <c r="H262" s="9">
        <v>1950.0</v>
      </c>
      <c r="I262" s="9" t="s">
        <v>276</v>
      </c>
      <c r="J262" s="9">
        <v>25.0</v>
      </c>
      <c r="K262" s="9">
        <v>-0.457773851919302</v>
      </c>
      <c r="L262" s="9">
        <v>0.00908203541030151</v>
      </c>
      <c r="M262" s="9">
        <v>10.89</v>
      </c>
      <c r="N262" s="9">
        <v>1.1</v>
      </c>
      <c r="O262" s="9">
        <v>6.0</v>
      </c>
      <c r="P262" s="9">
        <v>6.89</v>
      </c>
      <c r="Q262" s="9">
        <v>1.45</v>
      </c>
      <c r="R262" s="9">
        <v>6.0</v>
      </c>
      <c r="S262" s="9" t="s">
        <v>277</v>
      </c>
      <c r="T262" s="9" t="s">
        <v>277</v>
      </c>
    </row>
    <row r="263" ht="12.75" customHeight="1">
      <c r="A263" s="9" t="s">
        <v>495</v>
      </c>
      <c r="B263" s="9">
        <v>30.4</v>
      </c>
      <c r="C263" s="9">
        <v>-29.67</v>
      </c>
      <c r="D263" s="9" t="s">
        <v>298</v>
      </c>
      <c r="E263" s="9" t="s">
        <v>272</v>
      </c>
      <c r="F263" s="9" t="s">
        <v>326</v>
      </c>
      <c r="G263" s="9" t="s">
        <v>295</v>
      </c>
      <c r="H263" s="9">
        <v>1950.0</v>
      </c>
      <c r="I263" s="9" t="s">
        <v>276</v>
      </c>
      <c r="J263" s="9">
        <v>25.0</v>
      </c>
      <c r="K263" s="9">
        <v>-0.203321459108395</v>
      </c>
      <c r="L263" s="9">
        <v>0.0130596161931204</v>
      </c>
      <c r="M263" s="9">
        <v>15.11</v>
      </c>
      <c r="N263" s="9">
        <v>2.49</v>
      </c>
      <c r="O263" s="9">
        <v>6.0</v>
      </c>
      <c r="P263" s="9">
        <v>12.33</v>
      </c>
      <c r="Q263" s="9">
        <v>2.79</v>
      </c>
      <c r="R263" s="9">
        <v>6.0</v>
      </c>
      <c r="S263" s="9" t="s">
        <v>277</v>
      </c>
      <c r="T263" s="9" t="s">
        <v>277</v>
      </c>
    </row>
    <row r="264" ht="12.75" customHeight="1">
      <c r="A264" s="9" t="s">
        <v>496</v>
      </c>
      <c r="B264" s="9">
        <v>-120.666667</v>
      </c>
      <c r="C264" s="9">
        <v>38.866667</v>
      </c>
      <c r="D264" s="9" t="s">
        <v>298</v>
      </c>
      <c r="E264" s="9" t="s">
        <v>272</v>
      </c>
      <c r="F264" s="9" t="s">
        <v>273</v>
      </c>
      <c r="G264" s="9" t="s">
        <v>295</v>
      </c>
      <c r="H264" s="9" t="s">
        <v>275</v>
      </c>
      <c r="I264" s="9" t="s">
        <v>284</v>
      </c>
      <c r="J264" s="9">
        <v>314.0</v>
      </c>
      <c r="K264" s="9">
        <v>0.693147180559945</v>
      </c>
      <c r="L264" s="9">
        <v>0.00338302405753968</v>
      </c>
      <c r="M264" s="9">
        <v>12.0</v>
      </c>
      <c r="N264" s="9">
        <v>2.327</v>
      </c>
      <c r="O264" s="9">
        <v>28.0</v>
      </c>
      <c r="P264" s="9">
        <v>24.0</v>
      </c>
      <c r="Q264" s="9">
        <v>5.736</v>
      </c>
      <c r="R264" s="9">
        <v>28.0</v>
      </c>
      <c r="S264" s="9" t="s">
        <v>285</v>
      </c>
      <c r="T264" s="9" t="s">
        <v>285</v>
      </c>
    </row>
    <row r="265" ht="12.75" customHeight="1">
      <c r="A265" s="9" t="s">
        <v>497</v>
      </c>
      <c r="B265" s="9">
        <v>-2.400103</v>
      </c>
      <c r="C265" s="9">
        <v>54.423391</v>
      </c>
      <c r="D265" s="9" t="s">
        <v>278</v>
      </c>
      <c r="E265" s="9" t="s">
        <v>272</v>
      </c>
      <c r="F265" s="9" t="s">
        <v>326</v>
      </c>
      <c r="G265" s="9" t="s">
        <v>295</v>
      </c>
      <c r="H265" s="9">
        <v>1450.0</v>
      </c>
      <c r="I265" s="9" t="s">
        <v>276</v>
      </c>
      <c r="J265" s="9">
        <v>0.0625</v>
      </c>
      <c r="K265" s="9">
        <v>0.100587236905169</v>
      </c>
      <c r="L265" s="9">
        <v>0.00223284199535301</v>
      </c>
      <c r="M265" s="9">
        <v>18.9</v>
      </c>
      <c r="N265" s="9">
        <v>1.56</v>
      </c>
      <c r="O265" s="9">
        <v>18.0</v>
      </c>
      <c r="P265" s="9">
        <v>20.9</v>
      </c>
      <c r="Q265" s="9">
        <v>2.7</v>
      </c>
      <c r="R265" s="9">
        <v>9.0</v>
      </c>
      <c r="S265" s="9" t="s">
        <v>277</v>
      </c>
      <c r="T265" s="9" t="s">
        <v>277</v>
      </c>
    </row>
    <row r="266" ht="12.75" customHeight="1">
      <c r="A266" s="9" t="s">
        <v>498</v>
      </c>
      <c r="B266" s="9">
        <v>-81.8</v>
      </c>
      <c r="C266" s="9">
        <v>29.4</v>
      </c>
      <c r="D266" s="9" t="s">
        <v>288</v>
      </c>
      <c r="E266" s="9" t="s">
        <v>282</v>
      </c>
      <c r="F266" s="9" t="s">
        <v>273</v>
      </c>
      <c r="G266" s="9" t="s">
        <v>295</v>
      </c>
      <c r="H266" s="9">
        <v>1950.0</v>
      </c>
      <c r="I266" s="9" t="s">
        <v>284</v>
      </c>
      <c r="J266" s="9">
        <v>5000.0</v>
      </c>
      <c r="K266" s="9">
        <v>0.018237587549781</v>
      </c>
      <c r="L266" s="9">
        <v>0.054775720670025</v>
      </c>
      <c r="M266" s="9">
        <v>8.15</v>
      </c>
      <c r="N266" s="9">
        <v>4.33</v>
      </c>
      <c r="O266" s="9">
        <v>9.0</v>
      </c>
      <c r="P266" s="9">
        <v>8.3</v>
      </c>
      <c r="Q266" s="9">
        <v>3.81</v>
      </c>
      <c r="R266" s="9">
        <v>9.0</v>
      </c>
      <c r="S266" s="9" t="s">
        <v>277</v>
      </c>
      <c r="T266" s="9" t="s">
        <v>277</v>
      </c>
    </row>
    <row r="267" ht="12.75" customHeight="1">
      <c r="A267" s="9" t="s">
        <v>499</v>
      </c>
      <c r="B267" s="9">
        <v>-81.8</v>
      </c>
      <c r="C267" s="9">
        <v>29.4</v>
      </c>
      <c r="D267" s="9" t="s">
        <v>288</v>
      </c>
      <c r="E267" s="9" t="s">
        <v>289</v>
      </c>
      <c r="F267" s="9" t="s">
        <v>273</v>
      </c>
      <c r="G267" s="9" t="s">
        <v>295</v>
      </c>
      <c r="H267" s="9">
        <v>1950.0</v>
      </c>
      <c r="I267" s="9" t="s">
        <v>284</v>
      </c>
      <c r="J267" s="9" t="s">
        <v>377</v>
      </c>
      <c r="K267" s="9">
        <v>-0.0704516609506114</v>
      </c>
      <c r="L267" s="9">
        <v>0.0142640846408768</v>
      </c>
      <c r="M267" s="9">
        <v>14.7</v>
      </c>
      <c r="N267" s="9">
        <v>1.21</v>
      </c>
      <c r="O267" s="9">
        <v>3.0</v>
      </c>
      <c r="P267" s="9">
        <v>13.7</v>
      </c>
      <c r="Q267" s="9">
        <v>2.6</v>
      </c>
      <c r="R267" s="9">
        <v>3.0</v>
      </c>
      <c r="S267" s="9" t="s">
        <v>277</v>
      </c>
      <c r="T267" s="9" t="s">
        <v>277</v>
      </c>
    </row>
    <row r="268" ht="12.75" customHeight="1">
      <c r="A268" s="9" t="s">
        <v>500</v>
      </c>
      <c r="B268" s="9">
        <v>-122.201108</v>
      </c>
      <c r="C268" s="9">
        <v>40.200171</v>
      </c>
      <c r="D268" s="9" t="s">
        <v>298</v>
      </c>
      <c r="E268" s="9" t="s">
        <v>289</v>
      </c>
      <c r="F268" s="9" t="s">
        <v>283</v>
      </c>
      <c r="G268" s="9" t="s">
        <v>295</v>
      </c>
      <c r="H268" s="9" t="s">
        <v>311</v>
      </c>
      <c r="I268" s="9" t="s">
        <v>284</v>
      </c>
      <c r="J268" s="9">
        <v>1.5</v>
      </c>
      <c r="K268" s="9">
        <v>-0.775838896405059</v>
      </c>
      <c r="L268" s="9">
        <v>0.00952255409584453</v>
      </c>
      <c r="M268" s="9">
        <v>15.75</v>
      </c>
      <c r="N268" s="9">
        <v>18.55</v>
      </c>
      <c r="O268" s="9">
        <v>340.0</v>
      </c>
      <c r="P268" s="9">
        <v>7.25</v>
      </c>
      <c r="Q268" s="9">
        <v>8.95</v>
      </c>
      <c r="R268" s="9">
        <v>280.0</v>
      </c>
      <c r="S268" s="9" t="s">
        <v>277</v>
      </c>
      <c r="T268" s="9" t="s">
        <v>277</v>
      </c>
    </row>
    <row r="269" ht="12.75" customHeight="1">
      <c r="A269" s="9" t="s">
        <v>501</v>
      </c>
      <c r="B269" s="9">
        <v>-122.201108</v>
      </c>
      <c r="C269" s="9">
        <v>40.200171</v>
      </c>
      <c r="D269" s="9" t="s">
        <v>298</v>
      </c>
      <c r="E269" s="9" t="s">
        <v>289</v>
      </c>
      <c r="F269" s="9" t="s">
        <v>283</v>
      </c>
      <c r="G269" s="9" t="s">
        <v>295</v>
      </c>
      <c r="H269" s="9" t="s">
        <v>311</v>
      </c>
      <c r="I269" s="9" t="s">
        <v>284</v>
      </c>
      <c r="J269" s="9">
        <v>1.5</v>
      </c>
      <c r="K269" s="9">
        <v>-0.38193461069797</v>
      </c>
      <c r="L269" s="9">
        <v>0.0022362564409615</v>
      </c>
      <c r="M269" s="9">
        <v>12.6</v>
      </c>
      <c r="N269" s="9">
        <v>7.01</v>
      </c>
      <c r="O269" s="9">
        <v>340.0</v>
      </c>
      <c r="P269" s="9">
        <v>8.6</v>
      </c>
      <c r="Q269" s="9">
        <v>5.24</v>
      </c>
      <c r="R269" s="9">
        <v>280.0</v>
      </c>
      <c r="S269" s="9" t="s">
        <v>277</v>
      </c>
      <c r="T269" s="9" t="s">
        <v>277</v>
      </c>
    </row>
    <row r="270" ht="12.75" customHeight="1">
      <c r="A270" s="9" t="s">
        <v>502</v>
      </c>
      <c r="B270" s="9">
        <v>5.930182</v>
      </c>
      <c r="C270" s="9">
        <v>52.307361</v>
      </c>
      <c r="D270" s="9" t="s">
        <v>278</v>
      </c>
      <c r="E270" s="9" t="s">
        <v>272</v>
      </c>
      <c r="F270" s="9" t="s">
        <v>283</v>
      </c>
      <c r="G270" s="9" t="s">
        <v>295</v>
      </c>
      <c r="H270" s="9" t="s">
        <v>311</v>
      </c>
      <c r="I270" s="9" t="s">
        <v>276</v>
      </c>
      <c r="J270" s="9">
        <v>100.0</v>
      </c>
      <c r="K270" s="9">
        <v>-0.0877055804191055</v>
      </c>
      <c r="L270" s="9">
        <v>0.0073197529749585</v>
      </c>
      <c r="M270" s="9">
        <v>19.65</v>
      </c>
      <c r="N270" s="9">
        <v>1.2</v>
      </c>
      <c r="O270" s="9">
        <v>8.0</v>
      </c>
      <c r="P270" s="9">
        <v>18.0</v>
      </c>
      <c r="Q270" s="9">
        <v>2.9803085845</v>
      </c>
      <c r="R270" s="9">
        <v>4.0</v>
      </c>
      <c r="S270" s="9" t="s">
        <v>277</v>
      </c>
      <c r="T270" s="9" t="s">
        <v>285</v>
      </c>
    </row>
    <row r="271" ht="12.75" customHeight="1">
      <c r="A271" s="9" t="s">
        <v>503</v>
      </c>
      <c r="B271" s="9">
        <v>5.930182</v>
      </c>
      <c r="C271" s="9">
        <v>52.307361</v>
      </c>
      <c r="D271" s="9" t="s">
        <v>279</v>
      </c>
      <c r="E271" s="9" t="s">
        <v>272</v>
      </c>
      <c r="F271" s="9" t="s">
        <v>283</v>
      </c>
      <c r="G271" s="9" t="s">
        <v>295</v>
      </c>
      <c r="H271" s="9" t="s">
        <v>311</v>
      </c>
      <c r="I271" s="9" t="s">
        <v>276</v>
      </c>
      <c r="J271" s="9">
        <v>100.0</v>
      </c>
      <c r="K271" s="9">
        <v>-0.272975925062086</v>
      </c>
      <c r="L271" s="9">
        <v>0.0182106045564877</v>
      </c>
      <c r="M271" s="9">
        <v>18.0</v>
      </c>
      <c r="N271" s="9">
        <v>2.9803085845</v>
      </c>
      <c r="O271" s="9">
        <v>4.0</v>
      </c>
      <c r="P271" s="9">
        <v>13.7</v>
      </c>
      <c r="Q271" s="9">
        <v>2.92</v>
      </c>
      <c r="R271" s="9">
        <v>4.0</v>
      </c>
      <c r="S271" s="9" t="s">
        <v>285</v>
      </c>
      <c r="T271" s="9" t="s">
        <v>285</v>
      </c>
    </row>
    <row r="272" ht="12.75" customHeight="1">
      <c r="A272" s="9" t="s">
        <v>504</v>
      </c>
      <c r="B272" s="9">
        <v>-91.066428</v>
      </c>
      <c r="C272" s="9">
        <v>36.93072</v>
      </c>
      <c r="D272" s="9" t="s">
        <v>288</v>
      </c>
      <c r="E272" s="9" t="s">
        <v>282</v>
      </c>
      <c r="F272" s="9" t="s">
        <v>273</v>
      </c>
      <c r="G272" s="9" t="s">
        <v>295</v>
      </c>
      <c r="H272" s="9">
        <v>1950.0</v>
      </c>
      <c r="I272" s="9" t="s">
        <v>284</v>
      </c>
      <c r="J272" s="9" t="s">
        <v>377</v>
      </c>
      <c r="K272" s="9">
        <v>-0.189241999638528</v>
      </c>
      <c r="L272" s="9">
        <v>0.00157622922863992</v>
      </c>
      <c r="M272" s="9">
        <v>58.0</v>
      </c>
      <c r="N272" s="9">
        <v>9.132</v>
      </c>
      <c r="O272" s="9">
        <v>48.0</v>
      </c>
      <c r="P272" s="9">
        <v>48.0</v>
      </c>
      <c r="Q272" s="9">
        <v>10.826</v>
      </c>
      <c r="R272" s="9">
        <v>48.0</v>
      </c>
      <c r="S272" s="9" t="s">
        <v>285</v>
      </c>
      <c r="T272" s="9" t="s">
        <v>285</v>
      </c>
    </row>
    <row r="273" ht="12.75" customHeight="1">
      <c r="A273" s="9" t="s">
        <v>504</v>
      </c>
      <c r="B273" s="9">
        <v>-91.066428</v>
      </c>
      <c r="C273" s="9">
        <v>36.93072</v>
      </c>
      <c r="D273" s="9" t="s">
        <v>278</v>
      </c>
      <c r="E273" s="9" t="s">
        <v>282</v>
      </c>
      <c r="F273" s="9" t="s">
        <v>273</v>
      </c>
      <c r="G273" s="9" t="s">
        <v>295</v>
      </c>
      <c r="H273" s="9">
        <v>1950.0</v>
      </c>
      <c r="I273" s="9" t="s">
        <v>284</v>
      </c>
      <c r="J273" s="9" t="s">
        <v>377</v>
      </c>
      <c r="K273" s="9">
        <v>0.0444517625708338</v>
      </c>
      <c r="L273" s="9">
        <v>0.00243992725393922</v>
      </c>
      <c r="M273" s="9">
        <v>44.0</v>
      </c>
      <c r="N273" s="9">
        <v>10.991</v>
      </c>
      <c r="O273" s="9">
        <v>40.0</v>
      </c>
      <c r="P273" s="9">
        <v>46.0</v>
      </c>
      <c r="Q273" s="9">
        <v>9.454</v>
      </c>
      <c r="R273" s="9">
        <v>48.0</v>
      </c>
      <c r="S273" s="9" t="s">
        <v>285</v>
      </c>
      <c r="T273" s="9" t="s">
        <v>285</v>
      </c>
    </row>
    <row r="274" ht="12.75" customHeight="1">
      <c r="A274" s="9" t="s">
        <v>504</v>
      </c>
      <c r="B274" s="9">
        <v>-91.066428</v>
      </c>
      <c r="C274" s="9">
        <v>36.93072</v>
      </c>
      <c r="D274" s="9" t="s">
        <v>279</v>
      </c>
      <c r="E274" s="9" t="s">
        <v>282</v>
      </c>
      <c r="F274" s="9" t="s">
        <v>273</v>
      </c>
      <c r="G274" s="9" t="s">
        <v>295</v>
      </c>
      <c r="H274" s="9">
        <v>1950.0</v>
      </c>
      <c r="I274" s="9" t="s">
        <v>284</v>
      </c>
      <c r="J274" s="9" t="s">
        <v>377</v>
      </c>
      <c r="K274" s="9">
        <v>0.141650517063027</v>
      </c>
      <c r="L274" s="9">
        <v>0.00123438767786469</v>
      </c>
      <c r="M274" s="9">
        <v>46.0</v>
      </c>
      <c r="N274" s="9">
        <v>9.454</v>
      </c>
      <c r="O274" s="9">
        <v>48.0</v>
      </c>
      <c r="P274" s="9">
        <v>53.0</v>
      </c>
      <c r="Q274" s="9">
        <v>9.776</v>
      </c>
      <c r="R274" s="9">
        <v>96.0</v>
      </c>
      <c r="S274" s="9" t="s">
        <v>285</v>
      </c>
      <c r="T274" s="9" t="s">
        <v>285</v>
      </c>
    </row>
    <row r="275" ht="12.75" customHeight="1">
      <c r="A275" s="9" t="s">
        <v>505</v>
      </c>
      <c r="B275" s="9">
        <v>-83.516667</v>
      </c>
      <c r="C275" s="9">
        <v>30.016667</v>
      </c>
      <c r="D275" s="9" t="s">
        <v>288</v>
      </c>
      <c r="E275" s="9" t="s">
        <v>282</v>
      </c>
      <c r="F275" s="9" t="s">
        <v>273</v>
      </c>
      <c r="G275" s="9" t="s">
        <v>295</v>
      </c>
      <c r="H275" s="9">
        <v>1950.0</v>
      </c>
      <c r="I275" s="9" t="s">
        <v>284</v>
      </c>
      <c r="J275" s="9">
        <v>7853.98</v>
      </c>
      <c r="K275" s="9">
        <v>-0.0574806099312756</v>
      </c>
      <c r="L275" s="9">
        <v>0.00318430401014406</v>
      </c>
      <c r="M275" s="9">
        <v>18.26</v>
      </c>
      <c r="N275" s="9">
        <v>2.42</v>
      </c>
      <c r="O275" s="9">
        <v>16.0</v>
      </c>
      <c r="P275" s="9">
        <v>17.24</v>
      </c>
      <c r="Q275" s="9">
        <v>3.15</v>
      </c>
      <c r="R275" s="9">
        <v>16.0</v>
      </c>
      <c r="S275" s="9" t="s">
        <v>277</v>
      </c>
      <c r="T275" s="9" t="s">
        <v>277</v>
      </c>
    </row>
    <row r="276" ht="12.75" customHeight="1">
      <c r="A276" s="9" t="s">
        <v>505</v>
      </c>
      <c r="B276" s="9">
        <v>-83.516667</v>
      </c>
      <c r="C276" s="9">
        <v>30.016667</v>
      </c>
      <c r="D276" s="9" t="s">
        <v>279</v>
      </c>
      <c r="E276" s="9" t="s">
        <v>282</v>
      </c>
      <c r="F276" s="9" t="s">
        <v>273</v>
      </c>
      <c r="G276" s="9" t="s">
        <v>295</v>
      </c>
      <c r="H276" s="9">
        <v>1950.0</v>
      </c>
      <c r="I276" s="9" t="s">
        <v>284</v>
      </c>
      <c r="J276" s="9">
        <v>7853.98</v>
      </c>
      <c r="K276" s="9">
        <v>0.0210653960841788</v>
      </c>
      <c r="L276" s="9">
        <v>0.001582876503078</v>
      </c>
      <c r="M276" s="9">
        <v>17.38</v>
      </c>
      <c r="N276" s="9">
        <v>2.19</v>
      </c>
      <c r="O276" s="9">
        <v>16.0</v>
      </c>
      <c r="P276" s="9">
        <v>17.75</v>
      </c>
      <c r="Q276" s="9">
        <v>2.44</v>
      </c>
      <c r="R276" s="9">
        <v>32.0</v>
      </c>
      <c r="S276" s="9" t="s">
        <v>277</v>
      </c>
      <c r="T276" s="9" t="s">
        <v>277</v>
      </c>
    </row>
    <row r="277" ht="12.75" customHeight="1">
      <c r="A277" s="9" t="s">
        <v>506</v>
      </c>
      <c r="B277" s="9">
        <v>11.525</v>
      </c>
      <c r="C277" s="9">
        <v>3.417</v>
      </c>
      <c r="D277" s="9" t="s">
        <v>288</v>
      </c>
      <c r="E277" s="9" t="s">
        <v>272</v>
      </c>
      <c r="F277" s="9" t="s">
        <v>273</v>
      </c>
      <c r="G277" s="9" t="s">
        <v>293</v>
      </c>
      <c r="H277" s="9">
        <v>1950.0</v>
      </c>
      <c r="I277" s="9" t="s">
        <v>276</v>
      </c>
      <c r="J277" s="9">
        <v>600.0</v>
      </c>
      <c r="K277" s="9">
        <v>-0.191394852999629</v>
      </c>
      <c r="L277" s="9">
        <v>0.0135739174176099</v>
      </c>
      <c r="M277" s="9">
        <v>7.75</v>
      </c>
      <c r="N277" s="9">
        <v>1.62</v>
      </c>
      <c r="O277" s="9">
        <v>7.0</v>
      </c>
      <c r="P277" s="9">
        <v>6.4</v>
      </c>
      <c r="Q277" s="9">
        <v>1.55</v>
      </c>
      <c r="R277" s="9">
        <v>8.0</v>
      </c>
      <c r="S277" s="9" t="s">
        <v>277</v>
      </c>
      <c r="T277" s="9" t="s">
        <v>277</v>
      </c>
    </row>
    <row r="278" ht="12.75" customHeight="1">
      <c r="A278" s="9" t="s">
        <v>506</v>
      </c>
      <c r="B278" s="9">
        <v>11.525</v>
      </c>
      <c r="C278" s="9">
        <v>3.417</v>
      </c>
      <c r="D278" s="9" t="s">
        <v>279</v>
      </c>
      <c r="E278" s="9" t="s">
        <v>272</v>
      </c>
      <c r="F278" s="9" t="s">
        <v>273</v>
      </c>
      <c r="G278" s="9" t="s">
        <v>293</v>
      </c>
      <c r="H278" s="9">
        <v>1950.0</v>
      </c>
      <c r="I278" s="9" t="s">
        <v>276</v>
      </c>
      <c r="J278" s="9">
        <v>600.0</v>
      </c>
      <c r="K278" s="9">
        <v>-0.447708566975797</v>
      </c>
      <c r="L278" s="9">
        <v>0.0121597742817645</v>
      </c>
      <c r="M278" s="9">
        <v>11.0</v>
      </c>
      <c r="N278" s="9">
        <v>1.41</v>
      </c>
      <c r="O278" s="9">
        <v>2.0</v>
      </c>
      <c r="P278" s="9">
        <v>7.03</v>
      </c>
      <c r="Q278" s="9">
        <v>1.71</v>
      </c>
      <c r="R278" s="9">
        <v>15.0</v>
      </c>
      <c r="S278" s="9" t="s">
        <v>277</v>
      </c>
      <c r="T278" s="9" t="s">
        <v>277</v>
      </c>
    </row>
    <row r="279" ht="12.75" customHeight="1">
      <c r="A279" s="9" t="s">
        <v>507</v>
      </c>
      <c r="B279" s="9">
        <v>11.525</v>
      </c>
      <c r="C279" s="9">
        <v>3.417</v>
      </c>
      <c r="D279" s="9" t="s">
        <v>288</v>
      </c>
      <c r="E279" s="9" t="s">
        <v>272</v>
      </c>
      <c r="F279" s="9" t="s">
        <v>273</v>
      </c>
      <c r="G279" s="9" t="s">
        <v>293</v>
      </c>
      <c r="H279" s="9">
        <v>1950.0</v>
      </c>
      <c r="I279" s="9" t="s">
        <v>284</v>
      </c>
      <c r="J279" s="9">
        <v>600.0</v>
      </c>
      <c r="K279" s="9">
        <v>-0.171358251996685</v>
      </c>
      <c r="L279" s="9">
        <v>0.0133202566910559</v>
      </c>
      <c r="M279" s="9">
        <v>25.4</v>
      </c>
      <c r="N279" s="9">
        <v>3.76</v>
      </c>
      <c r="O279" s="9">
        <v>7.0</v>
      </c>
      <c r="P279" s="9">
        <v>21.4</v>
      </c>
      <c r="Q279" s="9">
        <v>6.11</v>
      </c>
      <c r="R279" s="9">
        <v>8.0</v>
      </c>
      <c r="S279" s="9" t="s">
        <v>277</v>
      </c>
      <c r="T279" s="9" t="s">
        <v>277</v>
      </c>
    </row>
    <row r="280" ht="12.75" customHeight="1">
      <c r="A280" s="9" t="s">
        <v>507</v>
      </c>
      <c r="B280" s="9">
        <v>11.525</v>
      </c>
      <c r="C280" s="9">
        <v>3.417</v>
      </c>
      <c r="D280" s="9" t="s">
        <v>279</v>
      </c>
      <c r="E280" s="9" t="s">
        <v>272</v>
      </c>
      <c r="F280" s="9" t="s">
        <v>273</v>
      </c>
      <c r="G280" s="9" t="s">
        <v>293</v>
      </c>
      <c r="H280" s="9">
        <v>1950.0</v>
      </c>
      <c r="I280" s="9" t="s">
        <v>284</v>
      </c>
      <c r="J280" s="9">
        <v>600.0</v>
      </c>
      <c r="K280" s="9">
        <v>-0.34934258415228</v>
      </c>
      <c r="L280" s="9">
        <v>0.076545312722471</v>
      </c>
      <c r="M280" s="9">
        <v>33.0</v>
      </c>
      <c r="N280" s="9">
        <v>12.73</v>
      </c>
      <c r="O280" s="9">
        <v>2.0</v>
      </c>
      <c r="P280" s="9">
        <v>23.27</v>
      </c>
      <c r="Q280" s="9">
        <v>4.17</v>
      </c>
      <c r="R280" s="9">
        <v>15.0</v>
      </c>
      <c r="S280" s="9" t="s">
        <v>277</v>
      </c>
      <c r="T280" s="9" t="s">
        <v>277</v>
      </c>
    </row>
    <row r="281" ht="12.75" customHeight="1">
      <c r="A281" s="9" t="s">
        <v>508</v>
      </c>
      <c r="B281" s="9">
        <v>-74.51</v>
      </c>
      <c r="C281" s="9">
        <v>39.72</v>
      </c>
      <c r="D281" s="9" t="s">
        <v>288</v>
      </c>
      <c r="E281" s="9" t="s">
        <v>272</v>
      </c>
      <c r="F281" s="9" t="s">
        <v>283</v>
      </c>
      <c r="G281" s="9" t="s">
        <v>295</v>
      </c>
      <c r="H281" s="9" t="s">
        <v>275</v>
      </c>
      <c r="I281" s="9" t="s">
        <v>284</v>
      </c>
      <c r="J281" s="9">
        <v>7.5</v>
      </c>
      <c r="K281" s="9">
        <v>-0.77844476107184</v>
      </c>
      <c r="L281" s="9">
        <v>0.00911828640377522</v>
      </c>
      <c r="M281" s="9">
        <v>3.18</v>
      </c>
      <c r="N281" s="9">
        <v>0.57</v>
      </c>
      <c r="O281" s="9">
        <v>6.0</v>
      </c>
      <c r="P281" s="9">
        <v>1.46</v>
      </c>
      <c r="Q281" s="9">
        <v>0.38</v>
      </c>
      <c r="R281" s="9">
        <v>18.0</v>
      </c>
      <c r="S281" s="9" t="s">
        <v>277</v>
      </c>
      <c r="T281" s="9" t="s">
        <v>277</v>
      </c>
    </row>
    <row r="282" ht="12.75" customHeight="1">
      <c r="A282" s="9" t="s">
        <v>509</v>
      </c>
      <c r="B282" s="9">
        <v>6.85</v>
      </c>
      <c r="C282" s="9">
        <v>50.2</v>
      </c>
      <c r="D282" s="9" t="s">
        <v>298</v>
      </c>
      <c r="E282" s="9" t="s">
        <v>272</v>
      </c>
      <c r="F282" s="9" t="s">
        <v>326</v>
      </c>
      <c r="G282" s="9" t="s">
        <v>295</v>
      </c>
      <c r="H282" s="9" t="s">
        <v>311</v>
      </c>
      <c r="I282" s="9" t="s">
        <v>276</v>
      </c>
      <c r="J282" s="9">
        <v>5.76</v>
      </c>
      <c r="K282" s="9">
        <v>-0.0504839054319921</v>
      </c>
      <c r="L282" s="9">
        <v>0.00982486568008295</v>
      </c>
      <c r="M282" s="9">
        <v>32.5</v>
      </c>
      <c r="N282" s="9">
        <v>6.5</v>
      </c>
      <c r="O282" s="9">
        <v>5.0</v>
      </c>
      <c r="P282" s="9">
        <v>30.9</v>
      </c>
      <c r="Q282" s="9">
        <v>6.6</v>
      </c>
      <c r="R282" s="9">
        <v>25.0</v>
      </c>
      <c r="S282" s="9" t="s">
        <v>277</v>
      </c>
      <c r="T282" s="9" t="s">
        <v>277</v>
      </c>
    </row>
    <row r="283" ht="12.75" customHeight="1">
      <c r="A283" s="9" t="s">
        <v>510</v>
      </c>
      <c r="B283" s="9">
        <v>3.0225</v>
      </c>
      <c r="C283" s="9">
        <v>45.3728</v>
      </c>
      <c r="D283" s="9" t="s">
        <v>279</v>
      </c>
      <c r="E283" s="9" t="s">
        <v>272</v>
      </c>
      <c r="F283" s="9" t="s">
        <v>326</v>
      </c>
      <c r="G283" s="9" t="s">
        <v>295</v>
      </c>
      <c r="H283" s="9">
        <v>1950.0</v>
      </c>
      <c r="I283" s="9" t="s">
        <v>276</v>
      </c>
      <c r="J283" s="9">
        <v>400.0</v>
      </c>
      <c r="K283" s="9">
        <v>-0.285237681110005</v>
      </c>
      <c r="L283" s="9">
        <v>0.00199590155035879</v>
      </c>
      <c r="M283" s="9">
        <v>20.43</v>
      </c>
      <c r="N283" s="9">
        <v>1.52</v>
      </c>
      <c r="O283" s="9">
        <v>4.0</v>
      </c>
      <c r="P283" s="9">
        <v>15.36</v>
      </c>
      <c r="Q283" s="9">
        <v>0.76</v>
      </c>
      <c r="R283" s="9">
        <v>4.0</v>
      </c>
      <c r="S283" s="9" t="s">
        <v>277</v>
      </c>
      <c r="T283" s="9" t="s">
        <v>277</v>
      </c>
    </row>
    <row r="284" ht="12.75" customHeight="1">
      <c r="A284" s="9" t="s">
        <v>511</v>
      </c>
      <c r="B284" s="9">
        <v>-68.338712</v>
      </c>
      <c r="C284" s="9">
        <v>47.382311</v>
      </c>
      <c r="D284" s="9" t="s">
        <v>288</v>
      </c>
      <c r="E284" s="9" t="s">
        <v>272</v>
      </c>
      <c r="F284" s="9" t="s">
        <v>273</v>
      </c>
      <c r="G284" s="9" t="s">
        <v>274</v>
      </c>
      <c r="H284" s="9">
        <v>1450.0</v>
      </c>
      <c r="I284" s="9" t="s">
        <v>284</v>
      </c>
      <c r="J284" s="9">
        <v>2.0</v>
      </c>
      <c r="K284" s="9">
        <v>-0.111253990126317</v>
      </c>
      <c r="L284" s="9">
        <v>0.018422540747693</v>
      </c>
      <c r="M284" s="9">
        <v>4.840666667</v>
      </c>
      <c r="N284" s="9">
        <v>2.46</v>
      </c>
      <c r="O284" s="9">
        <v>30.0</v>
      </c>
      <c r="P284" s="9">
        <v>4.331</v>
      </c>
      <c r="Q284" s="9">
        <v>2.35</v>
      </c>
      <c r="R284" s="9">
        <v>30.0</v>
      </c>
      <c r="S284" s="9" t="s">
        <v>277</v>
      </c>
      <c r="T284" s="9" t="s">
        <v>277</v>
      </c>
    </row>
    <row r="285" ht="12.75" customHeight="1">
      <c r="A285" s="9" t="s">
        <v>512</v>
      </c>
      <c r="B285" s="9">
        <v>-68.338712</v>
      </c>
      <c r="C285" s="9">
        <v>47.382311</v>
      </c>
      <c r="D285" s="9" t="s">
        <v>288</v>
      </c>
      <c r="E285" s="9" t="s">
        <v>272</v>
      </c>
      <c r="F285" s="9" t="s">
        <v>273</v>
      </c>
      <c r="G285" s="9" t="s">
        <v>274</v>
      </c>
      <c r="H285" s="9">
        <v>1450.0</v>
      </c>
      <c r="I285" s="9" t="s">
        <v>284</v>
      </c>
      <c r="J285" s="9">
        <v>2.0</v>
      </c>
      <c r="K285" s="9">
        <v>-0.0199393108966385</v>
      </c>
      <c r="L285" s="9">
        <v>0.00319246611165753</v>
      </c>
      <c r="M285" s="9">
        <v>13.17</v>
      </c>
      <c r="N285" s="9">
        <v>1.77</v>
      </c>
      <c r="O285" s="9">
        <v>10.0</v>
      </c>
      <c r="P285" s="9">
        <v>12.91</v>
      </c>
      <c r="Q285" s="9">
        <v>1.52</v>
      </c>
      <c r="R285" s="9">
        <v>10.0</v>
      </c>
      <c r="S285" s="9" t="s">
        <v>277</v>
      </c>
      <c r="T285" s="9" t="s">
        <v>277</v>
      </c>
    </row>
    <row r="286" ht="12.75" customHeight="1">
      <c r="A286" s="9" t="s">
        <v>513</v>
      </c>
      <c r="B286" s="9">
        <v>101.283333</v>
      </c>
      <c r="C286" s="9">
        <v>37.616667</v>
      </c>
      <c r="D286" s="9" t="s">
        <v>292</v>
      </c>
      <c r="E286" s="9" t="s">
        <v>272</v>
      </c>
      <c r="F286" s="9" t="s">
        <v>326</v>
      </c>
      <c r="G286" s="9" t="s">
        <v>514</v>
      </c>
      <c r="H286" s="9" t="s">
        <v>296</v>
      </c>
      <c r="I286" s="9" t="s">
        <v>276</v>
      </c>
      <c r="J286" s="9">
        <v>0.01</v>
      </c>
      <c r="K286" s="9">
        <v>-0.0140444441107747</v>
      </c>
      <c r="L286" s="9">
        <v>5.38033477339462E-4</v>
      </c>
      <c r="M286" s="9">
        <v>19.36</v>
      </c>
      <c r="N286" s="9">
        <v>2.68</v>
      </c>
      <c r="O286" s="9">
        <v>80.0</v>
      </c>
      <c r="P286" s="9">
        <v>19.09</v>
      </c>
      <c r="Q286" s="9">
        <v>2.95</v>
      </c>
      <c r="R286" s="9">
        <v>80.0</v>
      </c>
      <c r="S286" s="9" t="s">
        <v>277</v>
      </c>
      <c r="T286" s="9" t="s">
        <v>277</v>
      </c>
    </row>
    <row r="287" ht="12.75" customHeight="1">
      <c r="A287" s="9" t="s">
        <v>513</v>
      </c>
      <c r="B287" s="9">
        <v>101.283333</v>
      </c>
      <c r="C287" s="9">
        <v>37.616667</v>
      </c>
      <c r="D287" s="9" t="s">
        <v>278</v>
      </c>
      <c r="E287" s="9" t="s">
        <v>272</v>
      </c>
      <c r="F287" s="9" t="s">
        <v>326</v>
      </c>
      <c r="G287" s="9" t="s">
        <v>514</v>
      </c>
      <c r="H287" s="9" t="s">
        <v>296</v>
      </c>
      <c r="I287" s="9" t="s">
        <v>276</v>
      </c>
      <c r="J287" s="9">
        <v>0.01</v>
      </c>
      <c r="K287" s="9">
        <v>-0.177031362411805</v>
      </c>
      <c r="L287" s="9">
        <v>3.56091002687256E-4</v>
      </c>
      <c r="M287" s="9">
        <v>19.23</v>
      </c>
      <c r="N287" s="9">
        <v>2.81</v>
      </c>
      <c r="O287" s="9">
        <v>160.0</v>
      </c>
      <c r="P287" s="9">
        <v>16.11</v>
      </c>
      <c r="Q287" s="9">
        <v>2.15</v>
      </c>
      <c r="R287" s="9">
        <v>80.0</v>
      </c>
      <c r="S287" s="9" t="s">
        <v>277</v>
      </c>
      <c r="T287" s="9" t="s">
        <v>277</v>
      </c>
    </row>
    <row r="288" ht="12.75" customHeight="1">
      <c r="A288" s="9" t="s">
        <v>515</v>
      </c>
      <c r="B288" s="9">
        <v>11.033333</v>
      </c>
      <c r="C288" s="9">
        <v>46.866667</v>
      </c>
      <c r="D288" s="9" t="s">
        <v>292</v>
      </c>
      <c r="E288" s="9" t="s">
        <v>272</v>
      </c>
      <c r="F288" s="9" t="s">
        <v>326</v>
      </c>
      <c r="G288" s="9" t="s">
        <v>274</v>
      </c>
      <c r="H288" s="9" t="s">
        <v>311</v>
      </c>
      <c r="I288" s="9" t="s">
        <v>276</v>
      </c>
      <c r="J288" s="9">
        <v>1.0</v>
      </c>
      <c r="K288" s="9">
        <v>0.112117298120706</v>
      </c>
      <c r="L288" s="9">
        <v>0.00418464690734963</v>
      </c>
      <c r="M288" s="9">
        <v>18.88</v>
      </c>
      <c r="N288" s="9">
        <v>2.847</v>
      </c>
      <c r="O288" s="9">
        <v>9.0</v>
      </c>
      <c r="P288" s="9">
        <v>21.12</v>
      </c>
      <c r="Q288" s="9">
        <v>2.58</v>
      </c>
      <c r="R288" s="9">
        <v>9.0</v>
      </c>
      <c r="S288" s="9" t="s">
        <v>277</v>
      </c>
      <c r="T288" s="9" t="s">
        <v>277</v>
      </c>
    </row>
    <row r="289" ht="12.75" customHeight="1">
      <c r="A289" s="9" t="s">
        <v>516</v>
      </c>
      <c r="B289" s="9">
        <v>104.433333</v>
      </c>
      <c r="C289" s="9">
        <v>-4.933333</v>
      </c>
      <c r="D289" s="9" t="s">
        <v>292</v>
      </c>
      <c r="E289" s="9" t="s">
        <v>289</v>
      </c>
      <c r="F289" s="9" t="s">
        <v>283</v>
      </c>
      <c r="G289" s="9" t="s">
        <v>293</v>
      </c>
      <c r="H289" s="9" t="s">
        <v>275</v>
      </c>
      <c r="I289" s="9" t="s">
        <v>284</v>
      </c>
      <c r="J289" s="9">
        <v>235620.0</v>
      </c>
      <c r="K289" s="9">
        <v>-0.0843411484337509</v>
      </c>
      <c r="L289" s="9">
        <v>3.18821258215715E-4</v>
      </c>
      <c r="M289" s="9">
        <v>136.0</v>
      </c>
      <c r="N289" s="9">
        <v>8.945</v>
      </c>
      <c r="O289" s="9">
        <v>120.0</v>
      </c>
      <c r="P289" s="9">
        <v>125.0</v>
      </c>
      <c r="Q289" s="9">
        <v>23.026</v>
      </c>
      <c r="R289" s="9">
        <v>120.0</v>
      </c>
      <c r="S289" s="9" t="s">
        <v>285</v>
      </c>
      <c r="T289" s="9" t="s">
        <v>285</v>
      </c>
    </row>
    <row r="290" ht="12.75" customHeight="1">
      <c r="A290" s="9" t="s">
        <v>517</v>
      </c>
      <c r="B290" s="9">
        <v>104.433333</v>
      </c>
      <c r="C290" s="9">
        <v>-4.933333</v>
      </c>
      <c r="D290" s="9" t="s">
        <v>292</v>
      </c>
      <c r="E290" s="9" t="s">
        <v>272</v>
      </c>
      <c r="F290" s="9" t="s">
        <v>283</v>
      </c>
      <c r="G290" s="9" t="s">
        <v>293</v>
      </c>
      <c r="H290" s="9" t="s">
        <v>275</v>
      </c>
      <c r="I290" s="9" t="s">
        <v>284</v>
      </c>
      <c r="J290" s="9">
        <v>1963.5</v>
      </c>
      <c r="K290" s="9">
        <v>-0.0426297054203083</v>
      </c>
      <c r="L290" s="9">
        <v>0.00326556442742597</v>
      </c>
      <c r="M290" s="9">
        <v>5.583</v>
      </c>
      <c r="N290" s="9">
        <v>2.19</v>
      </c>
      <c r="O290" s="9">
        <v>120.0</v>
      </c>
      <c r="P290" s="9">
        <v>5.35</v>
      </c>
      <c r="Q290" s="9">
        <v>2.61</v>
      </c>
      <c r="R290" s="9">
        <v>120.0</v>
      </c>
      <c r="S290" s="9" t="s">
        <v>277</v>
      </c>
      <c r="T290" s="9" t="s">
        <v>277</v>
      </c>
    </row>
    <row r="291" ht="12.75" customHeight="1">
      <c r="A291" s="9" t="s">
        <v>518</v>
      </c>
      <c r="B291" s="9">
        <v>104.433333</v>
      </c>
      <c r="C291" s="9">
        <v>-4.933333</v>
      </c>
      <c r="D291" s="9" t="s">
        <v>292</v>
      </c>
      <c r="E291" s="9" t="s">
        <v>282</v>
      </c>
      <c r="F291" s="9" t="s">
        <v>283</v>
      </c>
      <c r="G291" s="9" t="s">
        <v>293</v>
      </c>
      <c r="H291" s="9" t="s">
        <v>275</v>
      </c>
      <c r="I291" s="9" t="s">
        <v>284</v>
      </c>
      <c r="J291" s="9">
        <v>235620.0</v>
      </c>
      <c r="K291" s="9">
        <v>0.207639364778245</v>
      </c>
      <c r="L291" s="9">
        <v>3.4337926605646E-4</v>
      </c>
      <c r="M291" s="9">
        <v>52.0</v>
      </c>
      <c r="N291" s="9">
        <v>7.562</v>
      </c>
      <c r="O291" s="9">
        <v>120.0</v>
      </c>
      <c r="P291" s="9">
        <v>64.0</v>
      </c>
      <c r="Q291" s="9">
        <v>9.064</v>
      </c>
      <c r="R291" s="9">
        <v>120.0</v>
      </c>
      <c r="S291" s="9" t="s">
        <v>285</v>
      </c>
      <c r="T291" s="9" t="s">
        <v>285</v>
      </c>
    </row>
    <row r="292" ht="12.75" customHeight="1">
      <c r="A292" s="9" t="s">
        <v>519</v>
      </c>
      <c r="B292" s="9">
        <v>-105.687889</v>
      </c>
      <c r="C292" s="9">
        <v>32.885852</v>
      </c>
      <c r="D292" s="9" t="s">
        <v>271</v>
      </c>
      <c r="E292" s="9" t="s">
        <v>282</v>
      </c>
      <c r="F292" s="9" t="s">
        <v>273</v>
      </c>
      <c r="G292" s="9" t="s">
        <v>295</v>
      </c>
      <c r="H292" s="9">
        <v>1450.0</v>
      </c>
      <c r="I292" s="9" t="s">
        <v>284</v>
      </c>
      <c r="J292" s="9">
        <v>3600.0</v>
      </c>
      <c r="K292" s="9">
        <v>0.0853598489511568</v>
      </c>
      <c r="L292" s="9">
        <v>0.00533227490165758</v>
      </c>
      <c r="M292" s="9">
        <v>3.03</v>
      </c>
      <c r="N292" s="9">
        <v>0.61</v>
      </c>
      <c r="O292" s="9">
        <v>20.0</v>
      </c>
      <c r="P292" s="9">
        <v>3.3</v>
      </c>
      <c r="Q292" s="9">
        <v>0.6</v>
      </c>
      <c r="R292" s="9">
        <v>10.0</v>
      </c>
      <c r="S292" s="9" t="s">
        <v>277</v>
      </c>
      <c r="T292" s="9" t="s">
        <v>277</v>
      </c>
    </row>
    <row r="293" ht="12.75" customHeight="1">
      <c r="A293" s="9" t="s">
        <v>519</v>
      </c>
      <c r="B293" s="9">
        <v>-105.687889</v>
      </c>
      <c r="C293" s="9">
        <v>32.885852</v>
      </c>
      <c r="D293" s="9" t="s">
        <v>278</v>
      </c>
      <c r="E293" s="9" t="s">
        <v>282</v>
      </c>
      <c r="F293" s="9" t="s">
        <v>273</v>
      </c>
      <c r="G293" s="9" t="s">
        <v>295</v>
      </c>
      <c r="H293" s="9">
        <v>1450.0</v>
      </c>
      <c r="I293" s="9" t="s">
        <v>284</v>
      </c>
      <c r="J293" s="9">
        <v>3600.0</v>
      </c>
      <c r="K293" s="9">
        <v>0.108213584640233</v>
      </c>
      <c r="L293" s="9">
        <v>0.010457848902217</v>
      </c>
      <c r="M293" s="9">
        <v>2.8</v>
      </c>
      <c r="N293" s="9">
        <v>0.6</v>
      </c>
      <c r="O293" s="9">
        <v>5.0</v>
      </c>
      <c r="P293" s="9">
        <v>3.12</v>
      </c>
      <c r="Q293" s="9">
        <v>0.61</v>
      </c>
      <c r="R293" s="9">
        <v>30.0</v>
      </c>
      <c r="S293" s="9" t="s">
        <v>277</v>
      </c>
      <c r="T293" s="9" t="s">
        <v>277</v>
      </c>
    </row>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13"/>
    <col customWidth="1" min="2" max="2" width="12.63"/>
    <col customWidth="1" min="3" max="3" width="68.88"/>
    <col customWidth="1" min="4" max="6" width="12.63"/>
  </cols>
  <sheetData>
    <row r="1" ht="15.75" customHeight="1">
      <c r="A1" s="8" t="s">
        <v>16</v>
      </c>
      <c r="B1" s="8" t="s">
        <v>17</v>
      </c>
      <c r="C1" s="8" t="s">
        <v>18</v>
      </c>
      <c r="D1" s="9" t="s">
        <v>520</v>
      </c>
    </row>
    <row r="2" ht="15.75" customHeight="1">
      <c r="A2" s="9" t="s">
        <v>19</v>
      </c>
      <c r="B2" s="9">
        <v>1995.0</v>
      </c>
      <c r="C2" s="9" t="s">
        <v>20</v>
      </c>
      <c r="D2" s="9" t="s">
        <v>521</v>
      </c>
    </row>
    <row r="3" ht="15.75" customHeight="1">
      <c r="A3" s="9" t="s">
        <v>21</v>
      </c>
      <c r="B3" s="9">
        <v>2013.0</v>
      </c>
      <c r="C3" s="9" t="s">
        <v>22</v>
      </c>
      <c r="D3" s="9" t="s">
        <v>521</v>
      </c>
    </row>
    <row r="4" ht="15.75" customHeight="1">
      <c r="A4" s="9" t="s">
        <v>23</v>
      </c>
      <c r="B4" s="9">
        <v>1999.0</v>
      </c>
      <c r="C4" s="9" t="s">
        <v>24</v>
      </c>
      <c r="D4" s="9" t="s">
        <v>521</v>
      </c>
    </row>
    <row r="5" ht="15.75" customHeight="1">
      <c r="A5" s="9" t="s">
        <v>25</v>
      </c>
      <c r="B5" s="9">
        <v>2005.0</v>
      </c>
      <c r="C5" s="9" t="s">
        <v>26</v>
      </c>
      <c r="D5" s="9" t="s">
        <v>521</v>
      </c>
    </row>
    <row r="6" ht="15.75" customHeight="1">
      <c r="A6" s="9" t="s">
        <v>27</v>
      </c>
      <c r="B6" s="9">
        <v>2007.0</v>
      </c>
      <c r="C6" s="9" t="s">
        <v>28</v>
      </c>
      <c r="D6" s="9" t="s">
        <v>521</v>
      </c>
    </row>
    <row r="7" ht="15.75" customHeight="1">
      <c r="A7" s="9" t="s">
        <v>29</v>
      </c>
      <c r="B7" s="9">
        <v>2013.0</v>
      </c>
      <c r="C7" s="9" t="s">
        <v>30</v>
      </c>
      <c r="D7" s="9" t="s">
        <v>521</v>
      </c>
    </row>
    <row r="8" ht="15.75" customHeight="1">
      <c r="A8" s="9" t="s">
        <v>31</v>
      </c>
      <c r="B8" s="9">
        <v>2004.0</v>
      </c>
      <c r="C8" s="9" t="s">
        <v>32</v>
      </c>
      <c r="D8" s="9" t="s">
        <v>521</v>
      </c>
    </row>
    <row r="9" ht="15.75" customHeight="1">
      <c r="A9" s="9" t="s">
        <v>33</v>
      </c>
      <c r="B9" s="9">
        <v>2007.0</v>
      </c>
      <c r="C9" s="9" t="s">
        <v>34</v>
      </c>
      <c r="D9" s="9" t="s">
        <v>521</v>
      </c>
    </row>
    <row r="10" ht="15.75" customHeight="1">
      <c r="A10" s="9" t="s">
        <v>35</v>
      </c>
      <c r="B10" s="9">
        <v>2013.0</v>
      </c>
      <c r="C10" s="9" t="s">
        <v>36</v>
      </c>
      <c r="D10" s="9" t="s">
        <v>521</v>
      </c>
    </row>
    <row r="11" ht="15.75" customHeight="1">
      <c r="A11" s="9" t="s">
        <v>37</v>
      </c>
      <c r="B11" s="9">
        <v>2013.0</v>
      </c>
      <c r="C11" s="9" t="s">
        <v>38</v>
      </c>
      <c r="D11" s="9" t="s">
        <v>521</v>
      </c>
    </row>
    <row r="12" ht="15.75" customHeight="1">
      <c r="A12" s="9" t="s">
        <v>39</v>
      </c>
      <c r="B12" s="9">
        <v>2007.0</v>
      </c>
      <c r="C12" s="9" t="s">
        <v>40</v>
      </c>
      <c r="D12" s="11" t="s">
        <v>522</v>
      </c>
      <c r="E12" s="1" t="s">
        <v>523</v>
      </c>
    </row>
    <row r="13" ht="15.75" customHeight="1">
      <c r="A13" s="9" t="s">
        <v>41</v>
      </c>
      <c r="B13" s="9">
        <v>2005.0</v>
      </c>
      <c r="C13" s="9" t="s">
        <v>42</v>
      </c>
      <c r="D13" s="9" t="s">
        <v>522</v>
      </c>
    </row>
    <row r="14" ht="15.75" customHeight="1">
      <c r="A14" s="9" t="s">
        <v>43</v>
      </c>
      <c r="B14" s="9">
        <v>2005.0</v>
      </c>
      <c r="C14" s="9" t="s">
        <v>44</v>
      </c>
      <c r="D14" s="9" t="s">
        <v>522</v>
      </c>
    </row>
    <row r="15" ht="15.75" customHeight="1">
      <c r="A15" s="9" t="s">
        <v>45</v>
      </c>
      <c r="B15" s="9">
        <v>2007.0</v>
      </c>
      <c r="C15" s="9" t="s">
        <v>46</v>
      </c>
      <c r="D15" s="9" t="s">
        <v>522</v>
      </c>
    </row>
    <row r="16" ht="15.75" customHeight="1">
      <c r="A16" s="9" t="s">
        <v>47</v>
      </c>
      <c r="B16" s="9">
        <v>2002.0</v>
      </c>
      <c r="C16" s="9" t="s">
        <v>48</v>
      </c>
      <c r="D16" s="9" t="s">
        <v>522</v>
      </c>
    </row>
    <row r="17" ht="15.75" customHeight="1">
      <c r="A17" s="9" t="s">
        <v>49</v>
      </c>
      <c r="B17" s="9">
        <v>2011.0</v>
      </c>
      <c r="C17" s="9" t="s">
        <v>50</v>
      </c>
      <c r="D17" s="9" t="s">
        <v>522</v>
      </c>
    </row>
    <row r="18" ht="15.75" customHeight="1">
      <c r="A18" s="9" t="s">
        <v>51</v>
      </c>
      <c r="B18" s="9">
        <v>2009.0</v>
      </c>
      <c r="C18" s="9" t="s">
        <v>52</v>
      </c>
      <c r="D18" s="9" t="s">
        <v>522</v>
      </c>
    </row>
    <row r="19" ht="15.75" customHeight="1">
      <c r="A19" s="9" t="s">
        <v>53</v>
      </c>
      <c r="B19" s="9">
        <v>2008.0</v>
      </c>
      <c r="C19" s="9" t="s">
        <v>54</v>
      </c>
      <c r="D19" s="9" t="s">
        <v>522</v>
      </c>
    </row>
    <row r="20" ht="15.75" customHeight="1">
      <c r="A20" s="9" t="s">
        <v>55</v>
      </c>
      <c r="B20" s="9">
        <v>2001.0</v>
      </c>
      <c r="C20" s="9" t="s">
        <v>56</v>
      </c>
      <c r="D20" s="9" t="s">
        <v>522</v>
      </c>
    </row>
    <row r="21" ht="15.75" customHeight="1">
      <c r="A21" s="9" t="s">
        <v>57</v>
      </c>
      <c r="B21" s="9">
        <v>2011.0</v>
      </c>
      <c r="C21" s="9" t="s">
        <v>58</v>
      </c>
      <c r="D21" s="9" t="s">
        <v>522</v>
      </c>
    </row>
    <row r="22" ht="15.75" customHeight="1">
      <c r="A22" s="9" t="s">
        <v>59</v>
      </c>
      <c r="B22" s="9">
        <v>2006.0</v>
      </c>
      <c r="C22" s="9" t="s">
        <v>60</v>
      </c>
      <c r="D22" s="9" t="s">
        <v>522</v>
      </c>
    </row>
    <row r="23" ht="15.75" customHeight="1">
      <c r="A23" s="9" t="s">
        <v>61</v>
      </c>
      <c r="B23" s="9">
        <v>2011.0</v>
      </c>
      <c r="C23" s="9" t="s">
        <v>62</v>
      </c>
      <c r="D23" s="9" t="s">
        <v>522</v>
      </c>
    </row>
    <row r="24" ht="15.75" customHeight="1">
      <c r="A24" s="9" t="s">
        <v>63</v>
      </c>
      <c r="B24" s="9">
        <v>2011.0</v>
      </c>
      <c r="C24" s="9" t="s">
        <v>64</v>
      </c>
      <c r="D24" s="9" t="s">
        <v>522</v>
      </c>
    </row>
    <row r="25" ht="15.75" customHeight="1">
      <c r="A25" s="9" t="s">
        <v>65</v>
      </c>
      <c r="B25" s="9">
        <v>2013.0</v>
      </c>
      <c r="C25" s="9" t="s">
        <v>66</v>
      </c>
      <c r="D25" s="9" t="s">
        <v>522</v>
      </c>
    </row>
    <row r="26" ht="15.75" customHeight="1">
      <c r="A26" s="9" t="s">
        <v>67</v>
      </c>
      <c r="B26" s="9">
        <v>2003.0</v>
      </c>
      <c r="C26" s="9" t="s">
        <v>68</v>
      </c>
      <c r="D26" s="9" t="s">
        <v>522</v>
      </c>
    </row>
    <row r="27" ht="15.75" customHeight="1">
      <c r="A27" s="9" t="s">
        <v>69</v>
      </c>
      <c r="B27" s="9">
        <v>2011.0</v>
      </c>
      <c r="C27" s="9" t="s">
        <v>70</v>
      </c>
      <c r="D27" s="9" t="s">
        <v>522</v>
      </c>
    </row>
    <row r="28" ht="15.75" customHeight="1">
      <c r="A28" s="9" t="s">
        <v>71</v>
      </c>
      <c r="B28" s="9">
        <v>1998.0</v>
      </c>
      <c r="C28" s="9" t="s">
        <v>72</v>
      </c>
      <c r="D28" s="9" t="s">
        <v>522</v>
      </c>
    </row>
    <row r="29" ht="15.75" customHeight="1">
      <c r="A29" s="9" t="s">
        <v>73</v>
      </c>
      <c r="B29" s="9">
        <v>2004.0</v>
      </c>
      <c r="C29" s="9" t="s">
        <v>74</v>
      </c>
      <c r="D29" s="9" t="s">
        <v>522</v>
      </c>
    </row>
    <row r="30" ht="15.75" customHeight="1">
      <c r="A30" s="9" t="s">
        <v>75</v>
      </c>
      <c r="B30" s="9">
        <v>1999.0</v>
      </c>
      <c r="C30" s="9" t="s">
        <v>76</v>
      </c>
      <c r="D30" s="9" t="s">
        <v>522</v>
      </c>
    </row>
    <row r="31" ht="15.75" customHeight="1">
      <c r="A31" s="9" t="s">
        <v>77</v>
      </c>
      <c r="B31" s="9">
        <v>2004.0</v>
      </c>
      <c r="C31" s="9" t="s">
        <v>78</v>
      </c>
      <c r="D31" s="9" t="s">
        <v>522</v>
      </c>
    </row>
    <row r="32" ht="15.75" customHeight="1">
      <c r="A32" s="9" t="s">
        <v>79</v>
      </c>
      <c r="B32" s="9">
        <v>2005.0</v>
      </c>
      <c r="C32" s="9" t="s">
        <v>80</v>
      </c>
      <c r="D32" s="9" t="s">
        <v>522</v>
      </c>
    </row>
    <row r="33" ht="15.75" customHeight="1">
      <c r="A33" s="9" t="s">
        <v>81</v>
      </c>
      <c r="B33" s="9">
        <v>2002.0</v>
      </c>
      <c r="C33" s="9" t="s">
        <v>82</v>
      </c>
      <c r="D33" s="9" t="s">
        <v>522</v>
      </c>
    </row>
    <row r="34" ht="15.75" customHeight="1">
      <c r="A34" s="9" t="s">
        <v>83</v>
      </c>
      <c r="B34" s="9">
        <v>2009.0</v>
      </c>
      <c r="C34" s="9" t="s">
        <v>84</v>
      </c>
      <c r="D34" s="9" t="s">
        <v>522</v>
      </c>
    </row>
    <row r="35" ht="15.75" customHeight="1">
      <c r="A35" s="9" t="s">
        <v>85</v>
      </c>
      <c r="B35" s="9">
        <v>2009.0</v>
      </c>
      <c r="C35" s="9" t="s">
        <v>86</v>
      </c>
      <c r="D35" s="9" t="s">
        <v>522</v>
      </c>
    </row>
    <row r="36" ht="15.75" customHeight="1">
      <c r="A36" s="9" t="s">
        <v>87</v>
      </c>
      <c r="B36" s="9">
        <v>2002.0</v>
      </c>
      <c r="C36" s="9" t="s">
        <v>88</v>
      </c>
      <c r="D36" s="9" t="s">
        <v>522</v>
      </c>
    </row>
    <row r="37" ht="15.75" customHeight="1">
      <c r="A37" s="9" t="s">
        <v>89</v>
      </c>
      <c r="B37" s="9">
        <v>2008.0</v>
      </c>
      <c r="C37" s="9" t="s">
        <v>90</v>
      </c>
      <c r="D37" s="9" t="s">
        <v>522</v>
      </c>
    </row>
    <row r="38" ht="15.75" customHeight="1">
      <c r="A38" s="9" t="s">
        <v>91</v>
      </c>
      <c r="B38" s="9">
        <v>2011.0</v>
      </c>
      <c r="C38" s="9" t="s">
        <v>92</v>
      </c>
      <c r="D38" s="9" t="s">
        <v>522</v>
      </c>
    </row>
    <row r="39" ht="15.75" customHeight="1">
      <c r="A39" s="9" t="s">
        <v>93</v>
      </c>
      <c r="B39" s="9">
        <v>2009.0</v>
      </c>
      <c r="C39" s="9" t="s">
        <v>94</v>
      </c>
      <c r="D39" s="9" t="s">
        <v>522</v>
      </c>
    </row>
    <row r="40" ht="15.75" customHeight="1">
      <c r="A40" s="9" t="s">
        <v>95</v>
      </c>
      <c r="B40" s="9">
        <v>2000.0</v>
      </c>
      <c r="C40" s="9" t="s">
        <v>96</v>
      </c>
      <c r="D40" s="9" t="s">
        <v>522</v>
      </c>
    </row>
    <row r="41" ht="15.75" customHeight="1">
      <c r="A41" s="9" t="s">
        <v>97</v>
      </c>
      <c r="B41" s="9">
        <v>2012.0</v>
      </c>
      <c r="C41" s="9" t="s">
        <v>98</v>
      </c>
      <c r="D41" s="9" t="s">
        <v>522</v>
      </c>
    </row>
    <row r="42" ht="15.75" customHeight="1">
      <c r="A42" s="9" t="s">
        <v>99</v>
      </c>
      <c r="B42" s="9">
        <v>2007.0</v>
      </c>
      <c r="C42" s="9" t="s">
        <v>100</v>
      </c>
      <c r="D42" s="9" t="s">
        <v>522</v>
      </c>
    </row>
    <row r="43" ht="15.75" customHeight="1">
      <c r="A43" s="9" t="s">
        <v>101</v>
      </c>
      <c r="B43" s="9">
        <v>2012.0</v>
      </c>
      <c r="C43" s="9" t="s">
        <v>102</v>
      </c>
      <c r="D43" s="9" t="s">
        <v>522</v>
      </c>
    </row>
    <row r="44" ht="15.75" customHeight="1">
      <c r="A44" s="9" t="s">
        <v>103</v>
      </c>
      <c r="B44" s="9">
        <v>2012.0</v>
      </c>
      <c r="C44" s="9" t="s">
        <v>104</v>
      </c>
      <c r="D44" s="9" t="s">
        <v>522</v>
      </c>
    </row>
    <row r="45" ht="15.75" customHeight="1">
      <c r="A45" s="9" t="s">
        <v>105</v>
      </c>
      <c r="B45" s="9">
        <v>2002.0</v>
      </c>
      <c r="C45" s="9" t="s">
        <v>106</v>
      </c>
      <c r="D45" s="9" t="s">
        <v>522</v>
      </c>
    </row>
    <row r="46" ht="15.75" customHeight="1">
      <c r="A46" s="9" t="s">
        <v>107</v>
      </c>
      <c r="B46" s="9">
        <v>2014.0</v>
      </c>
      <c r="C46" s="9" t="s">
        <v>108</v>
      </c>
      <c r="D46" s="9" t="s">
        <v>522</v>
      </c>
    </row>
    <row r="47" ht="15.75" customHeight="1">
      <c r="A47" s="9" t="s">
        <v>109</v>
      </c>
      <c r="B47" s="9">
        <v>2007.0</v>
      </c>
      <c r="C47" s="9" t="s">
        <v>110</v>
      </c>
      <c r="D47" s="9" t="s">
        <v>522</v>
      </c>
    </row>
    <row r="48" ht="15.75" customHeight="1">
      <c r="A48" s="9" t="s">
        <v>111</v>
      </c>
      <c r="B48" s="9">
        <v>2013.0</v>
      </c>
      <c r="C48" s="9" t="s">
        <v>112</v>
      </c>
      <c r="D48" s="9" t="s">
        <v>522</v>
      </c>
    </row>
    <row r="49" ht="15.75" customHeight="1">
      <c r="A49" s="9" t="s">
        <v>113</v>
      </c>
      <c r="B49" s="9">
        <v>1997.0</v>
      </c>
      <c r="C49" s="9" t="s">
        <v>114</v>
      </c>
      <c r="D49" s="9" t="s">
        <v>522</v>
      </c>
    </row>
    <row r="50" ht="15.75" customHeight="1">
      <c r="A50" s="9" t="s">
        <v>115</v>
      </c>
      <c r="B50" s="9">
        <v>1995.0</v>
      </c>
      <c r="C50" s="9" t="s">
        <v>116</v>
      </c>
      <c r="D50" s="9" t="s">
        <v>522</v>
      </c>
    </row>
    <row r="51" ht="15.75" customHeight="1">
      <c r="A51" s="9" t="s">
        <v>117</v>
      </c>
      <c r="B51" s="9">
        <v>2010.0</v>
      </c>
      <c r="C51" s="9" t="s">
        <v>118</v>
      </c>
      <c r="D51" s="9" t="s">
        <v>522</v>
      </c>
    </row>
    <row r="52" ht="15.75" customHeight="1">
      <c r="A52" s="9" t="s">
        <v>119</v>
      </c>
      <c r="B52" s="9">
        <v>2014.0</v>
      </c>
      <c r="C52" s="9" t="s">
        <v>120</v>
      </c>
      <c r="D52" s="9" t="s">
        <v>522</v>
      </c>
    </row>
    <row r="53" ht="15.75" customHeight="1">
      <c r="A53" s="9" t="s">
        <v>121</v>
      </c>
      <c r="B53" s="9">
        <v>2006.0</v>
      </c>
      <c r="C53" s="9" t="s">
        <v>122</v>
      </c>
      <c r="D53" s="9" t="s">
        <v>522</v>
      </c>
    </row>
    <row r="54" ht="15.75" customHeight="1">
      <c r="A54" s="9" t="s">
        <v>123</v>
      </c>
      <c r="B54" s="9">
        <v>2002.0</v>
      </c>
      <c r="C54" s="9" t="s">
        <v>124</v>
      </c>
      <c r="D54" s="9" t="s">
        <v>522</v>
      </c>
    </row>
    <row r="55" ht="15.75" customHeight="1">
      <c r="A55" s="9" t="s">
        <v>125</v>
      </c>
      <c r="B55" s="9" t="s">
        <v>126</v>
      </c>
      <c r="C55" s="9" t="s">
        <v>127</v>
      </c>
      <c r="D55" s="9" t="s">
        <v>522</v>
      </c>
    </row>
    <row r="56" ht="15.75" customHeight="1">
      <c r="A56" s="9" t="s">
        <v>128</v>
      </c>
      <c r="B56" s="9">
        <v>2012.0</v>
      </c>
      <c r="C56" s="9" t="s">
        <v>129</v>
      </c>
      <c r="D56" s="9" t="s">
        <v>522</v>
      </c>
    </row>
    <row r="57" ht="15.75" customHeight="1">
      <c r="A57" s="9" t="s">
        <v>130</v>
      </c>
      <c r="B57" s="9">
        <v>2002.0</v>
      </c>
      <c r="C57" s="9" t="s">
        <v>131</v>
      </c>
      <c r="D57" s="9" t="s">
        <v>522</v>
      </c>
    </row>
    <row r="58" ht="15.75" customHeight="1">
      <c r="A58" s="9" t="s">
        <v>132</v>
      </c>
      <c r="B58" s="9">
        <v>2013.0</v>
      </c>
      <c r="C58" s="9" t="s">
        <v>133</v>
      </c>
      <c r="D58" s="9" t="s">
        <v>522</v>
      </c>
    </row>
    <row r="59" ht="15.75" customHeight="1">
      <c r="A59" s="9" t="s">
        <v>134</v>
      </c>
      <c r="B59" s="9">
        <v>2004.0</v>
      </c>
      <c r="C59" s="9" t="s">
        <v>135</v>
      </c>
      <c r="D59" s="9" t="s">
        <v>522</v>
      </c>
    </row>
    <row r="60" ht="15.75" customHeight="1">
      <c r="A60" s="9" t="s">
        <v>136</v>
      </c>
      <c r="B60" s="9">
        <v>2008.0</v>
      </c>
      <c r="C60" s="9" t="s">
        <v>137</v>
      </c>
      <c r="D60" s="9" t="s">
        <v>522</v>
      </c>
    </row>
    <row r="61" ht="15.75" customHeight="1">
      <c r="A61" s="9" t="s">
        <v>138</v>
      </c>
      <c r="B61" s="9">
        <v>2002.0</v>
      </c>
      <c r="C61" s="9" t="s">
        <v>139</v>
      </c>
      <c r="D61" s="9" t="s">
        <v>522</v>
      </c>
    </row>
    <row r="62" ht="15.75" customHeight="1">
      <c r="A62" s="9" t="s">
        <v>140</v>
      </c>
      <c r="B62" s="9">
        <v>2009.0</v>
      </c>
      <c r="C62" s="9" t="s">
        <v>141</v>
      </c>
      <c r="D62" s="9" t="s">
        <v>522</v>
      </c>
    </row>
    <row r="63" ht="15.75" customHeight="1">
      <c r="A63" s="9" t="s">
        <v>142</v>
      </c>
      <c r="B63" s="9">
        <v>2011.0</v>
      </c>
      <c r="C63" s="9" t="s">
        <v>143</v>
      </c>
      <c r="D63" s="9" t="s">
        <v>522</v>
      </c>
    </row>
    <row r="64" ht="15.75" customHeight="1">
      <c r="A64" s="9" t="s">
        <v>144</v>
      </c>
      <c r="B64" s="9">
        <v>2008.0</v>
      </c>
      <c r="C64" s="9" t="s">
        <v>145</v>
      </c>
      <c r="D64" s="9" t="s">
        <v>522</v>
      </c>
    </row>
    <row r="65" ht="15.75" customHeight="1">
      <c r="A65" s="9" t="s">
        <v>146</v>
      </c>
      <c r="B65" s="9">
        <v>2012.0</v>
      </c>
      <c r="C65" s="9" t="s">
        <v>147</v>
      </c>
      <c r="D65" s="9" t="s">
        <v>522</v>
      </c>
    </row>
    <row r="66" ht="15.75" customHeight="1">
      <c r="A66" s="9" t="s">
        <v>148</v>
      </c>
      <c r="B66" s="9">
        <v>2013.0</v>
      </c>
      <c r="C66" s="9" t="s">
        <v>149</v>
      </c>
      <c r="D66" s="9" t="s">
        <v>522</v>
      </c>
    </row>
    <row r="67" ht="15.75" customHeight="1">
      <c r="A67" s="9" t="s">
        <v>150</v>
      </c>
      <c r="B67" s="9">
        <v>2010.0</v>
      </c>
      <c r="C67" s="9" t="s">
        <v>151</v>
      </c>
      <c r="D67" s="9" t="s">
        <v>522</v>
      </c>
    </row>
    <row r="68" ht="15.75" customHeight="1">
      <c r="A68" s="9" t="s">
        <v>152</v>
      </c>
      <c r="B68" s="9">
        <v>2002.0</v>
      </c>
      <c r="C68" s="9" t="s">
        <v>153</v>
      </c>
      <c r="D68" s="9" t="s">
        <v>522</v>
      </c>
    </row>
    <row r="69" ht="15.75" customHeight="1">
      <c r="A69" s="9" t="s">
        <v>154</v>
      </c>
      <c r="B69" s="9">
        <v>2008.0</v>
      </c>
      <c r="C69" s="9" t="s">
        <v>155</v>
      </c>
      <c r="D69" s="9" t="s">
        <v>522</v>
      </c>
    </row>
    <row r="70" ht="15.75" customHeight="1">
      <c r="A70" s="9" t="s">
        <v>156</v>
      </c>
      <c r="B70" s="9">
        <v>2008.0</v>
      </c>
      <c r="C70" s="9" t="s">
        <v>157</v>
      </c>
      <c r="D70" s="9" t="s">
        <v>522</v>
      </c>
    </row>
    <row r="71" ht="15.75" customHeight="1">
      <c r="A71" s="9" t="s">
        <v>158</v>
      </c>
      <c r="B71" s="9">
        <v>2011.0</v>
      </c>
      <c r="C71" s="9" t="s">
        <v>159</v>
      </c>
      <c r="D71" s="9" t="s">
        <v>522</v>
      </c>
    </row>
    <row r="72" ht="15.75" customHeight="1">
      <c r="A72" s="9" t="s">
        <v>160</v>
      </c>
      <c r="B72" s="9">
        <v>2013.0</v>
      </c>
      <c r="C72" s="9" t="s">
        <v>161</v>
      </c>
      <c r="D72" s="9" t="s">
        <v>522</v>
      </c>
    </row>
    <row r="73" ht="15.75" customHeight="1">
      <c r="A73" s="9" t="s">
        <v>162</v>
      </c>
      <c r="B73" s="9">
        <v>2007.0</v>
      </c>
      <c r="C73" s="9" t="s">
        <v>163</v>
      </c>
      <c r="D73" s="9" t="s">
        <v>522</v>
      </c>
    </row>
    <row r="74" ht="15.75" customHeight="1">
      <c r="A74" s="9" t="s">
        <v>164</v>
      </c>
      <c r="B74" s="9">
        <v>2011.0</v>
      </c>
      <c r="C74" s="9" t="s">
        <v>165</v>
      </c>
      <c r="D74" s="9" t="s">
        <v>522</v>
      </c>
    </row>
    <row r="75" ht="15.75" customHeight="1">
      <c r="A75" s="9" t="s">
        <v>166</v>
      </c>
      <c r="B75" s="9">
        <v>2005.0</v>
      </c>
      <c r="C75" s="9" t="s">
        <v>167</v>
      </c>
      <c r="D75" s="9" t="s">
        <v>522</v>
      </c>
    </row>
    <row r="76" ht="15.75" customHeight="1">
      <c r="A76" s="9" t="s">
        <v>168</v>
      </c>
      <c r="B76" s="9">
        <v>2008.0</v>
      </c>
      <c r="C76" s="9" t="s">
        <v>169</v>
      </c>
      <c r="D76" s="9" t="s">
        <v>522</v>
      </c>
    </row>
    <row r="77" ht="15.75" customHeight="1">
      <c r="A77" s="9" t="s">
        <v>170</v>
      </c>
      <c r="B77" s="9">
        <v>2013.0</v>
      </c>
      <c r="C77" s="9" t="s">
        <v>171</v>
      </c>
      <c r="D77" s="9" t="s">
        <v>522</v>
      </c>
    </row>
    <row r="78" ht="15.75" customHeight="1">
      <c r="A78" s="9" t="s">
        <v>172</v>
      </c>
      <c r="B78" s="9">
        <v>2004.0</v>
      </c>
      <c r="C78" s="9" t="s">
        <v>173</v>
      </c>
      <c r="D78" s="9" t="s">
        <v>522</v>
      </c>
    </row>
    <row r="79" ht="15.75" customHeight="1">
      <c r="A79" s="9" t="s">
        <v>174</v>
      </c>
      <c r="B79" s="9">
        <v>2013.0</v>
      </c>
      <c r="C79" s="9" t="s">
        <v>175</v>
      </c>
      <c r="D79" s="9" t="s">
        <v>522</v>
      </c>
    </row>
    <row r="80" ht="15.75" customHeight="1">
      <c r="A80" s="9" t="s">
        <v>176</v>
      </c>
      <c r="B80" s="9">
        <v>2004.0</v>
      </c>
      <c r="C80" s="9" t="s">
        <v>177</v>
      </c>
      <c r="D80" s="9" t="s">
        <v>522</v>
      </c>
    </row>
    <row r="81" ht="15.75" customHeight="1">
      <c r="A81" s="9" t="s">
        <v>178</v>
      </c>
      <c r="B81" s="9">
        <v>2003.0</v>
      </c>
      <c r="C81" s="9" t="s">
        <v>179</v>
      </c>
      <c r="D81" s="9" t="s">
        <v>522</v>
      </c>
    </row>
    <row r="82" ht="15.75" customHeight="1">
      <c r="A82" s="9" t="s">
        <v>180</v>
      </c>
      <c r="B82" s="9">
        <v>2012.0</v>
      </c>
      <c r="C82" s="9" t="s">
        <v>181</v>
      </c>
      <c r="D82" s="9" t="s">
        <v>522</v>
      </c>
    </row>
    <row r="83" ht="15.75" customHeight="1">
      <c r="A83" s="9" t="s">
        <v>182</v>
      </c>
      <c r="B83" s="9">
        <v>2013.0</v>
      </c>
      <c r="C83" s="9" t="s">
        <v>183</v>
      </c>
      <c r="D83" s="9" t="s">
        <v>522</v>
      </c>
    </row>
    <row r="84" ht="15.75" customHeight="1">
      <c r="A84" s="9" t="s">
        <v>184</v>
      </c>
      <c r="B84" s="9">
        <v>2013.0</v>
      </c>
      <c r="C84" s="9" t="s">
        <v>185</v>
      </c>
      <c r="D84" s="9" t="s">
        <v>522</v>
      </c>
    </row>
    <row r="85" ht="15.75" customHeight="1">
      <c r="A85" s="9" t="s">
        <v>186</v>
      </c>
      <c r="B85" s="9">
        <v>2005.0</v>
      </c>
      <c r="C85" s="9" t="s">
        <v>187</v>
      </c>
      <c r="D85" s="9" t="s">
        <v>522</v>
      </c>
    </row>
    <row r="86" ht="15.75" customHeight="1">
      <c r="A86" s="9" t="s">
        <v>188</v>
      </c>
      <c r="B86" s="9">
        <v>2007.0</v>
      </c>
      <c r="C86" s="9" t="s">
        <v>189</v>
      </c>
      <c r="D86" s="9" t="s">
        <v>522</v>
      </c>
    </row>
    <row r="87" ht="15.75" customHeight="1">
      <c r="A87" s="9" t="s">
        <v>190</v>
      </c>
      <c r="B87" s="9">
        <v>1996.0</v>
      </c>
      <c r="C87" s="9" t="s">
        <v>191</v>
      </c>
      <c r="D87" s="9" t="s">
        <v>522</v>
      </c>
    </row>
    <row r="88" ht="15.75" customHeight="1">
      <c r="A88" s="9" t="s">
        <v>192</v>
      </c>
      <c r="B88" s="9" t="s">
        <v>193</v>
      </c>
      <c r="C88" s="9" t="s">
        <v>194</v>
      </c>
      <c r="D88" s="9" t="s">
        <v>522</v>
      </c>
    </row>
    <row r="89" ht="15.75" customHeight="1">
      <c r="A89" s="9" t="s">
        <v>195</v>
      </c>
      <c r="B89" s="9">
        <v>2008.0</v>
      </c>
      <c r="C89" s="9" t="s">
        <v>196</v>
      </c>
      <c r="D89" s="9" t="s">
        <v>522</v>
      </c>
    </row>
    <row r="90" ht="15.75" customHeight="1">
      <c r="A90" s="9" t="s">
        <v>197</v>
      </c>
      <c r="B90" s="9">
        <v>2008.0</v>
      </c>
      <c r="C90" s="9" t="s">
        <v>198</v>
      </c>
      <c r="D90" s="9" t="s">
        <v>522</v>
      </c>
    </row>
    <row r="91" ht="15.75" customHeight="1">
      <c r="A91" s="9" t="s">
        <v>199</v>
      </c>
      <c r="B91" s="9">
        <v>1997.0</v>
      </c>
      <c r="C91" s="9" t="s">
        <v>200</v>
      </c>
      <c r="D91" s="9" t="s">
        <v>522</v>
      </c>
    </row>
    <row r="92" ht="15.75" customHeight="1">
      <c r="A92" s="9" t="s">
        <v>201</v>
      </c>
      <c r="B92" s="9">
        <v>2010.0</v>
      </c>
      <c r="C92" s="9" t="s">
        <v>202</v>
      </c>
      <c r="D92" s="9" t="s">
        <v>522</v>
      </c>
    </row>
    <row r="93" ht="15.75" customHeight="1">
      <c r="A93" s="9" t="s">
        <v>203</v>
      </c>
      <c r="B93" s="9">
        <v>2008.0</v>
      </c>
      <c r="C93" s="9" t="s">
        <v>204</v>
      </c>
      <c r="D93" s="9" t="s">
        <v>522</v>
      </c>
    </row>
    <row r="94" ht="15.75" customHeight="1">
      <c r="A94" s="9" t="s">
        <v>205</v>
      </c>
      <c r="B94" s="9">
        <v>2009.0</v>
      </c>
      <c r="C94" s="9" t="s">
        <v>206</v>
      </c>
      <c r="D94" s="9" t="s">
        <v>522</v>
      </c>
    </row>
    <row r="95" ht="15.75" customHeight="1">
      <c r="A95" s="9" t="s">
        <v>207</v>
      </c>
      <c r="B95" s="9">
        <v>2001.0</v>
      </c>
      <c r="C95" s="9" t="s">
        <v>208</v>
      </c>
      <c r="D95" s="9" t="s">
        <v>522</v>
      </c>
    </row>
    <row r="96" ht="15.75" customHeight="1">
      <c r="A96" s="9" t="s">
        <v>209</v>
      </c>
      <c r="B96" s="9">
        <v>2003.0</v>
      </c>
      <c r="C96" s="9" t="s">
        <v>210</v>
      </c>
      <c r="D96" s="9" t="s">
        <v>522</v>
      </c>
    </row>
    <row r="97" ht="15.75" customHeight="1">
      <c r="A97" s="9" t="s">
        <v>211</v>
      </c>
      <c r="B97" s="9">
        <v>2001.0</v>
      </c>
      <c r="C97" s="9" t="s">
        <v>212</v>
      </c>
      <c r="D97" s="9" t="s">
        <v>522</v>
      </c>
    </row>
    <row r="98" ht="15.75" customHeight="1">
      <c r="A98" s="9" t="s">
        <v>213</v>
      </c>
      <c r="B98" s="9">
        <v>2003.0</v>
      </c>
      <c r="C98" s="9" t="s">
        <v>214</v>
      </c>
      <c r="D98" s="9" t="s">
        <v>522</v>
      </c>
    </row>
    <row r="99" ht="15.75" customHeight="1">
      <c r="A99" s="9" t="s">
        <v>215</v>
      </c>
      <c r="B99" s="9">
        <v>2000.0</v>
      </c>
      <c r="C99" s="9" t="s">
        <v>216</v>
      </c>
      <c r="D99" s="9" t="s">
        <v>522</v>
      </c>
    </row>
    <row r="100" ht="15.75" customHeight="1">
      <c r="A100" s="9" t="s">
        <v>217</v>
      </c>
      <c r="B100" s="9">
        <v>2010.0</v>
      </c>
      <c r="C100" s="9" t="s">
        <v>218</v>
      </c>
      <c r="D100" s="9" t="s">
        <v>522</v>
      </c>
    </row>
    <row r="101" ht="15.75" customHeight="1">
      <c r="A101" s="9" t="s">
        <v>219</v>
      </c>
      <c r="B101" s="9">
        <v>2013.0</v>
      </c>
      <c r="C101" s="9" t="s">
        <v>220</v>
      </c>
      <c r="D101" s="9" t="s">
        <v>522</v>
      </c>
    </row>
    <row r="102" ht="15.75" customHeight="1">
      <c r="A102" s="9" t="s">
        <v>221</v>
      </c>
      <c r="B102" s="9">
        <v>2012.0</v>
      </c>
      <c r="C102" s="9" t="s">
        <v>222</v>
      </c>
      <c r="D102" s="9" t="s">
        <v>522</v>
      </c>
    </row>
    <row r="103" ht="15.75" customHeight="1">
      <c r="A103" s="9" t="s">
        <v>223</v>
      </c>
      <c r="B103" s="9">
        <v>1999.0</v>
      </c>
      <c r="C103" s="9" t="s">
        <v>224</v>
      </c>
      <c r="D103" s="9" t="s">
        <v>522</v>
      </c>
    </row>
    <row r="104" ht="15.75" customHeight="1">
      <c r="A104" s="9" t="s">
        <v>225</v>
      </c>
      <c r="B104" s="9">
        <v>2012.0</v>
      </c>
      <c r="C104" s="9" t="s">
        <v>226</v>
      </c>
      <c r="D104" s="9" t="s">
        <v>522</v>
      </c>
    </row>
    <row r="105" ht="15.75" customHeight="1">
      <c r="A105" s="9" t="s">
        <v>227</v>
      </c>
      <c r="B105" s="9">
        <v>2010.0</v>
      </c>
      <c r="C105" s="9" t="s">
        <v>228</v>
      </c>
      <c r="D105" s="9" t="s">
        <v>522</v>
      </c>
    </row>
    <row r="106" ht="15.75" customHeight="1">
      <c r="A106" s="9" t="s">
        <v>229</v>
      </c>
      <c r="B106" s="9">
        <v>2012.0</v>
      </c>
      <c r="C106" s="9" t="s">
        <v>230</v>
      </c>
      <c r="D106" s="9" t="s">
        <v>522</v>
      </c>
    </row>
    <row r="107" ht="15.75" customHeight="1">
      <c r="A107" s="9" t="s">
        <v>152</v>
      </c>
      <c r="B107" s="9">
        <v>1999.0</v>
      </c>
      <c r="C107" s="9" t="s">
        <v>231</v>
      </c>
      <c r="D107" s="9" t="s">
        <v>522</v>
      </c>
    </row>
    <row r="108" ht="15.75" customHeight="1">
      <c r="A108" s="9" t="s">
        <v>232</v>
      </c>
      <c r="B108" s="9">
        <v>2012.0</v>
      </c>
      <c r="C108" s="9" t="s">
        <v>233</v>
      </c>
      <c r="D108" s="9" t="s">
        <v>522</v>
      </c>
    </row>
    <row r="109" ht="15.75" customHeight="1">
      <c r="A109" s="9" t="s">
        <v>234</v>
      </c>
      <c r="B109" s="9">
        <v>2009.0</v>
      </c>
      <c r="C109" s="9" t="s">
        <v>235</v>
      </c>
      <c r="D109" s="9" t="s">
        <v>522</v>
      </c>
    </row>
    <row r="110" ht="15.75" customHeight="1">
      <c r="A110" s="9" t="s">
        <v>236</v>
      </c>
      <c r="B110" s="9">
        <v>2013.0</v>
      </c>
      <c r="C110" s="9" t="s">
        <v>237</v>
      </c>
      <c r="D110" s="9" t="s">
        <v>522</v>
      </c>
    </row>
    <row r="111" ht="15.75" customHeight="1">
      <c r="A111" s="9" t="s">
        <v>238</v>
      </c>
      <c r="B111" s="9">
        <v>1995.0</v>
      </c>
      <c r="C111" s="9" t="s">
        <v>239</v>
      </c>
      <c r="D111" s="9" t="s">
        <v>522</v>
      </c>
    </row>
    <row r="112" ht="15.75" customHeight="1">
      <c r="A112" s="10" t="s">
        <v>240</v>
      </c>
      <c r="B112" s="9">
        <v>2007.0</v>
      </c>
      <c r="C112" s="9" t="s">
        <v>241</v>
      </c>
      <c r="D112" s="9" t="s">
        <v>522</v>
      </c>
    </row>
    <row r="113" ht="15.75" customHeight="1">
      <c r="A113" s="9" t="s">
        <v>242</v>
      </c>
      <c r="B113" s="9">
        <v>2003.0</v>
      </c>
      <c r="C113" s="9" t="s">
        <v>243</v>
      </c>
      <c r="D113" s="9" t="s">
        <v>522</v>
      </c>
    </row>
    <row r="114" ht="15.75" customHeight="1">
      <c r="A114" s="9" t="s">
        <v>244</v>
      </c>
      <c r="B114" s="9">
        <v>2008.0</v>
      </c>
      <c r="C114" s="9" t="s">
        <v>245</v>
      </c>
      <c r="D114" s="9" t="s">
        <v>522</v>
      </c>
    </row>
    <row r="115" ht="15.75" customHeight="1">
      <c r="A115" s="9" t="s">
        <v>246</v>
      </c>
      <c r="B115" s="9">
        <v>1994.0</v>
      </c>
      <c r="C115" s="9" t="s">
        <v>247</v>
      </c>
      <c r="D115" s="9" t="s">
        <v>522</v>
      </c>
    </row>
    <row r="116" ht="15.75" customHeight="1">
      <c r="A116" s="9" t="s">
        <v>248</v>
      </c>
      <c r="B116" s="9">
        <v>2011.0</v>
      </c>
      <c r="C116" s="9" t="s">
        <v>249</v>
      </c>
      <c r="D116" s="9" t="s">
        <v>522</v>
      </c>
    </row>
    <row r="117" ht="15.75" customHeight="1"/>
    <row r="118" ht="15.75" customHeight="1"/>
    <row r="119" ht="15.75" customHeight="1">
      <c r="A119" s="10"/>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16">
    <sortState ref="A1:D116">
      <sortCondition ref="D1:D116"/>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63"/>
    <col customWidth="1" min="2" max="2" width="12.38"/>
    <col customWidth="1" min="3" max="3" width="11.88"/>
    <col customWidth="1" min="4" max="4" width="13.5"/>
    <col customWidth="1" min="5" max="5" width="11.63"/>
    <col customWidth="1" min="6" max="6" width="15.88"/>
    <col customWidth="1" min="7" max="7" width="14.25"/>
    <col customWidth="1" min="8" max="8" width="11.25"/>
  </cols>
  <sheetData>
    <row r="1" ht="12.75" customHeight="1">
      <c r="A1" s="9" t="s">
        <v>250</v>
      </c>
      <c r="B1" s="9" t="s">
        <v>254</v>
      </c>
      <c r="C1" s="9" t="s">
        <v>255</v>
      </c>
      <c r="D1" s="9" t="s">
        <v>256</v>
      </c>
      <c r="E1" s="9" t="s">
        <v>257</v>
      </c>
      <c r="F1" s="9" t="s">
        <v>258</v>
      </c>
      <c r="H1" s="9" t="s">
        <v>524</v>
      </c>
    </row>
    <row r="2" ht="12.75" customHeight="1">
      <c r="A2" s="9" t="s">
        <v>270</v>
      </c>
      <c r="B2" s="9" t="s">
        <v>272</v>
      </c>
      <c r="C2" s="9" t="s">
        <v>273</v>
      </c>
      <c r="D2" s="9" t="s">
        <v>274</v>
      </c>
      <c r="E2" s="9" t="s">
        <v>275</v>
      </c>
      <c r="F2" s="9" t="s">
        <v>276</v>
      </c>
      <c r="H2" s="9" t="s">
        <v>253</v>
      </c>
    </row>
    <row r="3" ht="12.75" customHeight="1">
      <c r="A3" s="9" t="s">
        <v>270</v>
      </c>
      <c r="B3" s="9" t="s">
        <v>272</v>
      </c>
      <c r="C3" s="9" t="s">
        <v>273</v>
      </c>
      <c r="D3" s="9" t="s">
        <v>274</v>
      </c>
      <c r="E3" s="9" t="s">
        <v>275</v>
      </c>
      <c r="F3" s="9" t="s">
        <v>276</v>
      </c>
      <c r="H3" s="9" t="s">
        <v>251</v>
      </c>
    </row>
    <row r="4" ht="12.75" customHeight="1">
      <c r="A4" s="9" t="s">
        <v>270</v>
      </c>
      <c r="B4" s="9" t="s">
        <v>272</v>
      </c>
      <c r="C4" s="9" t="s">
        <v>273</v>
      </c>
      <c r="D4" s="9" t="s">
        <v>274</v>
      </c>
      <c r="E4" s="9" t="s">
        <v>275</v>
      </c>
      <c r="F4" s="9" t="s">
        <v>276</v>
      </c>
      <c r="H4" s="9" t="s">
        <v>252</v>
      </c>
    </row>
    <row r="5" ht="12.75" customHeight="1">
      <c r="A5" s="9" t="s">
        <v>280</v>
      </c>
      <c r="B5" s="9" t="s">
        <v>272</v>
      </c>
      <c r="C5" s="9" t="s">
        <v>273</v>
      </c>
      <c r="D5" s="9" t="s">
        <v>274</v>
      </c>
      <c r="E5" s="9" t="s">
        <v>275</v>
      </c>
      <c r="F5" s="9" t="s">
        <v>276</v>
      </c>
      <c r="H5" s="9" t="s">
        <v>259</v>
      </c>
    </row>
    <row r="6" ht="12.75" customHeight="1">
      <c r="A6" s="9" t="s">
        <v>280</v>
      </c>
      <c r="B6" s="9" t="s">
        <v>272</v>
      </c>
      <c r="C6" s="9" t="s">
        <v>273</v>
      </c>
      <c r="D6" s="9" t="s">
        <v>274</v>
      </c>
      <c r="E6" s="9" t="s">
        <v>275</v>
      </c>
      <c r="F6" s="9" t="s">
        <v>276</v>
      </c>
      <c r="H6" s="9" t="s">
        <v>260</v>
      </c>
    </row>
    <row r="7" ht="12.75" customHeight="1">
      <c r="A7" s="9" t="s">
        <v>280</v>
      </c>
      <c r="B7" s="9" t="s">
        <v>272</v>
      </c>
      <c r="C7" s="9" t="s">
        <v>273</v>
      </c>
      <c r="D7" s="9" t="s">
        <v>274</v>
      </c>
      <c r="E7" s="9" t="s">
        <v>275</v>
      </c>
      <c r="F7" s="9" t="s">
        <v>276</v>
      </c>
      <c r="H7" s="9" t="s">
        <v>261</v>
      </c>
    </row>
    <row r="8" ht="12.75" customHeight="1">
      <c r="A8" s="9" t="s">
        <v>281</v>
      </c>
      <c r="B8" s="9" t="s">
        <v>282</v>
      </c>
      <c r="C8" s="9" t="s">
        <v>283</v>
      </c>
      <c r="D8" s="9" t="s">
        <v>274</v>
      </c>
      <c r="E8" s="9" t="s">
        <v>275</v>
      </c>
      <c r="F8" s="9" t="s">
        <v>284</v>
      </c>
      <c r="H8" s="9" t="s">
        <v>262</v>
      </c>
    </row>
    <row r="9" ht="12.75" customHeight="1">
      <c r="A9" s="9" t="s">
        <v>286</v>
      </c>
      <c r="B9" s="9" t="s">
        <v>272</v>
      </c>
      <c r="C9" s="9" t="s">
        <v>273</v>
      </c>
      <c r="D9" s="9" t="s">
        <v>274</v>
      </c>
      <c r="E9" s="9" t="s">
        <v>275</v>
      </c>
      <c r="F9" s="9" t="s">
        <v>276</v>
      </c>
      <c r="H9" s="9" t="s">
        <v>263</v>
      </c>
    </row>
    <row r="10" ht="12.75" customHeight="1">
      <c r="A10" s="9" t="s">
        <v>287</v>
      </c>
      <c r="B10" s="9" t="s">
        <v>289</v>
      </c>
      <c r="C10" s="9" t="s">
        <v>273</v>
      </c>
      <c r="D10" s="9" t="s">
        <v>274</v>
      </c>
      <c r="E10" s="9" t="s">
        <v>275</v>
      </c>
      <c r="F10" s="9" t="s">
        <v>284</v>
      </c>
      <c r="H10" s="9" t="s">
        <v>264</v>
      </c>
    </row>
    <row r="11" ht="12.75" customHeight="1">
      <c r="A11" s="9" t="s">
        <v>290</v>
      </c>
      <c r="B11" s="9" t="s">
        <v>289</v>
      </c>
      <c r="C11" s="9" t="s">
        <v>273</v>
      </c>
      <c r="D11" s="9" t="s">
        <v>274</v>
      </c>
      <c r="E11" s="9" t="s">
        <v>275</v>
      </c>
      <c r="F11" s="9" t="s">
        <v>284</v>
      </c>
      <c r="H11" s="9" t="s">
        <v>265</v>
      </c>
    </row>
    <row r="12" ht="12.75" customHeight="1">
      <c r="A12" s="9" t="s">
        <v>291</v>
      </c>
      <c r="B12" s="9" t="s">
        <v>289</v>
      </c>
      <c r="C12" s="9" t="s">
        <v>273</v>
      </c>
      <c r="D12" s="9" t="s">
        <v>293</v>
      </c>
      <c r="E12" s="9">
        <v>1450.0</v>
      </c>
      <c r="F12" s="9" t="s">
        <v>284</v>
      </c>
      <c r="H12" s="9" t="s">
        <v>266</v>
      </c>
    </row>
    <row r="13" ht="12.75" customHeight="1">
      <c r="A13" s="9" t="s">
        <v>294</v>
      </c>
      <c r="B13" s="9" t="s">
        <v>272</v>
      </c>
      <c r="C13" s="9" t="s">
        <v>283</v>
      </c>
      <c r="D13" s="9" t="s">
        <v>295</v>
      </c>
      <c r="E13" s="9" t="s">
        <v>296</v>
      </c>
      <c r="F13" s="9" t="s">
        <v>284</v>
      </c>
      <c r="H13" s="9" t="s">
        <v>267</v>
      </c>
    </row>
    <row r="14" ht="12.75" customHeight="1">
      <c r="A14" s="9" t="s">
        <v>297</v>
      </c>
      <c r="B14" s="9" t="s">
        <v>289</v>
      </c>
      <c r="C14" s="9" t="s">
        <v>273</v>
      </c>
      <c r="D14" s="9" t="s">
        <v>295</v>
      </c>
      <c r="E14" s="9">
        <v>1950.0</v>
      </c>
      <c r="F14" s="9" t="s">
        <v>284</v>
      </c>
      <c r="H14" s="9" t="s">
        <v>268</v>
      </c>
    </row>
    <row r="15" ht="12.75" customHeight="1">
      <c r="A15" s="9" t="s">
        <v>299</v>
      </c>
      <c r="B15" s="9" t="s">
        <v>289</v>
      </c>
      <c r="C15" s="9" t="s">
        <v>273</v>
      </c>
      <c r="D15" s="9" t="s">
        <v>295</v>
      </c>
      <c r="E15" s="9">
        <v>1950.0</v>
      </c>
      <c r="F15" s="9" t="s">
        <v>284</v>
      </c>
      <c r="H15" s="9" t="s">
        <v>269</v>
      </c>
    </row>
    <row r="16" ht="12.75" customHeight="1">
      <c r="A16" s="9" t="s">
        <v>300</v>
      </c>
      <c r="B16" s="9" t="s">
        <v>289</v>
      </c>
      <c r="C16" s="9" t="s">
        <v>273</v>
      </c>
      <c r="D16" s="9" t="s">
        <v>295</v>
      </c>
      <c r="E16" s="9">
        <v>1950.0</v>
      </c>
      <c r="F16" s="9" t="s">
        <v>284</v>
      </c>
    </row>
    <row r="17" ht="12.75" customHeight="1">
      <c r="A17" s="9" t="s">
        <v>301</v>
      </c>
      <c r="B17" s="9" t="s">
        <v>289</v>
      </c>
      <c r="C17" s="9" t="s">
        <v>273</v>
      </c>
      <c r="D17" s="9" t="s">
        <v>295</v>
      </c>
      <c r="E17" s="9">
        <v>1950.0</v>
      </c>
      <c r="F17" s="9" t="s">
        <v>284</v>
      </c>
    </row>
    <row r="18" ht="12.75" customHeight="1">
      <c r="A18" s="9" t="s">
        <v>302</v>
      </c>
      <c r="B18" s="9" t="s">
        <v>289</v>
      </c>
      <c r="C18" s="9" t="s">
        <v>273</v>
      </c>
      <c r="D18" s="9" t="s">
        <v>295</v>
      </c>
      <c r="E18" s="9">
        <v>1950.0</v>
      </c>
      <c r="F18" s="9" t="s">
        <v>284</v>
      </c>
    </row>
    <row r="19" ht="12.75" customHeight="1">
      <c r="A19" s="9" t="s">
        <v>303</v>
      </c>
      <c r="B19" s="9" t="s">
        <v>282</v>
      </c>
      <c r="C19" s="9" t="s">
        <v>273</v>
      </c>
      <c r="D19" s="9" t="s">
        <v>293</v>
      </c>
      <c r="E19" s="9">
        <v>1450.0</v>
      </c>
      <c r="F19" s="9" t="s">
        <v>284</v>
      </c>
    </row>
    <row r="20" ht="12.75" customHeight="1">
      <c r="A20" s="9" t="s">
        <v>304</v>
      </c>
      <c r="B20" s="9" t="s">
        <v>282</v>
      </c>
      <c r="C20" s="9" t="s">
        <v>273</v>
      </c>
      <c r="D20" s="9" t="s">
        <v>293</v>
      </c>
      <c r="E20" s="9">
        <v>1450.0</v>
      </c>
      <c r="F20" s="9" t="s">
        <v>284</v>
      </c>
    </row>
    <row r="21" ht="12.75" customHeight="1">
      <c r="A21" s="9" t="s">
        <v>305</v>
      </c>
      <c r="B21" s="9" t="s">
        <v>282</v>
      </c>
      <c r="C21" s="9" t="s">
        <v>273</v>
      </c>
      <c r="D21" s="9" t="s">
        <v>293</v>
      </c>
      <c r="E21" s="9">
        <v>1450.0</v>
      </c>
      <c r="F21" s="9" t="s">
        <v>284</v>
      </c>
    </row>
    <row r="22" ht="12.75" customHeight="1">
      <c r="A22" s="9" t="s">
        <v>306</v>
      </c>
      <c r="B22" s="9" t="s">
        <v>272</v>
      </c>
      <c r="C22" s="9" t="s">
        <v>273</v>
      </c>
      <c r="D22" s="9" t="s">
        <v>293</v>
      </c>
      <c r="E22" s="9" t="s">
        <v>275</v>
      </c>
      <c r="F22" s="9" t="s">
        <v>276</v>
      </c>
    </row>
    <row r="23" ht="12.75" customHeight="1">
      <c r="A23" s="9" t="s">
        <v>306</v>
      </c>
      <c r="B23" s="9" t="s">
        <v>272</v>
      </c>
      <c r="C23" s="9" t="s">
        <v>273</v>
      </c>
      <c r="D23" s="9" t="s">
        <v>293</v>
      </c>
      <c r="E23" s="9" t="s">
        <v>275</v>
      </c>
      <c r="F23" s="9" t="s">
        <v>276</v>
      </c>
    </row>
    <row r="24" ht="12.75" customHeight="1">
      <c r="A24" s="9" t="s">
        <v>307</v>
      </c>
      <c r="B24" s="9" t="s">
        <v>272</v>
      </c>
      <c r="C24" s="9" t="s">
        <v>273</v>
      </c>
      <c r="D24" s="9" t="s">
        <v>293</v>
      </c>
      <c r="E24" s="9" t="s">
        <v>275</v>
      </c>
      <c r="F24" s="9" t="s">
        <v>284</v>
      </c>
    </row>
    <row r="25" ht="12.75" customHeight="1">
      <c r="A25" s="9" t="s">
        <v>307</v>
      </c>
      <c r="B25" s="9" t="s">
        <v>272</v>
      </c>
      <c r="C25" s="9" t="s">
        <v>273</v>
      </c>
      <c r="D25" s="9" t="s">
        <v>293</v>
      </c>
      <c r="E25" s="9" t="s">
        <v>275</v>
      </c>
      <c r="F25" s="9" t="s">
        <v>284</v>
      </c>
    </row>
    <row r="26" ht="12.75" customHeight="1">
      <c r="A26" s="9" t="s">
        <v>308</v>
      </c>
      <c r="B26" s="9" t="s">
        <v>272</v>
      </c>
      <c r="C26" s="9" t="s">
        <v>273</v>
      </c>
      <c r="D26" s="9" t="s">
        <v>293</v>
      </c>
      <c r="E26" s="9" t="s">
        <v>275</v>
      </c>
      <c r="F26" s="9" t="s">
        <v>284</v>
      </c>
    </row>
    <row r="27" ht="12.75" customHeight="1">
      <c r="A27" s="9" t="s">
        <v>308</v>
      </c>
      <c r="B27" s="9" t="s">
        <v>272</v>
      </c>
      <c r="C27" s="9" t="s">
        <v>273</v>
      </c>
      <c r="D27" s="9" t="s">
        <v>293</v>
      </c>
      <c r="E27" s="9" t="s">
        <v>275</v>
      </c>
      <c r="F27" s="9" t="s">
        <v>284</v>
      </c>
    </row>
    <row r="28" ht="12.75" customHeight="1">
      <c r="A28" s="9" t="s">
        <v>309</v>
      </c>
      <c r="B28" s="9" t="s">
        <v>272</v>
      </c>
      <c r="C28" s="9" t="s">
        <v>273</v>
      </c>
      <c r="D28" s="9" t="s">
        <v>293</v>
      </c>
      <c r="E28" s="9" t="s">
        <v>275</v>
      </c>
      <c r="F28" s="9" t="s">
        <v>284</v>
      </c>
    </row>
    <row r="29" ht="12.75" customHeight="1">
      <c r="A29" s="9" t="s">
        <v>309</v>
      </c>
      <c r="B29" s="9" t="s">
        <v>272</v>
      </c>
      <c r="C29" s="9" t="s">
        <v>273</v>
      </c>
      <c r="D29" s="9" t="s">
        <v>293</v>
      </c>
      <c r="E29" s="9" t="s">
        <v>275</v>
      </c>
      <c r="F29" s="9" t="s">
        <v>284</v>
      </c>
    </row>
    <row r="30" ht="12.75" customHeight="1">
      <c r="A30" s="9" t="s">
        <v>310</v>
      </c>
      <c r="B30" s="9" t="s">
        <v>272</v>
      </c>
      <c r="C30" s="9" t="s">
        <v>273</v>
      </c>
      <c r="D30" s="9" t="s">
        <v>274</v>
      </c>
      <c r="E30" s="9" t="s">
        <v>311</v>
      </c>
      <c r="F30" s="9" t="s">
        <v>276</v>
      </c>
    </row>
    <row r="31" ht="12.75" customHeight="1">
      <c r="A31" s="9" t="s">
        <v>312</v>
      </c>
      <c r="B31" s="9" t="s">
        <v>282</v>
      </c>
      <c r="C31" s="9" t="s">
        <v>273</v>
      </c>
      <c r="D31" s="9" t="s">
        <v>274</v>
      </c>
      <c r="E31" s="9" t="s">
        <v>311</v>
      </c>
      <c r="F31" s="9" t="s">
        <v>284</v>
      </c>
    </row>
    <row r="32" ht="12.75" customHeight="1">
      <c r="A32" s="9" t="s">
        <v>313</v>
      </c>
      <c r="B32" s="9" t="s">
        <v>272</v>
      </c>
      <c r="C32" s="9" t="s">
        <v>273</v>
      </c>
      <c r="D32" s="9" t="s">
        <v>274</v>
      </c>
      <c r="E32" s="9" t="s">
        <v>275</v>
      </c>
      <c r="F32" s="9" t="s">
        <v>284</v>
      </c>
    </row>
    <row r="33" ht="12.75" customHeight="1">
      <c r="A33" s="9" t="s">
        <v>313</v>
      </c>
      <c r="B33" s="9" t="s">
        <v>272</v>
      </c>
      <c r="C33" s="9" t="s">
        <v>273</v>
      </c>
      <c r="D33" s="9" t="s">
        <v>274</v>
      </c>
      <c r="E33" s="9" t="s">
        <v>275</v>
      </c>
      <c r="F33" s="9" t="s">
        <v>284</v>
      </c>
    </row>
    <row r="34" ht="12.75" customHeight="1">
      <c r="A34" s="9" t="s">
        <v>314</v>
      </c>
      <c r="B34" s="9" t="s">
        <v>272</v>
      </c>
      <c r="C34" s="9" t="s">
        <v>273</v>
      </c>
      <c r="D34" s="9" t="s">
        <v>274</v>
      </c>
      <c r="E34" s="9" t="s">
        <v>275</v>
      </c>
      <c r="F34" s="9" t="s">
        <v>284</v>
      </c>
    </row>
    <row r="35" ht="12.75" customHeight="1">
      <c r="A35" s="9" t="s">
        <v>314</v>
      </c>
      <c r="B35" s="9" t="s">
        <v>272</v>
      </c>
      <c r="C35" s="9" t="s">
        <v>273</v>
      </c>
      <c r="D35" s="9" t="s">
        <v>274</v>
      </c>
      <c r="E35" s="9" t="s">
        <v>275</v>
      </c>
      <c r="F35" s="9" t="s">
        <v>284</v>
      </c>
    </row>
    <row r="36" ht="12.75" customHeight="1">
      <c r="A36" s="9" t="s">
        <v>315</v>
      </c>
      <c r="B36" s="9" t="s">
        <v>272</v>
      </c>
      <c r="C36" s="9" t="s">
        <v>273</v>
      </c>
      <c r="D36" s="9" t="s">
        <v>274</v>
      </c>
      <c r="E36" s="9" t="s">
        <v>275</v>
      </c>
      <c r="F36" s="9" t="s">
        <v>284</v>
      </c>
    </row>
    <row r="37" ht="12.75" customHeight="1">
      <c r="A37" s="9" t="s">
        <v>315</v>
      </c>
      <c r="B37" s="9" t="s">
        <v>272</v>
      </c>
      <c r="C37" s="9" t="s">
        <v>273</v>
      </c>
      <c r="D37" s="9" t="s">
        <v>274</v>
      </c>
      <c r="E37" s="9" t="s">
        <v>275</v>
      </c>
      <c r="F37" s="9" t="s">
        <v>284</v>
      </c>
    </row>
    <row r="38" ht="12.75" customHeight="1">
      <c r="A38" s="9" t="s">
        <v>316</v>
      </c>
      <c r="B38" s="9" t="s">
        <v>272</v>
      </c>
      <c r="C38" s="9" t="s">
        <v>273</v>
      </c>
      <c r="D38" s="9" t="s">
        <v>274</v>
      </c>
      <c r="E38" s="9" t="s">
        <v>275</v>
      </c>
      <c r="F38" s="9" t="s">
        <v>284</v>
      </c>
    </row>
    <row r="39" ht="12.75" customHeight="1">
      <c r="A39" s="9" t="s">
        <v>316</v>
      </c>
      <c r="B39" s="9" t="s">
        <v>272</v>
      </c>
      <c r="C39" s="9" t="s">
        <v>273</v>
      </c>
      <c r="D39" s="9" t="s">
        <v>274</v>
      </c>
      <c r="E39" s="9" t="s">
        <v>275</v>
      </c>
      <c r="F39" s="9" t="s">
        <v>284</v>
      </c>
    </row>
    <row r="40" ht="12.75" customHeight="1">
      <c r="A40" s="9" t="s">
        <v>317</v>
      </c>
      <c r="B40" s="9" t="s">
        <v>272</v>
      </c>
      <c r="C40" s="9" t="s">
        <v>273</v>
      </c>
      <c r="D40" s="9" t="s">
        <v>274</v>
      </c>
      <c r="E40" s="9" t="s">
        <v>275</v>
      </c>
      <c r="F40" s="9" t="s">
        <v>284</v>
      </c>
    </row>
    <row r="41" ht="12.75" customHeight="1">
      <c r="A41" s="9" t="s">
        <v>317</v>
      </c>
      <c r="B41" s="9" t="s">
        <v>272</v>
      </c>
      <c r="C41" s="9" t="s">
        <v>273</v>
      </c>
      <c r="D41" s="9" t="s">
        <v>274</v>
      </c>
      <c r="E41" s="9" t="s">
        <v>275</v>
      </c>
      <c r="F41" s="9" t="s">
        <v>284</v>
      </c>
    </row>
    <row r="42" ht="12.75" customHeight="1">
      <c r="A42" s="9" t="s">
        <v>318</v>
      </c>
      <c r="B42" s="9" t="s">
        <v>289</v>
      </c>
      <c r="C42" s="9" t="s">
        <v>273</v>
      </c>
      <c r="D42" s="9" t="s">
        <v>293</v>
      </c>
      <c r="E42" s="9" t="s">
        <v>275</v>
      </c>
      <c r="F42" s="9" t="s">
        <v>284</v>
      </c>
    </row>
    <row r="43" ht="12.75" customHeight="1">
      <c r="A43" s="9" t="s">
        <v>318</v>
      </c>
      <c r="B43" s="9" t="s">
        <v>289</v>
      </c>
      <c r="C43" s="9" t="s">
        <v>273</v>
      </c>
      <c r="D43" s="9" t="s">
        <v>293</v>
      </c>
      <c r="E43" s="9" t="s">
        <v>275</v>
      </c>
      <c r="F43" s="9" t="s">
        <v>284</v>
      </c>
    </row>
    <row r="44" ht="12.75" customHeight="1">
      <c r="A44" s="9" t="s">
        <v>318</v>
      </c>
      <c r="B44" s="9" t="s">
        <v>289</v>
      </c>
      <c r="C44" s="9" t="s">
        <v>273</v>
      </c>
      <c r="D44" s="9" t="s">
        <v>293</v>
      </c>
      <c r="E44" s="9" t="s">
        <v>275</v>
      </c>
      <c r="F44" s="9" t="s">
        <v>284</v>
      </c>
    </row>
    <row r="45" ht="12.75" customHeight="1">
      <c r="A45" s="9" t="s">
        <v>319</v>
      </c>
      <c r="B45" s="9" t="s">
        <v>272</v>
      </c>
      <c r="C45" s="9" t="s">
        <v>283</v>
      </c>
      <c r="D45" s="9" t="s">
        <v>293</v>
      </c>
      <c r="E45" s="9" t="s">
        <v>311</v>
      </c>
      <c r="F45" s="9" t="s">
        <v>284</v>
      </c>
    </row>
    <row r="46" ht="12.75" customHeight="1">
      <c r="A46" s="9" t="s">
        <v>320</v>
      </c>
      <c r="B46" s="9" t="s">
        <v>272</v>
      </c>
      <c r="C46" s="9" t="s">
        <v>273</v>
      </c>
      <c r="D46" s="9" t="s">
        <v>293</v>
      </c>
      <c r="E46" s="9" t="s">
        <v>311</v>
      </c>
      <c r="F46" s="9" t="s">
        <v>284</v>
      </c>
    </row>
    <row r="47" ht="12.75" customHeight="1">
      <c r="A47" s="9" t="s">
        <v>321</v>
      </c>
      <c r="B47" s="9" t="s">
        <v>272</v>
      </c>
      <c r="C47" s="9" t="s">
        <v>273</v>
      </c>
      <c r="D47" s="9" t="s">
        <v>293</v>
      </c>
      <c r="E47" s="9" t="s">
        <v>275</v>
      </c>
      <c r="F47" s="9" t="s">
        <v>284</v>
      </c>
    </row>
    <row r="48" ht="12.75" customHeight="1">
      <c r="A48" s="9" t="s">
        <v>322</v>
      </c>
      <c r="B48" s="9" t="s">
        <v>272</v>
      </c>
      <c r="C48" s="9" t="s">
        <v>273</v>
      </c>
      <c r="D48" s="9" t="s">
        <v>293</v>
      </c>
      <c r="E48" s="9" t="s">
        <v>275</v>
      </c>
      <c r="F48" s="9" t="s">
        <v>284</v>
      </c>
    </row>
    <row r="49" ht="12.75" customHeight="1">
      <c r="A49" s="9" t="s">
        <v>323</v>
      </c>
      <c r="B49" s="9" t="s">
        <v>272</v>
      </c>
      <c r="C49" s="9" t="s">
        <v>273</v>
      </c>
      <c r="D49" s="9" t="s">
        <v>295</v>
      </c>
      <c r="E49" s="9">
        <v>1450.0</v>
      </c>
      <c r="F49" s="9" t="s">
        <v>276</v>
      </c>
    </row>
    <row r="50" ht="12.75" customHeight="1">
      <c r="A50" s="9" t="s">
        <v>324</v>
      </c>
      <c r="B50" s="9" t="s">
        <v>289</v>
      </c>
      <c r="C50" s="9" t="s">
        <v>273</v>
      </c>
      <c r="D50" s="9" t="s">
        <v>295</v>
      </c>
      <c r="E50" s="9">
        <v>1450.0</v>
      </c>
      <c r="F50" s="9" t="s">
        <v>276</v>
      </c>
    </row>
    <row r="51" ht="12.75" customHeight="1">
      <c r="A51" s="9" t="s">
        <v>325</v>
      </c>
      <c r="B51" s="9" t="s">
        <v>289</v>
      </c>
      <c r="C51" s="9" t="s">
        <v>326</v>
      </c>
      <c r="D51" s="9" t="s">
        <v>295</v>
      </c>
      <c r="E51" s="9" t="s">
        <v>296</v>
      </c>
      <c r="F51" s="9" t="s">
        <v>284</v>
      </c>
    </row>
    <row r="52" ht="12.75" customHeight="1">
      <c r="A52" s="9" t="s">
        <v>327</v>
      </c>
      <c r="B52" s="9" t="s">
        <v>282</v>
      </c>
      <c r="C52" s="9" t="s">
        <v>273</v>
      </c>
      <c r="D52" s="9" t="s">
        <v>295</v>
      </c>
      <c r="E52" s="9" t="s">
        <v>311</v>
      </c>
      <c r="F52" s="9" t="s">
        <v>284</v>
      </c>
    </row>
    <row r="53" ht="12.75" customHeight="1">
      <c r="A53" s="9" t="s">
        <v>328</v>
      </c>
      <c r="B53" s="9" t="s">
        <v>282</v>
      </c>
      <c r="C53" s="9" t="s">
        <v>273</v>
      </c>
      <c r="D53" s="9" t="s">
        <v>295</v>
      </c>
      <c r="E53" s="9" t="s">
        <v>311</v>
      </c>
      <c r="F53" s="9" t="s">
        <v>284</v>
      </c>
    </row>
    <row r="54" ht="12.75" customHeight="1">
      <c r="A54" s="9" t="s">
        <v>329</v>
      </c>
      <c r="B54" s="9" t="s">
        <v>282</v>
      </c>
      <c r="C54" s="9" t="s">
        <v>273</v>
      </c>
      <c r="D54" s="9" t="s">
        <v>274</v>
      </c>
      <c r="E54" s="9" t="s">
        <v>275</v>
      </c>
      <c r="F54" s="9" t="s">
        <v>284</v>
      </c>
    </row>
    <row r="55" ht="12.75" customHeight="1">
      <c r="A55" s="9" t="s">
        <v>330</v>
      </c>
      <c r="B55" s="9" t="s">
        <v>272</v>
      </c>
      <c r="C55" s="9" t="s">
        <v>273</v>
      </c>
      <c r="D55" s="9" t="s">
        <v>295</v>
      </c>
      <c r="E55" s="9" t="s">
        <v>311</v>
      </c>
      <c r="F55" s="9" t="s">
        <v>276</v>
      </c>
    </row>
    <row r="56" ht="12.75" customHeight="1">
      <c r="A56" s="9" t="s">
        <v>331</v>
      </c>
      <c r="B56" s="9" t="s">
        <v>272</v>
      </c>
      <c r="C56" s="9" t="s">
        <v>273</v>
      </c>
      <c r="D56" s="9" t="s">
        <v>295</v>
      </c>
      <c r="E56" s="9" t="s">
        <v>311</v>
      </c>
      <c r="F56" s="9" t="s">
        <v>284</v>
      </c>
    </row>
    <row r="57" ht="12.75" customHeight="1">
      <c r="A57" s="9" t="s">
        <v>332</v>
      </c>
      <c r="B57" s="9" t="s">
        <v>272</v>
      </c>
      <c r="C57" s="9" t="s">
        <v>273</v>
      </c>
      <c r="D57" s="9" t="s">
        <v>295</v>
      </c>
      <c r="E57" s="9" t="s">
        <v>311</v>
      </c>
      <c r="F57" s="9" t="s">
        <v>284</v>
      </c>
    </row>
    <row r="58" ht="12.75" customHeight="1">
      <c r="A58" s="9" t="s">
        <v>333</v>
      </c>
      <c r="B58" s="9" t="s">
        <v>282</v>
      </c>
      <c r="C58" s="9" t="s">
        <v>273</v>
      </c>
      <c r="D58" s="9" t="s">
        <v>293</v>
      </c>
      <c r="E58" s="9">
        <v>1950.0</v>
      </c>
      <c r="F58" s="9" t="s">
        <v>284</v>
      </c>
    </row>
    <row r="59" ht="12.75" customHeight="1">
      <c r="A59" s="9" t="s">
        <v>334</v>
      </c>
      <c r="B59" s="9" t="s">
        <v>282</v>
      </c>
      <c r="C59" s="9" t="s">
        <v>273</v>
      </c>
      <c r="D59" s="9" t="s">
        <v>293</v>
      </c>
      <c r="E59" s="9">
        <v>1950.0</v>
      </c>
      <c r="F59" s="9" t="s">
        <v>284</v>
      </c>
    </row>
    <row r="60" ht="12.75" customHeight="1">
      <c r="A60" s="9" t="s">
        <v>335</v>
      </c>
      <c r="B60" s="9" t="s">
        <v>282</v>
      </c>
      <c r="C60" s="9" t="s">
        <v>273</v>
      </c>
      <c r="D60" s="9" t="s">
        <v>293</v>
      </c>
      <c r="E60" s="9" t="s">
        <v>275</v>
      </c>
      <c r="F60" s="9" t="s">
        <v>284</v>
      </c>
    </row>
    <row r="61" ht="12.75" customHeight="1">
      <c r="A61" s="9" t="s">
        <v>336</v>
      </c>
      <c r="B61" s="9" t="s">
        <v>282</v>
      </c>
      <c r="C61" s="9" t="s">
        <v>273</v>
      </c>
      <c r="D61" s="9" t="s">
        <v>293</v>
      </c>
      <c r="E61" s="9" t="s">
        <v>275</v>
      </c>
      <c r="F61" s="9" t="s">
        <v>284</v>
      </c>
    </row>
    <row r="62" ht="12.75" customHeight="1">
      <c r="A62" s="9" t="s">
        <v>337</v>
      </c>
      <c r="B62" s="9" t="s">
        <v>272</v>
      </c>
      <c r="C62" s="9" t="s">
        <v>273</v>
      </c>
      <c r="D62" s="9" t="s">
        <v>274</v>
      </c>
      <c r="E62" s="9" t="s">
        <v>275</v>
      </c>
      <c r="F62" s="9" t="s">
        <v>284</v>
      </c>
    </row>
    <row r="63" ht="12.75" customHeight="1">
      <c r="A63" s="9" t="s">
        <v>338</v>
      </c>
      <c r="B63" s="9" t="s">
        <v>272</v>
      </c>
      <c r="C63" s="9" t="s">
        <v>326</v>
      </c>
      <c r="D63" s="9" t="s">
        <v>339</v>
      </c>
      <c r="E63" s="9">
        <v>1950.0</v>
      </c>
      <c r="F63" s="9" t="s">
        <v>276</v>
      </c>
    </row>
    <row r="64" ht="12.75" customHeight="1">
      <c r="A64" s="9" t="s">
        <v>340</v>
      </c>
      <c r="B64" s="9" t="s">
        <v>272</v>
      </c>
      <c r="C64" s="9" t="s">
        <v>273</v>
      </c>
      <c r="D64" s="9" t="s">
        <v>295</v>
      </c>
      <c r="E64" s="9">
        <v>1950.0</v>
      </c>
      <c r="F64" s="9" t="s">
        <v>276</v>
      </c>
    </row>
    <row r="65" ht="12.75" customHeight="1">
      <c r="A65" s="9" t="s">
        <v>340</v>
      </c>
      <c r="B65" s="9" t="s">
        <v>272</v>
      </c>
      <c r="C65" s="9" t="s">
        <v>273</v>
      </c>
      <c r="D65" s="9" t="s">
        <v>295</v>
      </c>
      <c r="E65" s="9">
        <v>1950.0</v>
      </c>
      <c r="F65" s="9" t="s">
        <v>276</v>
      </c>
    </row>
    <row r="66" ht="12.75" customHeight="1">
      <c r="A66" s="9" t="s">
        <v>341</v>
      </c>
      <c r="B66" s="9" t="s">
        <v>282</v>
      </c>
      <c r="C66" s="9" t="s">
        <v>273</v>
      </c>
      <c r="D66" s="9" t="s">
        <v>274</v>
      </c>
      <c r="E66" s="9">
        <v>1950.0</v>
      </c>
      <c r="F66" s="9" t="s">
        <v>284</v>
      </c>
    </row>
    <row r="67" ht="12.75" customHeight="1">
      <c r="A67" s="9" t="s">
        <v>342</v>
      </c>
      <c r="B67" s="9" t="s">
        <v>272</v>
      </c>
      <c r="C67" s="9" t="s">
        <v>273</v>
      </c>
      <c r="D67" s="9" t="s">
        <v>295</v>
      </c>
      <c r="E67" s="9">
        <v>1450.0</v>
      </c>
      <c r="F67" s="9" t="s">
        <v>276</v>
      </c>
    </row>
    <row r="68" ht="12.75" customHeight="1">
      <c r="A68" s="9" t="s">
        <v>343</v>
      </c>
      <c r="B68" s="9" t="s">
        <v>272</v>
      </c>
      <c r="C68" s="9" t="s">
        <v>273</v>
      </c>
      <c r="D68" s="9" t="s">
        <v>274</v>
      </c>
      <c r="E68" s="9" t="s">
        <v>275</v>
      </c>
      <c r="F68" s="9" t="s">
        <v>284</v>
      </c>
    </row>
    <row r="69" ht="12.75" customHeight="1">
      <c r="A69" s="9" t="s">
        <v>343</v>
      </c>
      <c r="B69" s="9" t="s">
        <v>272</v>
      </c>
      <c r="C69" s="9" t="s">
        <v>273</v>
      </c>
      <c r="D69" s="9" t="s">
        <v>274</v>
      </c>
      <c r="E69" s="9" t="s">
        <v>275</v>
      </c>
      <c r="F69" s="9" t="s">
        <v>284</v>
      </c>
    </row>
    <row r="70" ht="12.75" customHeight="1">
      <c r="A70" s="9" t="s">
        <v>344</v>
      </c>
      <c r="B70" s="9" t="s">
        <v>272</v>
      </c>
      <c r="C70" s="9" t="s">
        <v>273</v>
      </c>
      <c r="D70" s="9" t="s">
        <v>274</v>
      </c>
      <c r="E70" s="9" t="s">
        <v>275</v>
      </c>
      <c r="F70" s="9" t="s">
        <v>284</v>
      </c>
    </row>
    <row r="71" ht="12.75" customHeight="1">
      <c r="A71" s="9" t="s">
        <v>344</v>
      </c>
      <c r="B71" s="9" t="s">
        <v>272</v>
      </c>
      <c r="C71" s="9" t="s">
        <v>273</v>
      </c>
      <c r="D71" s="9" t="s">
        <v>274</v>
      </c>
      <c r="E71" s="9" t="s">
        <v>275</v>
      </c>
      <c r="F71" s="9" t="s">
        <v>284</v>
      </c>
    </row>
    <row r="72" ht="12.75" customHeight="1">
      <c r="A72" s="9" t="s">
        <v>345</v>
      </c>
      <c r="B72" s="9" t="s">
        <v>289</v>
      </c>
      <c r="C72" s="9" t="s">
        <v>326</v>
      </c>
      <c r="D72" s="9" t="s">
        <v>295</v>
      </c>
      <c r="E72" s="9">
        <v>1950.0</v>
      </c>
      <c r="F72" s="9" t="s">
        <v>284</v>
      </c>
    </row>
    <row r="73" ht="12.75" customHeight="1">
      <c r="A73" s="9" t="s">
        <v>346</v>
      </c>
      <c r="B73" s="9" t="s">
        <v>289</v>
      </c>
      <c r="C73" s="9" t="s">
        <v>326</v>
      </c>
      <c r="D73" s="9" t="s">
        <v>295</v>
      </c>
      <c r="E73" s="9">
        <v>1950.0</v>
      </c>
      <c r="F73" s="9" t="s">
        <v>284</v>
      </c>
    </row>
    <row r="74" ht="12.75" customHeight="1">
      <c r="A74" s="9" t="s">
        <v>347</v>
      </c>
      <c r="B74" s="9" t="s">
        <v>272</v>
      </c>
      <c r="C74" s="9" t="s">
        <v>273</v>
      </c>
      <c r="D74" s="9" t="s">
        <v>295</v>
      </c>
      <c r="E74" s="9" t="s">
        <v>311</v>
      </c>
      <c r="F74" s="9" t="s">
        <v>284</v>
      </c>
    </row>
    <row r="75" ht="12.75" customHeight="1">
      <c r="A75" s="9" t="s">
        <v>347</v>
      </c>
      <c r="B75" s="9" t="s">
        <v>272</v>
      </c>
      <c r="C75" s="9" t="s">
        <v>273</v>
      </c>
      <c r="D75" s="9" t="s">
        <v>295</v>
      </c>
      <c r="E75" s="9" t="s">
        <v>311</v>
      </c>
      <c r="F75" s="9" t="s">
        <v>284</v>
      </c>
    </row>
    <row r="76" ht="12.75" customHeight="1">
      <c r="A76" s="9" t="s">
        <v>348</v>
      </c>
      <c r="B76" s="9" t="s">
        <v>289</v>
      </c>
      <c r="C76" s="9" t="s">
        <v>283</v>
      </c>
      <c r="D76" s="9" t="s">
        <v>295</v>
      </c>
      <c r="E76" s="9" t="s">
        <v>311</v>
      </c>
      <c r="F76" s="9" t="s">
        <v>284</v>
      </c>
    </row>
    <row r="77" ht="12.75" customHeight="1">
      <c r="A77" s="9" t="s">
        <v>349</v>
      </c>
      <c r="B77" s="9" t="s">
        <v>272</v>
      </c>
      <c r="C77" s="9" t="s">
        <v>273</v>
      </c>
      <c r="D77" s="9" t="s">
        <v>293</v>
      </c>
      <c r="E77" s="9">
        <v>1950.0</v>
      </c>
      <c r="F77" s="9" t="s">
        <v>276</v>
      </c>
    </row>
    <row r="78" ht="12.75" customHeight="1">
      <c r="A78" s="9" t="s">
        <v>350</v>
      </c>
      <c r="B78" s="9" t="s">
        <v>282</v>
      </c>
      <c r="C78" s="9" t="s">
        <v>273</v>
      </c>
      <c r="D78" s="9" t="s">
        <v>293</v>
      </c>
      <c r="E78" s="9">
        <v>1950.0</v>
      </c>
      <c r="F78" s="9" t="s">
        <v>284</v>
      </c>
    </row>
    <row r="79" ht="12.75" customHeight="1">
      <c r="A79" s="9" t="s">
        <v>351</v>
      </c>
      <c r="B79" s="9" t="s">
        <v>272</v>
      </c>
      <c r="C79" s="9" t="s">
        <v>273</v>
      </c>
      <c r="D79" s="9" t="s">
        <v>274</v>
      </c>
      <c r="E79" s="9">
        <v>1950.0</v>
      </c>
      <c r="F79" s="9" t="s">
        <v>284</v>
      </c>
    </row>
    <row r="80" ht="12.75" customHeight="1">
      <c r="A80" s="9" t="s">
        <v>352</v>
      </c>
      <c r="B80" s="9" t="s">
        <v>272</v>
      </c>
      <c r="C80" s="9" t="s">
        <v>273</v>
      </c>
      <c r="D80" s="9" t="s">
        <v>274</v>
      </c>
      <c r="E80" s="9">
        <v>1950.0</v>
      </c>
      <c r="F80" s="9" t="s">
        <v>284</v>
      </c>
    </row>
    <row r="81" ht="12.75" customHeight="1">
      <c r="A81" s="9" t="s">
        <v>353</v>
      </c>
      <c r="B81" s="9" t="s">
        <v>289</v>
      </c>
      <c r="C81" s="9" t="s">
        <v>273</v>
      </c>
      <c r="D81" s="9" t="s">
        <v>295</v>
      </c>
      <c r="E81" s="9" t="s">
        <v>275</v>
      </c>
      <c r="F81" s="9" t="s">
        <v>284</v>
      </c>
    </row>
    <row r="82" ht="12.75" customHeight="1">
      <c r="A82" s="9" t="s">
        <v>354</v>
      </c>
      <c r="B82" s="9" t="s">
        <v>289</v>
      </c>
      <c r="C82" s="9" t="s">
        <v>273</v>
      </c>
      <c r="D82" s="9" t="s">
        <v>295</v>
      </c>
      <c r="E82" s="9">
        <v>1950.0</v>
      </c>
      <c r="F82" s="9" t="s">
        <v>284</v>
      </c>
    </row>
    <row r="83" ht="12.75" customHeight="1">
      <c r="A83" s="9" t="s">
        <v>355</v>
      </c>
      <c r="B83" s="9" t="s">
        <v>272</v>
      </c>
      <c r="C83" s="9" t="s">
        <v>326</v>
      </c>
      <c r="D83" s="9" t="s">
        <v>295</v>
      </c>
      <c r="E83" s="9" t="s">
        <v>311</v>
      </c>
      <c r="F83" s="9" t="s">
        <v>276</v>
      </c>
    </row>
    <row r="84" ht="12.75" customHeight="1">
      <c r="A84" s="9" t="s">
        <v>356</v>
      </c>
      <c r="B84" s="9" t="s">
        <v>272</v>
      </c>
      <c r="C84" s="9" t="s">
        <v>326</v>
      </c>
      <c r="D84" s="9" t="s">
        <v>295</v>
      </c>
      <c r="E84" s="9" t="s">
        <v>311</v>
      </c>
      <c r="F84" s="9" t="s">
        <v>284</v>
      </c>
    </row>
    <row r="85" ht="12.75" customHeight="1">
      <c r="A85" s="9" t="s">
        <v>357</v>
      </c>
      <c r="B85" s="9" t="s">
        <v>272</v>
      </c>
      <c r="C85" s="9" t="s">
        <v>326</v>
      </c>
      <c r="D85" s="9" t="s">
        <v>295</v>
      </c>
      <c r="E85" s="9" t="s">
        <v>311</v>
      </c>
      <c r="F85" s="9" t="s">
        <v>276</v>
      </c>
    </row>
    <row r="86" ht="12.75" customHeight="1">
      <c r="A86" s="9" t="s">
        <v>358</v>
      </c>
      <c r="B86" s="9" t="s">
        <v>272</v>
      </c>
      <c r="C86" s="9" t="s">
        <v>326</v>
      </c>
      <c r="D86" s="9" t="s">
        <v>295</v>
      </c>
      <c r="E86" s="9" t="s">
        <v>311</v>
      </c>
      <c r="F86" s="9" t="s">
        <v>284</v>
      </c>
    </row>
    <row r="87" ht="12.75" customHeight="1">
      <c r="A87" s="9" t="s">
        <v>359</v>
      </c>
      <c r="B87" s="9" t="s">
        <v>272</v>
      </c>
      <c r="C87" s="9" t="s">
        <v>326</v>
      </c>
      <c r="D87" s="9" t="s">
        <v>295</v>
      </c>
      <c r="E87" s="9" t="s">
        <v>311</v>
      </c>
      <c r="F87" s="9" t="s">
        <v>276</v>
      </c>
    </row>
    <row r="88" ht="12.75" customHeight="1">
      <c r="A88" s="9" t="s">
        <v>360</v>
      </c>
      <c r="B88" s="9" t="s">
        <v>272</v>
      </c>
      <c r="C88" s="9" t="s">
        <v>326</v>
      </c>
      <c r="D88" s="9" t="s">
        <v>295</v>
      </c>
      <c r="E88" s="9" t="s">
        <v>311</v>
      </c>
      <c r="F88" s="9" t="s">
        <v>284</v>
      </c>
    </row>
    <row r="89" ht="12.75" customHeight="1">
      <c r="A89" s="9" t="s">
        <v>361</v>
      </c>
      <c r="B89" s="9" t="s">
        <v>272</v>
      </c>
      <c r="C89" s="9" t="s">
        <v>326</v>
      </c>
      <c r="D89" s="9" t="s">
        <v>295</v>
      </c>
      <c r="E89" s="9" t="s">
        <v>311</v>
      </c>
      <c r="F89" s="9" t="s">
        <v>276</v>
      </c>
    </row>
    <row r="90" ht="12.75" customHeight="1">
      <c r="A90" s="9" t="s">
        <v>362</v>
      </c>
      <c r="B90" s="9" t="s">
        <v>272</v>
      </c>
      <c r="C90" s="9" t="s">
        <v>326</v>
      </c>
      <c r="D90" s="9" t="s">
        <v>295</v>
      </c>
      <c r="E90" s="9" t="s">
        <v>311</v>
      </c>
      <c r="F90" s="9" t="s">
        <v>284</v>
      </c>
    </row>
    <row r="91" ht="12.75" customHeight="1">
      <c r="A91" s="9" t="s">
        <v>363</v>
      </c>
      <c r="B91" s="9" t="s">
        <v>272</v>
      </c>
      <c r="C91" s="9" t="s">
        <v>326</v>
      </c>
      <c r="D91" s="9" t="s">
        <v>295</v>
      </c>
      <c r="E91" s="9" t="s">
        <v>311</v>
      </c>
      <c r="F91" s="9" t="s">
        <v>276</v>
      </c>
    </row>
    <row r="92" ht="12.75" customHeight="1">
      <c r="A92" s="9" t="s">
        <v>363</v>
      </c>
      <c r="B92" s="9" t="s">
        <v>272</v>
      </c>
      <c r="C92" s="9" t="s">
        <v>326</v>
      </c>
      <c r="D92" s="9" t="s">
        <v>295</v>
      </c>
      <c r="E92" s="9" t="s">
        <v>311</v>
      </c>
      <c r="F92" s="9" t="s">
        <v>276</v>
      </c>
    </row>
    <row r="93" ht="12.75" customHeight="1">
      <c r="A93" s="9" t="s">
        <v>363</v>
      </c>
      <c r="B93" s="9" t="s">
        <v>272</v>
      </c>
      <c r="C93" s="9" t="s">
        <v>326</v>
      </c>
      <c r="D93" s="9" t="s">
        <v>295</v>
      </c>
      <c r="E93" s="9" t="s">
        <v>311</v>
      </c>
      <c r="F93" s="9" t="s">
        <v>276</v>
      </c>
    </row>
    <row r="94" ht="12.75" customHeight="1">
      <c r="A94" s="9" t="s">
        <v>364</v>
      </c>
      <c r="B94" s="9" t="s">
        <v>289</v>
      </c>
      <c r="C94" s="9" t="s">
        <v>273</v>
      </c>
      <c r="D94" s="9" t="s">
        <v>274</v>
      </c>
      <c r="E94" s="9">
        <v>1450.0</v>
      </c>
      <c r="F94" s="9" t="s">
        <v>284</v>
      </c>
    </row>
    <row r="95" ht="12.75" customHeight="1">
      <c r="A95" s="9" t="s">
        <v>365</v>
      </c>
      <c r="B95" s="9" t="s">
        <v>289</v>
      </c>
      <c r="C95" s="9" t="s">
        <v>273</v>
      </c>
      <c r="D95" s="9" t="s">
        <v>274</v>
      </c>
      <c r="E95" s="9">
        <v>1450.0</v>
      </c>
      <c r="F95" s="9" t="s">
        <v>284</v>
      </c>
    </row>
    <row r="96" ht="12.75" customHeight="1">
      <c r="A96" s="9" t="s">
        <v>366</v>
      </c>
      <c r="B96" s="9" t="s">
        <v>272</v>
      </c>
      <c r="C96" s="9" t="s">
        <v>273</v>
      </c>
      <c r="D96" s="9" t="s">
        <v>274</v>
      </c>
      <c r="E96" s="9" t="s">
        <v>275</v>
      </c>
      <c r="F96" s="9" t="s">
        <v>276</v>
      </c>
    </row>
    <row r="97" ht="12.75" customHeight="1">
      <c r="A97" s="9" t="s">
        <v>366</v>
      </c>
      <c r="B97" s="9" t="s">
        <v>272</v>
      </c>
      <c r="C97" s="9" t="s">
        <v>273</v>
      </c>
      <c r="D97" s="9" t="s">
        <v>274</v>
      </c>
      <c r="E97" s="9" t="s">
        <v>275</v>
      </c>
      <c r="F97" s="9" t="s">
        <v>276</v>
      </c>
    </row>
    <row r="98" ht="12.75" customHeight="1">
      <c r="A98" s="9" t="s">
        <v>367</v>
      </c>
      <c r="B98" s="9" t="s">
        <v>282</v>
      </c>
      <c r="C98" s="9" t="s">
        <v>273</v>
      </c>
      <c r="D98" s="9" t="s">
        <v>274</v>
      </c>
      <c r="E98" s="9" t="s">
        <v>275</v>
      </c>
      <c r="F98" s="9" t="s">
        <v>284</v>
      </c>
    </row>
    <row r="99" ht="12.75" customHeight="1">
      <c r="A99" s="9" t="s">
        <v>367</v>
      </c>
      <c r="B99" s="9" t="s">
        <v>282</v>
      </c>
      <c r="C99" s="9" t="s">
        <v>273</v>
      </c>
      <c r="D99" s="9" t="s">
        <v>274</v>
      </c>
      <c r="E99" s="9" t="s">
        <v>275</v>
      </c>
      <c r="F99" s="9" t="s">
        <v>284</v>
      </c>
    </row>
    <row r="100" ht="12.75" customHeight="1">
      <c r="A100" s="9" t="s">
        <v>368</v>
      </c>
      <c r="B100" s="9" t="s">
        <v>289</v>
      </c>
      <c r="C100" s="9" t="s">
        <v>273</v>
      </c>
      <c r="D100" s="9" t="s">
        <v>295</v>
      </c>
      <c r="E100" s="9" t="s">
        <v>311</v>
      </c>
      <c r="F100" s="9" t="s">
        <v>284</v>
      </c>
    </row>
    <row r="101" ht="12.75" customHeight="1">
      <c r="A101" s="9" t="s">
        <v>369</v>
      </c>
      <c r="B101" s="9" t="s">
        <v>272</v>
      </c>
      <c r="C101" s="9" t="s">
        <v>326</v>
      </c>
      <c r="D101" s="9" t="s">
        <v>295</v>
      </c>
      <c r="E101" s="9">
        <v>1450.0</v>
      </c>
      <c r="F101" s="9" t="s">
        <v>276</v>
      </c>
    </row>
    <row r="102" ht="12.75" customHeight="1">
      <c r="A102" s="9" t="s">
        <v>370</v>
      </c>
      <c r="B102" s="9" t="s">
        <v>272</v>
      </c>
      <c r="C102" s="9" t="s">
        <v>283</v>
      </c>
      <c r="D102" s="9" t="s">
        <v>274</v>
      </c>
      <c r="E102" s="9" t="s">
        <v>311</v>
      </c>
      <c r="F102" s="9" t="s">
        <v>284</v>
      </c>
    </row>
    <row r="103" ht="12.75" customHeight="1">
      <c r="A103" s="9" t="s">
        <v>371</v>
      </c>
      <c r="B103" s="9" t="s">
        <v>289</v>
      </c>
      <c r="C103" s="9" t="s">
        <v>283</v>
      </c>
      <c r="D103" s="9" t="s">
        <v>274</v>
      </c>
      <c r="E103" s="9" t="s">
        <v>275</v>
      </c>
      <c r="F103" s="9" t="s">
        <v>284</v>
      </c>
    </row>
    <row r="104" ht="12.75" customHeight="1">
      <c r="A104" s="9" t="s">
        <v>372</v>
      </c>
      <c r="B104" s="9" t="s">
        <v>272</v>
      </c>
      <c r="C104" s="9" t="s">
        <v>273</v>
      </c>
      <c r="D104" s="9" t="s">
        <v>295</v>
      </c>
      <c r="E104" s="9">
        <v>1450.0</v>
      </c>
      <c r="F104" s="9" t="s">
        <v>276</v>
      </c>
    </row>
    <row r="105" ht="12.75" customHeight="1">
      <c r="A105" s="9" t="s">
        <v>373</v>
      </c>
      <c r="B105" s="9" t="s">
        <v>272</v>
      </c>
      <c r="C105" s="9" t="s">
        <v>273</v>
      </c>
      <c r="D105" s="9" t="s">
        <v>295</v>
      </c>
      <c r="E105" s="9" t="s">
        <v>311</v>
      </c>
      <c r="F105" s="9" t="s">
        <v>284</v>
      </c>
    </row>
    <row r="106" ht="12.75" customHeight="1">
      <c r="A106" s="9" t="s">
        <v>373</v>
      </c>
      <c r="B106" s="9" t="s">
        <v>272</v>
      </c>
      <c r="C106" s="9" t="s">
        <v>273</v>
      </c>
      <c r="D106" s="9" t="s">
        <v>295</v>
      </c>
      <c r="E106" s="9" t="s">
        <v>311</v>
      </c>
      <c r="F106" s="9" t="s">
        <v>284</v>
      </c>
    </row>
    <row r="107" ht="12.75" customHeight="1">
      <c r="A107" s="9" t="s">
        <v>374</v>
      </c>
      <c r="B107" s="9" t="s">
        <v>272</v>
      </c>
      <c r="C107" s="9" t="s">
        <v>273</v>
      </c>
      <c r="D107" s="9" t="s">
        <v>295</v>
      </c>
      <c r="E107" s="9" t="s">
        <v>311</v>
      </c>
      <c r="F107" s="9" t="s">
        <v>284</v>
      </c>
    </row>
    <row r="108" ht="12.75" customHeight="1">
      <c r="A108" s="9" t="s">
        <v>374</v>
      </c>
      <c r="B108" s="9" t="s">
        <v>272</v>
      </c>
      <c r="C108" s="9" t="s">
        <v>273</v>
      </c>
      <c r="D108" s="9" t="s">
        <v>295</v>
      </c>
      <c r="E108" s="9" t="s">
        <v>311</v>
      </c>
      <c r="F108" s="9" t="s">
        <v>284</v>
      </c>
    </row>
    <row r="109" ht="12.75" customHeight="1">
      <c r="A109" s="9" t="s">
        <v>375</v>
      </c>
      <c r="B109" s="9" t="s">
        <v>272</v>
      </c>
      <c r="C109" s="9" t="s">
        <v>273</v>
      </c>
      <c r="D109" s="9" t="s">
        <v>295</v>
      </c>
      <c r="E109" s="9" t="s">
        <v>311</v>
      </c>
      <c r="F109" s="9" t="s">
        <v>276</v>
      </c>
    </row>
    <row r="110" ht="12.75" customHeight="1">
      <c r="A110" s="9" t="s">
        <v>375</v>
      </c>
      <c r="B110" s="9" t="s">
        <v>272</v>
      </c>
      <c r="C110" s="9" t="s">
        <v>273</v>
      </c>
      <c r="D110" s="9" t="s">
        <v>295</v>
      </c>
      <c r="E110" s="9" t="s">
        <v>311</v>
      </c>
      <c r="F110" s="9" t="s">
        <v>276</v>
      </c>
    </row>
    <row r="111" ht="12.75" customHeight="1">
      <c r="A111" s="9" t="s">
        <v>376</v>
      </c>
      <c r="B111" s="9" t="s">
        <v>289</v>
      </c>
      <c r="C111" s="9" t="s">
        <v>283</v>
      </c>
      <c r="D111" s="9" t="s">
        <v>295</v>
      </c>
      <c r="E111" s="9">
        <v>1950.0</v>
      </c>
      <c r="F111" s="9" t="s">
        <v>284</v>
      </c>
    </row>
    <row r="112" ht="12.75" customHeight="1">
      <c r="A112" s="9" t="s">
        <v>378</v>
      </c>
      <c r="B112" s="9" t="s">
        <v>289</v>
      </c>
      <c r="C112" s="9" t="s">
        <v>283</v>
      </c>
      <c r="D112" s="9" t="s">
        <v>295</v>
      </c>
      <c r="E112" s="9">
        <v>1950.0</v>
      </c>
      <c r="F112" s="9" t="s">
        <v>284</v>
      </c>
    </row>
    <row r="113" ht="12.75" customHeight="1">
      <c r="A113" s="9" t="s">
        <v>379</v>
      </c>
      <c r="B113" s="9" t="s">
        <v>272</v>
      </c>
      <c r="C113" s="9" t="s">
        <v>326</v>
      </c>
      <c r="D113" s="9" t="s">
        <v>295</v>
      </c>
      <c r="E113" s="9" t="s">
        <v>311</v>
      </c>
      <c r="F113" s="9" t="s">
        <v>276</v>
      </c>
    </row>
    <row r="114" ht="12.75" customHeight="1">
      <c r="A114" s="9" t="s">
        <v>379</v>
      </c>
      <c r="B114" s="9" t="s">
        <v>272</v>
      </c>
      <c r="C114" s="9" t="s">
        <v>326</v>
      </c>
      <c r="D114" s="9" t="s">
        <v>295</v>
      </c>
      <c r="E114" s="9" t="s">
        <v>311</v>
      </c>
      <c r="F114" s="9" t="s">
        <v>276</v>
      </c>
    </row>
    <row r="115" ht="12.75" customHeight="1">
      <c r="A115" s="9" t="s">
        <v>379</v>
      </c>
      <c r="B115" s="9" t="s">
        <v>272</v>
      </c>
      <c r="C115" s="9" t="s">
        <v>326</v>
      </c>
      <c r="D115" s="9" t="s">
        <v>295</v>
      </c>
      <c r="E115" s="9" t="s">
        <v>311</v>
      </c>
      <c r="F115" s="9" t="s">
        <v>276</v>
      </c>
    </row>
    <row r="116" ht="12.75" customHeight="1">
      <c r="A116" s="9" t="s">
        <v>380</v>
      </c>
      <c r="B116" s="9" t="s">
        <v>272</v>
      </c>
      <c r="C116" s="9" t="s">
        <v>273</v>
      </c>
      <c r="D116" s="9" t="s">
        <v>295</v>
      </c>
      <c r="E116" s="9" t="s">
        <v>311</v>
      </c>
      <c r="F116" s="9" t="s">
        <v>284</v>
      </c>
    </row>
    <row r="117" ht="12.75" customHeight="1">
      <c r="A117" s="9" t="s">
        <v>380</v>
      </c>
      <c r="B117" s="9" t="s">
        <v>272</v>
      </c>
      <c r="C117" s="9" t="s">
        <v>273</v>
      </c>
      <c r="D117" s="9" t="s">
        <v>295</v>
      </c>
      <c r="E117" s="9" t="s">
        <v>311</v>
      </c>
      <c r="F117" s="9" t="s">
        <v>284</v>
      </c>
    </row>
    <row r="118" ht="12.75" customHeight="1">
      <c r="A118" s="9" t="s">
        <v>380</v>
      </c>
      <c r="B118" s="9" t="s">
        <v>272</v>
      </c>
      <c r="C118" s="9" t="s">
        <v>273</v>
      </c>
      <c r="D118" s="9" t="s">
        <v>295</v>
      </c>
      <c r="E118" s="9" t="s">
        <v>311</v>
      </c>
      <c r="F118" s="9" t="s">
        <v>284</v>
      </c>
    </row>
    <row r="119" ht="12.75" customHeight="1">
      <c r="A119" s="9" t="s">
        <v>381</v>
      </c>
      <c r="B119" s="9" t="s">
        <v>272</v>
      </c>
      <c r="C119" s="9" t="s">
        <v>273</v>
      </c>
      <c r="D119" s="9" t="s">
        <v>293</v>
      </c>
      <c r="E119" s="9" t="s">
        <v>311</v>
      </c>
      <c r="F119" s="9" t="s">
        <v>276</v>
      </c>
    </row>
    <row r="120" ht="12.75" customHeight="1">
      <c r="A120" s="9" t="s">
        <v>382</v>
      </c>
      <c r="B120" s="9" t="s">
        <v>272</v>
      </c>
      <c r="C120" s="9" t="s">
        <v>273</v>
      </c>
      <c r="D120" s="9" t="s">
        <v>293</v>
      </c>
      <c r="E120" s="9" t="s">
        <v>311</v>
      </c>
      <c r="F120" s="9" t="s">
        <v>276</v>
      </c>
    </row>
    <row r="121" ht="12.75" customHeight="1">
      <c r="A121" s="9" t="s">
        <v>383</v>
      </c>
      <c r="B121" s="9" t="s">
        <v>272</v>
      </c>
      <c r="C121" s="9" t="s">
        <v>326</v>
      </c>
      <c r="D121" s="9" t="s">
        <v>295</v>
      </c>
      <c r="E121" s="9" t="s">
        <v>311</v>
      </c>
      <c r="F121" s="9" t="s">
        <v>276</v>
      </c>
    </row>
    <row r="122" ht="12.75" customHeight="1">
      <c r="A122" s="9" t="s">
        <v>384</v>
      </c>
      <c r="B122" s="9" t="s">
        <v>272</v>
      </c>
      <c r="C122" s="9" t="s">
        <v>326</v>
      </c>
      <c r="D122" s="9" t="s">
        <v>295</v>
      </c>
      <c r="E122" s="9" t="s">
        <v>311</v>
      </c>
      <c r="F122" s="9" t="s">
        <v>276</v>
      </c>
    </row>
    <row r="123" ht="12.75" customHeight="1">
      <c r="A123" s="9" t="s">
        <v>385</v>
      </c>
      <c r="B123" s="9" t="s">
        <v>272</v>
      </c>
      <c r="C123" s="9" t="s">
        <v>326</v>
      </c>
      <c r="D123" s="9" t="s">
        <v>295</v>
      </c>
      <c r="E123" s="9" t="s">
        <v>311</v>
      </c>
      <c r="F123" s="9" t="s">
        <v>276</v>
      </c>
    </row>
    <row r="124" ht="12.75" customHeight="1">
      <c r="A124" s="9" t="s">
        <v>385</v>
      </c>
      <c r="B124" s="9" t="s">
        <v>272</v>
      </c>
      <c r="C124" s="9" t="s">
        <v>326</v>
      </c>
      <c r="D124" s="9" t="s">
        <v>295</v>
      </c>
      <c r="E124" s="9" t="s">
        <v>311</v>
      </c>
      <c r="F124" s="9" t="s">
        <v>276</v>
      </c>
    </row>
    <row r="125" ht="12.75" customHeight="1">
      <c r="A125" s="9" t="s">
        <v>385</v>
      </c>
      <c r="B125" s="9" t="s">
        <v>272</v>
      </c>
      <c r="C125" s="9" t="s">
        <v>326</v>
      </c>
      <c r="D125" s="9" t="s">
        <v>295</v>
      </c>
      <c r="E125" s="9" t="s">
        <v>311</v>
      </c>
      <c r="F125" s="9" t="s">
        <v>276</v>
      </c>
    </row>
    <row r="126" ht="12.75" customHeight="1">
      <c r="A126" s="9" t="s">
        <v>386</v>
      </c>
      <c r="B126" s="9" t="s">
        <v>272</v>
      </c>
      <c r="C126" s="9" t="s">
        <v>326</v>
      </c>
      <c r="D126" s="9" t="s">
        <v>295</v>
      </c>
      <c r="E126" s="9" t="s">
        <v>311</v>
      </c>
      <c r="F126" s="9" t="s">
        <v>276</v>
      </c>
    </row>
    <row r="127" ht="12.75" customHeight="1">
      <c r="A127" s="9" t="s">
        <v>386</v>
      </c>
      <c r="B127" s="9" t="s">
        <v>272</v>
      </c>
      <c r="C127" s="9" t="s">
        <v>326</v>
      </c>
      <c r="D127" s="9" t="s">
        <v>295</v>
      </c>
      <c r="E127" s="9" t="s">
        <v>311</v>
      </c>
      <c r="F127" s="9" t="s">
        <v>276</v>
      </c>
    </row>
    <row r="128" ht="12.75" customHeight="1">
      <c r="A128" s="9" t="s">
        <v>386</v>
      </c>
      <c r="B128" s="9" t="s">
        <v>272</v>
      </c>
      <c r="C128" s="9" t="s">
        <v>326</v>
      </c>
      <c r="D128" s="9" t="s">
        <v>295</v>
      </c>
      <c r="E128" s="9" t="s">
        <v>311</v>
      </c>
      <c r="F128" s="9" t="s">
        <v>276</v>
      </c>
    </row>
    <row r="129" ht="12.75" customHeight="1">
      <c r="A129" s="9" t="s">
        <v>387</v>
      </c>
      <c r="B129" s="9" t="s">
        <v>272</v>
      </c>
      <c r="C129" s="9" t="s">
        <v>326</v>
      </c>
      <c r="D129" s="9" t="s">
        <v>295</v>
      </c>
      <c r="E129" s="9" t="s">
        <v>311</v>
      </c>
      <c r="F129" s="9" t="s">
        <v>276</v>
      </c>
    </row>
    <row r="130" ht="12.75" customHeight="1">
      <c r="A130" s="9" t="s">
        <v>387</v>
      </c>
      <c r="B130" s="9" t="s">
        <v>272</v>
      </c>
      <c r="C130" s="9" t="s">
        <v>326</v>
      </c>
      <c r="D130" s="9" t="s">
        <v>295</v>
      </c>
      <c r="E130" s="9" t="s">
        <v>311</v>
      </c>
      <c r="F130" s="9" t="s">
        <v>276</v>
      </c>
    </row>
    <row r="131" ht="12.75" customHeight="1">
      <c r="A131" s="9" t="s">
        <v>387</v>
      </c>
      <c r="B131" s="9" t="s">
        <v>272</v>
      </c>
      <c r="C131" s="9" t="s">
        <v>326</v>
      </c>
      <c r="D131" s="9" t="s">
        <v>295</v>
      </c>
      <c r="E131" s="9" t="s">
        <v>311</v>
      </c>
      <c r="F131" s="9" t="s">
        <v>276</v>
      </c>
    </row>
    <row r="132" ht="12.75" customHeight="1">
      <c r="A132" s="9" t="s">
        <v>388</v>
      </c>
      <c r="B132" s="9" t="s">
        <v>272</v>
      </c>
      <c r="C132" s="9" t="s">
        <v>273</v>
      </c>
      <c r="D132" s="9" t="s">
        <v>339</v>
      </c>
      <c r="E132" s="9">
        <v>1950.0</v>
      </c>
      <c r="F132" s="9" t="s">
        <v>276</v>
      </c>
    </row>
    <row r="133" ht="12.75" customHeight="1">
      <c r="A133" s="9" t="s">
        <v>389</v>
      </c>
      <c r="B133" s="9" t="s">
        <v>272</v>
      </c>
      <c r="C133" s="9" t="s">
        <v>283</v>
      </c>
      <c r="D133" s="9" t="s">
        <v>295</v>
      </c>
      <c r="E133" s="9" t="s">
        <v>275</v>
      </c>
      <c r="F133" s="9" t="s">
        <v>284</v>
      </c>
    </row>
    <row r="134" ht="12.75" customHeight="1">
      <c r="A134" s="9" t="s">
        <v>390</v>
      </c>
      <c r="B134" s="9" t="s">
        <v>272</v>
      </c>
      <c r="C134" s="9" t="s">
        <v>283</v>
      </c>
      <c r="D134" s="9" t="s">
        <v>295</v>
      </c>
      <c r="E134" s="9" t="s">
        <v>275</v>
      </c>
      <c r="F134" s="9" t="s">
        <v>284</v>
      </c>
    </row>
    <row r="135" ht="12.75" customHeight="1">
      <c r="A135" s="9" t="s">
        <v>391</v>
      </c>
      <c r="B135" s="9" t="s">
        <v>272</v>
      </c>
      <c r="C135" s="9" t="s">
        <v>283</v>
      </c>
      <c r="D135" s="9" t="s">
        <v>295</v>
      </c>
      <c r="E135" s="9" t="s">
        <v>275</v>
      </c>
      <c r="F135" s="9" t="s">
        <v>284</v>
      </c>
    </row>
    <row r="136" ht="12.75" customHeight="1">
      <c r="A136" s="9" t="s">
        <v>392</v>
      </c>
      <c r="B136" s="9" t="s">
        <v>272</v>
      </c>
      <c r="C136" s="9" t="s">
        <v>283</v>
      </c>
      <c r="D136" s="9" t="s">
        <v>295</v>
      </c>
      <c r="E136" s="9" t="s">
        <v>275</v>
      </c>
      <c r="F136" s="9" t="s">
        <v>284</v>
      </c>
    </row>
    <row r="137" ht="12.75" customHeight="1">
      <c r="A137" s="9" t="s">
        <v>393</v>
      </c>
      <c r="B137" s="9" t="s">
        <v>272</v>
      </c>
      <c r="C137" s="9" t="s">
        <v>283</v>
      </c>
      <c r="D137" s="9" t="s">
        <v>295</v>
      </c>
      <c r="E137" s="9" t="s">
        <v>275</v>
      </c>
      <c r="F137" s="9" t="s">
        <v>284</v>
      </c>
    </row>
    <row r="138" ht="12.75" customHeight="1">
      <c r="A138" s="9" t="s">
        <v>394</v>
      </c>
      <c r="B138" s="9" t="s">
        <v>272</v>
      </c>
      <c r="C138" s="9" t="s">
        <v>283</v>
      </c>
      <c r="D138" s="9" t="s">
        <v>295</v>
      </c>
      <c r="E138" s="9" t="s">
        <v>275</v>
      </c>
      <c r="F138" s="9" t="s">
        <v>284</v>
      </c>
    </row>
    <row r="139" ht="12.75" customHeight="1">
      <c r="A139" s="9" t="s">
        <v>395</v>
      </c>
      <c r="B139" s="9" t="s">
        <v>272</v>
      </c>
      <c r="C139" s="9" t="s">
        <v>283</v>
      </c>
      <c r="D139" s="9" t="s">
        <v>295</v>
      </c>
      <c r="E139" s="9" t="s">
        <v>275</v>
      </c>
      <c r="F139" s="9" t="s">
        <v>284</v>
      </c>
    </row>
    <row r="140" ht="12.75" customHeight="1">
      <c r="A140" s="9" t="s">
        <v>396</v>
      </c>
      <c r="B140" s="9" t="s">
        <v>282</v>
      </c>
      <c r="C140" s="9" t="s">
        <v>273</v>
      </c>
      <c r="D140" s="9" t="s">
        <v>274</v>
      </c>
      <c r="E140" s="9" t="s">
        <v>275</v>
      </c>
      <c r="F140" s="9" t="s">
        <v>284</v>
      </c>
    </row>
    <row r="141" ht="12.75" customHeight="1">
      <c r="A141" s="9" t="s">
        <v>397</v>
      </c>
      <c r="B141" s="9" t="s">
        <v>272</v>
      </c>
      <c r="C141" s="9" t="s">
        <v>283</v>
      </c>
      <c r="D141" s="9" t="s">
        <v>295</v>
      </c>
      <c r="E141" s="9">
        <v>1950.0</v>
      </c>
      <c r="F141" s="9" t="s">
        <v>284</v>
      </c>
    </row>
    <row r="142" ht="12.75" customHeight="1">
      <c r="A142" s="9" t="s">
        <v>397</v>
      </c>
      <c r="B142" s="9" t="s">
        <v>272</v>
      </c>
      <c r="C142" s="9" t="s">
        <v>283</v>
      </c>
      <c r="D142" s="9" t="s">
        <v>295</v>
      </c>
      <c r="E142" s="9">
        <v>1950.0</v>
      </c>
      <c r="F142" s="9" t="s">
        <v>284</v>
      </c>
    </row>
    <row r="143" ht="12.75" customHeight="1">
      <c r="A143" s="9" t="s">
        <v>398</v>
      </c>
      <c r="B143" s="9" t="s">
        <v>282</v>
      </c>
      <c r="C143" s="9" t="s">
        <v>283</v>
      </c>
      <c r="D143" s="9" t="s">
        <v>295</v>
      </c>
      <c r="E143" s="9" t="s">
        <v>311</v>
      </c>
      <c r="F143" s="9" t="s">
        <v>284</v>
      </c>
    </row>
    <row r="144" ht="12.75" customHeight="1">
      <c r="A144" s="9" t="s">
        <v>399</v>
      </c>
      <c r="B144" s="9" t="s">
        <v>282</v>
      </c>
      <c r="C144" s="9" t="s">
        <v>283</v>
      </c>
      <c r="D144" s="9" t="s">
        <v>295</v>
      </c>
      <c r="E144" s="9" t="s">
        <v>311</v>
      </c>
      <c r="F144" s="9" t="s">
        <v>284</v>
      </c>
    </row>
    <row r="145" ht="12.75" customHeight="1">
      <c r="A145" s="9" t="s">
        <v>400</v>
      </c>
      <c r="B145" s="9" t="s">
        <v>282</v>
      </c>
      <c r="C145" s="9" t="s">
        <v>283</v>
      </c>
      <c r="D145" s="9" t="s">
        <v>295</v>
      </c>
      <c r="E145" s="9" t="s">
        <v>311</v>
      </c>
      <c r="F145" s="9" t="s">
        <v>284</v>
      </c>
    </row>
    <row r="146" ht="12.75" customHeight="1">
      <c r="A146" s="9" t="s">
        <v>401</v>
      </c>
      <c r="B146" s="9" t="s">
        <v>282</v>
      </c>
      <c r="C146" s="9" t="s">
        <v>283</v>
      </c>
      <c r="D146" s="9" t="s">
        <v>274</v>
      </c>
      <c r="E146" s="9" t="s">
        <v>296</v>
      </c>
      <c r="F146" s="9" t="s">
        <v>284</v>
      </c>
    </row>
    <row r="147" ht="12.75" customHeight="1">
      <c r="A147" s="9" t="s">
        <v>402</v>
      </c>
      <c r="B147" s="9" t="s">
        <v>289</v>
      </c>
      <c r="C147" s="9" t="s">
        <v>273</v>
      </c>
      <c r="D147" s="9" t="s">
        <v>274</v>
      </c>
      <c r="E147" s="9">
        <v>1950.0</v>
      </c>
      <c r="F147" s="9" t="s">
        <v>284</v>
      </c>
    </row>
    <row r="148" ht="12.75" customHeight="1">
      <c r="A148" s="9" t="s">
        <v>402</v>
      </c>
      <c r="B148" s="9" t="s">
        <v>289</v>
      </c>
      <c r="C148" s="9" t="s">
        <v>273</v>
      </c>
      <c r="D148" s="9" t="s">
        <v>274</v>
      </c>
      <c r="E148" s="9">
        <v>1950.0</v>
      </c>
      <c r="F148" s="9" t="s">
        <v>284</v>
      </c>
    </row>
    <row r="149" ht="12.75" customHeight="1">
      <c r="A149" s="9" t="s">
        <v>403</v>
      </c>
      <c r="B149" s="9" t="s">
        <v>289</v>
      </c>
      <c r="C149" s="9" t="s">
        <v>326</v>
      </c>
      <c r="D149" s="9" t="s">
        <v>295</v>
      </c>
      <c r="E149" s="9">
        <v>1950.0</v>
      </c>
      <c r="F149" s="9" t="s">
        <v>284</v>
      </c>
    </row>
    <row r="150" ht="12.75" customHeight="1">
      <c r="A150" s="9" t="s">
        <v>404</v>
      </c>
      <c r="B150" s="9" t="s">
        <v>289</v>
      </c>
      <c r="C150" s="9" t="s">
        <v>326</v>
      </c>
      <c r="D150" s="9" t="s">
        <v>295</v>
      </c>
      <c r="E150" s="9">
        <v>1950.0</v>
      </c>
      <c r="F150" s="9" t="s">
        <v>284</v>
      </c>
    </row>
    <row r="151" ht="12.75" customHeight="1">
      <c r="A151" s="9" t="s">
        <v>405</v>
      </c>
      <c r="B151" s="9" t="s">
        <v>282</v>
      </c>
      <c r="C151" s="9" t="s">
        <v>273</v>
      </c>
      <c r="D151" s="9" t="s">
        <v>274</v>
      </c>
      <c r="E151" s="9" t="s">
        <v>275</v>
      </c>
      <c r="F151" s="9" t="s">
        <v>284</v>
      </c>
    </row>
    <row r="152" ht="12.75" customHeight="1">
      <c r="A152" s="9" t="s">
        <v>406</v>
      </c>
      <c r="B152" s="9" t="s">
        <v>272</v>
      </c>
      <c r="C152" s="9" t="s">
        <v>326</v>
      </c>
      <c r="D152" s="9" t="s">
        <v>295</v>
      </c>
      <c r="E152" s="9" t="s">
        <v>311</v>
      </c>
      <c r="F152" s="9" t="s">
        <v>276</v>
      </c>
    </row>
    <row r="153" ht="12.75" customHeight="1">
      <c r="A153" s="9" t="s">
        <v>407</v>
      </c>
      <c r="B153" s="9" t="s">
        <v>272</v>
      </c>
      <c r="C153" s="9" t="s">
        <v>326</v>
      </c>
      <c r="D153" s="9" t="s">
        <v>295</v>
      </c>
      <c r="E153" s="9" t="s">
        <v>311</v>
      </c>
      <c r="F153" s="9" t="s">
        <v>276</v>
      </c>
    </row>
    <row r="154" ht="12.75" customHeight="1">
      <c r="A154" s="9" t="s">
        <v>408</v>
      </c>
      <c r="B154" s="9" t="s">
        <v>272</v>
      </c>
      <c r="C154" s="9" t="s">
        <v>326</v>
      </c>
      <c r="D154" s="9" t="s">
        <v>295</v>
      </c>
      <c r="E154" s="9">
        <v>1450.0</v>
      </c>
      <c r="F154" s="9" t="s">
        <v>276</v>
      </c>
    </row>
    <row r="155" ht="12.75" customHeight="1">
      <c r="A155" s="9" t="s">
        <v>408</v>
      </c>
      <c r="B155" s="9" t="s">
        <v>272</v>
      </c>
      <c r="C155" s="9" t="s">
        <v>326</v>
      </c>
      <c r="D155" s="9" t="s">
        <v>295</v>
      </c>
      <c r="E155" s="9">
        <v>1450.0</v>
      </c>
      <c r="F155" s="9" t="s">
        <v>276</v>
      </c>
    </row>
    <row r="156" ht="12.75" customHeight="1">
      <c r="A156" s="9" t="s">
        <v>408</v>
      </c>
      <c r="B156" s="9" t="s">
        <v>272</v>
      </c>
      <c r="C156" s="9" t="s">
        <v>326</v>
      </c>
      <c r="D156" s="9" t="s">
        <v>295</v>
      </c>
      <c r="E156" s="9">
        <v>1450.0</v>
      </c>
      <c r="F156" s="9" t="s">
        <v>276</v>
      </c>
    </row>
    <row r="157" ht="12.75" customHeight="1">
      <c r="A157" s="9" t="s">
        <v>408</v>
      </c>
      <c r="B157" s="9" t="s">
        <v>272</v>
      </c>
      <c r="C157" s="9" t="s">
        <v>326</v>
      </c>
      <c r="D157" s="9" t="s">
        <v>295</v>
      </c>
      <c r="E157" s="9">
        <v>1450.0</v>
      </c>
      <c r="F157" s="9" t="s">
        <v>276</v>
      </c>
    </row>
    <row r="158" ht="12.75" customHeight="1">
      <c r="A158" s="9" t="s">
        <v>409</v>
      </c>
      <c r="B158" s="9" t="s">
        <v>272</v>
      </c>
      <c r="C158" s="9" t="s">
        <v>283</v>
      </c>
      <c r="D158" s="9" t="s">
        <v>295</v>
      </c>
      <c r="E158" s="9" t="s">
        <v>311</v>
      </c>
      <c r="F158" s="9" t="s">
        <v>284</v>
      </c>
    </row>
    <row r="159" ht="12.75" customHeight="1">
      <c r="A159" s="9" t="s">
        <v>410</v>
      </c>
      <c r="B159" s="9" t="s">
        <v>272</v>
      </c>
      <c r="C159" s="9" t="s">
        <v>283</v>
      </c>
      <c r="D159" s="9" t="s">
        <v>295</v>
      </c>
      <c r="E159" s="9" t="s">
        <v>311</v>
      </c>
      <c r="F159" s="9" t="s">
        <v>284</v>
      </c>
    </row>
    <row r="160" ht="12.75" customHeight="1">
      <c r="A160" s="9" t="s">
        <v>411</v>
      </c>
      <c r="B160" s="9" t="s">
        <v>282</v>
      </c>
      <c r="C160" s="9" t="s">
        <v>283</v>
      </c>
      <c r="D160" s="9" t="s">
        <v>295</v>
      </c>
      <c r="E160" s="9" t="s">
        <v>311</v>
      </c>
      <c r="F160" s="9" t="s">
        <v>284</v>
      </c>
    </row>
    <row r="161" ht="12.75" customHeight="1">
      <c r="A161" s="9" t="s">
        <v>412</v>
      </c>
      <c r="B161" s="9" t="s">
        <v>282</v>
      </c>
      <c r="C161" s="9" t="s">
        <v>283</v>
      </c>
      <c r="D161" s="9" t="s">
        <v>295</v>
      </c>
      <c r="E161" s="9" t="s">
        <v>311</v>
      </c>
      <c r="F161" s="9" t="s">
        <v>284</v>
      </c>
    </row>
    <row r="162" ht="12.75" customHeight="1">
      <c r="A162" s="9" t="s">
        <v>413</v>
      </c>
      <c r="B162" s="9" t="s">
        <v>282</v>
      </c>
      <c r="C162" s="9" t="s">
        <v>283</v>
      </c>
      <c r="D162" s="9" t="s">
        <v>295</v>
      </c>
      <c r="E162" s="9" t="s">
        <v>311</v>
      </c>
      <c r="F162" s="9" t="s">
        <v>284</v>
      </c>
    </row>
    <row r="163" ht="12.75" customHeight="1">
      <c r="A163" s="9" t="s">
        <v>414</v>
      </c>
      <c r="B163" s="9" t="s">
        <v>272</v>
      </c>
      <c r="C163" s="9" t="s">
        <v>283</v>
      </c>
      <c r="D163" s="9" t="s">
        <v>295</v>
      </c>
      <c r="E163" s="9" t="s">
        <v>311</v>
      </c>
      <c r="F163" s="9" t="s">
        <v>284</v>
      </c>
    </row>
    <row r="164" ht="12.75" customHeight="1">
      <c r="A164" s="9" t="s">
        <v>415</v>
      </c>
      <c r="B164" s="9" t="s">
        <v>272</v>
      </c>
      <c r="C164" s="9" t="s">
        <v>283</v>
      </c>
      <c r="D164" s="9" t="s">
        <v>295</v>
      </c>
      <c r="E164" s="9" t="s">
        <v>311</v>
      </c>
      <c r="F164" s="9" t="s">
        <v>284</v>
      </c>
    </row>
    <row r="165" ht="12.75" customHeight="1">
      <c r="A165" s="9" t="s">
        <v>416</v>
      </c>
      <c r="B165" s="9" t="s">
        <v>282</v>
      </c>
      <c r="C165" s="9" t="s">
        <v>283</v>
      </c>
      <c r="D165" s="9" t="s">
        <v>295</v>
      </c>
      <c r="E165" s="9" t="s">
        <v>311</v>
      </c>
      <c r="F165" s="9" t="s">
        <v>284</v>
      </c>
    </row>
    <row r="166" ht="12.75" customHeight="1">
      <c r="A166" s="9" t="s">
        <v>417</v>
      </c>
      <c r="B166" s="9" t="s">
        <v>282</v>
      </c>
      <c r="C166" s="9" t="s">
        <v>283</v>
      </c>
      <c r="D166" s="9" t="s">
        <v>295</v>
      </c>
      <c r="E166" s="9" t="s">
        <v>311</v>
      </c>
      <c r="F166" s="9" t="s">
        <v>284</v>
      </c>
    </row>
    <row r="167" ht="12.75" customHeight="1">
      <c r="A167" s="9" t="s">
        <v>418</v>
      </c>
      <c r="B167" s="9" t="s">
        <v>282</v>
      </c>
      <c r="C167" s="9" t="s">
        <v>283</v>
      </c>
      <c r="D167" s="9" t="s">
        <v>295</v>
      </c>
      <c r="E167" s="9" t="s">
        <v>311</v>
      </c>
      <c r="F167" s="9" t="s">
        <v>284</v>
      </c>
    </row>
    <row r="168" ht="12.75" customHeight="1">
      <c r="A168" s="9" t="s">
        <v>419</v>
      </c>
      <c r="B168" s="9" t="s">
        <v>272</v>
      </c>
      <c r="C168" s="9" t="s">
        <v>326</v>
      </c>
      <c r="D168" s="9" t="s">
        <v>274</v>
      </c>
      <c r="E168" s="9">
        <v>1450.0</v>
      </c>
      <c r="F168" s="9" t="s">
        <v>276</v>
      </c>
    </row>
    <row r="169" ht="12.75" customHeight="1">
      <c r="A169" s="9" t="s">
        <v>419</v>
      </c>
      <c r="B169" s="9" t="s">
        <v>272</v>
      </c>
      <c r="C169" s="9" t="s">
        <v>326</v>
      </c>
      <c r="D169" s="9" t="s">
        <v>274</v>
      </c>
      <c r="E169" s="9">
        <v>1450.0</v>
      </c>
      <c r="F169" s="9" t="s">
        <v>276</v>
      </c>
    </row>
    <row r="170" ht="12.75" customHeight="1">
      <c r="A170" s="9" t="s">
        <v>420</v>
      </c>
      <c r="B170" s="9" t="s">
        <v>272</v>
      </c>
      <c r="C170" s="9" t="s">
        <v>273</v>
      </c>
      <c r="D170" s="9" t="s">
        <v>295</v>
      </c>
      <c r="E170" s="9" t="s">
        <v>311</v>
      </c>
      <c r="F170" s="9" t="s">
        <v>284</v>
      </c>
    </row>
    <row r="171" ht="12.75" customHeight="1">
      <c r="A171" s="9" t="s">
        <v>420</v>
      </c>
      <c r="B171" s="9" t="s">
        <v>272</v>
      </c>
      <c r="C171" s="9" t="s">
        <v>273</v>
      </c>
      <c r="D171" s="9" t="s">
        <v>295</v>
      </c>
      <c r="E171" s="9" t="s">
        <v>311</v>
      </c>
      <c r="F171" s="9" t="s">
        <v>284</v>
      </c>
    </row>
    <row r="172" ht="12.75" customHeight="1">
      <c r="A172" s="9" t="s">
        <v>421</v>
      </c>
      <c r="B172" s="9" t="s">
        <v>272</v>
      </c>
      <c r="C172" s="9" t="s">
        <v>283</v>
      </c>
      <c r="D172" s="9" t="s">
        <v>295</v>
      </c>
      <c r="E172" s="9" t="s">
        <v>311</v>
      </c>
      <c r="F172" s="9" t="s">
        <v>284</v>
      </c>
    </row>
    <row r="173" ht="12.75" customHeight="1">
      <c r="A173" s="9" t="s">
        <v>422</v>
      </c>
      <c r="B173" s="9" t="s">
        <v>272</v>
      </c>
      <c r="C173" s="9" t="s">
        <v>283</v>
      </c>
      <c r="D173" s="9" t="s">
        <v>295</v>
      </c>
      <c r="E173" s="9" t="s">
        <v>311</v>
      </c>
      <c r="F173" s="9" t="s">
        <v>284</v>
      </c>
    </row>
    <row r="174" ht="12.75" customHeight="1">
      <c r="A174" s="9" t="s">
        <v>422</v>
      </c>
      <c r="B174" s="9" t="s">
        <v>272</v>
      </c>
      <c r="C174" s="9" t="s">
        <v>283</v>
      </c>
      <c r="D174" s="9" t="s">
        <v>295</v>
      </c>
      <c r="E174" s="9" t="s">
        <v>311</v>
      </c>
      <c r="F174" s="9" t="s">
        <v>284</v>
      </c>
    </row>
    <row r="175" ht="12.75" customHeight="1">
      <c r="A175" s="9" t="s">
        <v>423</v>
      </c>
      <c r="B175" s="9" t="s">
        <v>282</v>
      </c>
      <c r="C175" s="9" t="s">
        <v>273</v>
      </c>
      <c r="D175" s="9" t="s">
        <v>293</v>
      </c>
      <c r="E175" s="9" t="s">
        <v>275</v>
      </c>
      <c r="F175" s="9" t="s">
        <v>284</v>
      </c>
    </row>
    <row r="176" ht="12.75" customHeight="1">
      <c r="A176" s="9" t="s">
        <v>424</v>
      </c>
      <c r="B176" s="9" t="s">
        <v>289</v>
      </c>
      <c r="C176" s="9" t="s">
        <v>273</v>
      </c>
      <c r="D176" s="9" t="s">
        <v>293</v>
      </c>
      <c r="E176" s="9" t="s">
        <v>275</v>
      </c>
      <c r="F176" s="9" t="s">
        <v>284</v>
      </c>
    </row>
    <row r="177" ht="12.75" customHeight="1">
      <c r="A177" s="9" t="s">
        <v>425</v>
      </c>
      <c r="B177" s="9" t="s">
        <v>289</v>
      </c>
      <c r="C177" s="9" t="s">
        <v>273</v>
      </c>
      <c r="D177" s="9" t="s">
        <v>293</v>
      </c>
      <c r="E177" s="9" t="s">
        <v>275</v>
      </c>
      <c r="F177" s="9" t="s">
        <v>284</v>
      </c>
    </row>
    <row r="178" ht="12.75" customHeight="1">
      <c r="A178" s="9" t="s">
        <v>426</v>
      </c>
      <c r="B178" s="9" t="s">
        <v>289</v>
      </c>
      <c r="C178" s="9" t="s">
        <v>283</v>
      </c>
      <c r="D178" s="9" t="s">
        <v>295</v>
      </c>
      <c r="E178" s="9" t="s">
        <v>311</v>
      </c>
      <c r="F178" s="9" t="s">
        <v>284</v>
      </c>
    </row>
    <row r="179" ht="12.75" customHeight="1">
      <c r="A179" s="9" t="s">
        <v>427</v>
      </c>
      <c r="B179" s="9" t="s">
        <v>282</v>
      </c>
      <c r="C179" s="9" t="s">
        <v>273</v>
      </c>
      <c r="D179" s="9" t="s">
        <v>295</v>
      </c>
      <c r="E179" s="9" t="s">
        <v>311</v>
      </c>
      <c r="F179" s="9" t="s">
        <v>284</v>
      </c>
    </row>
    <row r="180" ht="12.75" customHeight="1">
      <c r="A180" s="9" t="s">
        <v>428</v>
      </c>
      <c r="B180" s="9" t="s">
        <v>272</v>
      </c>
      <c r="C180" s="9" t="s">
        <v>273</v>
      </c>
      <c r="D180" s="9" t="s">
        <v>295</v>
      </c>
      <c r="E180" s="9">
        <v>1450.0</v>
      </c>
      <c r="F180" s="9" t="s">
        <v>284</v>
      </c>
    </row>
    <row r="181" ht="12.75" customHeight="1">
      <c r="A181" s="9" t="s">
        <v>429</v>
      </c>
      <c r="B181" s="9" t="s">
        <v>272</v>
      </c>
      <c r="C181" s="9" t="s">
        <v>273</v>
      </c>
      <c r="D181" s="9" t="s">
        <v>293</v>
      </c>
      <c r="E181" s="9" t="s">
        <v>275</v>
      </c>
      <c r="F181" s="9" t="s">
        <v>276</v>
      </c>
    </row>
    <row r="182" ht="12.75" customHeight="1">
      <c r="A182" s="9" t="s">
        <v>430</v>
      </c>
      <c r="B182" s="9" t="s">
        <v>282</v>
      </c>
      <c r="C182" s="9" t="s">
        <v>326</v>
      </c>
      <c r="D182" s="9" t="s">
        <v>295</v>
      </c>
      <c r="E182" s="9" t="s">
        <v>296</v>
      </c>
      <c r="F182" s="9" t="s">
        <v>284</v>
      </c>
    </row>
    <row r="183" ht="12.75" customHeight="1">
      <c r="A183" s="9" t="s">
        <v>430</v>
      </c>
      <c r="B183" s="9" t="s">
        <v>282</v>
      </c>
      <c r="C183" s="9" t="s">
        <v>326</v>
      </c>
      <c r="D183" s="9" t="s">
        <v>295</v>
      </c>
      <c r="E183" s="9" t="s">
        <v>296</v>
      </c>
      <c r="F183" s="9" t="s">
        <v>284</v>
      </c>
    </row>
    <row r="184" ht="12.75" customHeight="1">
      <c r="A184" s="9" t="s">
        <v>430</v>
      </c>
      <c r="B184" s="9" t="s">
        <v>282</v>
      </c>
      <c r="C184" s="9" t="s">
        <v>326</v>
      </c>
      <c r="D184" s="9" t="s">
        <v>295</v>
      </c>
      <c r="E184" s="9" t="s">
        <v>296</v>
      </c>
      <c r="F184" s="9" t="s">
        <v>284</v>
      </c>
    </row>
    <row r="185" ht="12.75" customHeight="1">
      <c r="A185" s="9" t="s">
        <v>431</v>
      </c>
      <c r="B185" s="9" t="s">
        <v>282</v>
      </c>
      <c r="C185" s="9" t="s">
        <v>326</v>
      </c>
      <c r="D185" s="9" t="s">
        <v>295</v>
      </c>
      <c r="E185" s="9" t="s">
        <v>296</v>
      </c>
      <c r="F185" s="9" t="s">
        <v>284</v>
      </c>
    </row>
    <row r="186" ht="12.75" customHeight="1">
      <c r="A186" s="9" t="s">
        <v>431</v>
      </c>
      <c r="B186" s="9" t="s">
        <v>282</v>
      </c>
      <c r="C186" s="9" t="s">
        <v>326</v>
      </c>
      <c r="D186" s="9" t="s">
        <v>295</v>
      </c>
      <c r="E186" s="9" t="s">
        <v>296</v>
      </c>
      <c r="F186" s="9" t="s">
        <v>284</v>
      </c>
    </row>
    <row r="187" ht="12.75" customHeight="1">
      <c r="A187" s="9" t="s">
        <v>431</v>
      </c>
      <c r="B187" s="9" t="s">
        <v>282</v>
      </c>
      <c r="C187" s="9" t="s">
        <v>326</v>
      </c>
      <c r="D187" s="9" t="s">
        <v>295</v>
      </c>
      <c r="E187" s="9" t="s">
        <v>296</v>
      </c>
      <c r="F187" s="9" t="s">
        <v>284</v>
      </c>
    </row>
    <row r="188" ht="12.75" customHeight="1">
      <c r="A188" s="9" t="s">
        <v>432</v>
      </c>
      <c r="B188" s="9" t="s">
        <v>282</v>
      </c>
      <c r="C188" s="9" t="s">
        <v>326</v>
      </c>
      <c r="D188" s="9" t="s">
        <v>295</v>
      </c>
      <c r="E188" s="9" t="s">
        <v>296</v>
      </c>
      <c r="F188" s="9" t="s">
        <v>284</v>
      </c>
    </row>
    <row r="189" ht="12.75" customHeight="1">
      <c r="A189" s="9" t="s">
        <v>432</v>
      </c>
      <c r="B189" s="9" t="s">
        <v>282</v>
      </c>
      <c r="C189" s="9" t="s">
        <v>326</v>
      </c>
      <c r="D189" s="9" t="s">
        <v>295</v>
      </c>
      <c r="E189" s="9" t="s">
        <v>296</v>
      </c>
      <c r="F189" s="9" t="s">
        <v>284</v>
      </c>
    </row>
    <row r="190" ht="12.75" customHeight="1">
      <c r="A190" s="9" t="s">
        <v>432</v>
      </c>
      <c r="B190" s="9" t="s">
        <v>282</v>
      </c>
      <c r="C190" s="9" t="s">
        <v>326</v>
      </c>
      <c r="D190" s="9" t="s">
        <v>295</v>
      </c>
      <c r="E190" s="9" t="s">
        <v>296</v>
      </c>
      <c r="F190" s="9" t="s">
        <v>284</v>
      </c>
    </row>
    <row r="191" ht="12.75" customHeight="1">
      <c r="A191" s="9" t="s">
        <v>433</v>
      </c>
      <c r="B191" s="9" t="s">
        <v>282</v>
      </c>
      <c r="C191" s="9" t="s">
        <v>326</v>
      </c>
      <c r="D191" s="9" t="s">
        <v>295</v>
      </c>
      <c r="E191" s="9" t="s">
        <v>296</v>
      </c>
      <c r="F191" s="9" t="s">
        <v>284</v>
      </c>
    </row>
    <row r="192" ht="12.75" customHeight="1">
      <c r="A192" s="9" t="s">
        <v>433</v>
      </c>
      <c r="B192" s="9" t="s">
        <v>282</v>
      </c>
      <c r="C192" s="9" t="s">
        <v>326</v>
      </c>
      <c r="D192" s="9" t="s">
        <v>295</v>
      </c>
      <c r="E192" s="9" t="s">
        <v>296</v>
      </c>
      <c r="F192" s="9" t="s">
        <v>284</v>
      </c>
    </row>
    <row r="193" ht="12.75" customHeight="1">
      <c r="A193" s="9" t="s">
        <v>433</v>
      </c>
      <c r="B193" s="9" t="s">
        <v>282</v>
      </c>
      <c r="C193" s="9" t="s">
        <v>326</v>
      </c>
      <c r="D193" s="9" t="s">
        <v>295</v>
      </c>
      <c r="E193" s="9" t="s">
        <v>296</v>
      </c>
      <c r="F193" s="9" t="s">
        <v>284</v>
      </c>
    </row>
    <row r="194" ht="12.75" customHeight="1">
      <c r="A194" s="9" t="s">
        <v>434</v>
      </c>
      <c r="B194" s="9" t="s">
        <v>282</v>
      </c>
      <c r="C194" s="9" t="s">
        <v>326</v>
      </c>
      <c r="D194" s="9" t="s">
        <v>295</v>
      </c>
      <c r="E194" s="9" t="s">
        <v>296</v>
      </c>
      <c r="F194" s="9" t="s">
        <v>284</v>
      </c>
    </row>
    <row r="195" ht="12.75" customHeight="1">
      <c r="A195" s="9" t="s">
        <v>434</v>
      </c>
      <c r="B195" s="9" t="s">
        <v>282</v>
      </c>
      <c r="C195" s="9" t="s">
        <v>326</v>
      </c>
      <c r="D195" s="9" t="s">
        <v>295</v>
      </c>
      <c r="E195" s="9" t="s">
        <v>296</v>
      </c>
      <c r="F195" s="9" t="s">
        <v>284</v>
      </c>
    </row>
    <row r="196" ht="12.75" customHeight="1">
      <c r="A196" s="9" t="s">
        <v>435</v>
      </c>
      <c r="B196" s="9" t="s">
        <v>272</v>
      </c>
      <c r="C196" s="9" t="s">
        <v>273</v>
      </c>
      <c r="D196" s="9" t="s">
        <v>295</v>
      </c>
      <c r="E196" s="9">
        <v>1450.0</v>
      </c>
      <c r="F196" s="9" t="s">
        <v>276</v>
      </c>
    </row>
    <row r="197" ht="12.75" customHeight="1">
      <c r="A197" s="9" t="s">
        <v>436</v>
      </c>
      <c r="B197" s="9" t="s">
        <v>272</v>
      </c>
      <c r="C197" s="9" t="s">
        <v>326</v>
      </c>
      <c r="D197" s="9" t="s">
        <v>295</v>
      </c>
      <c r="E197" s="9" t="s">
        <v>311</v>
      </c>
      <c r="F197" s="9" t="s">
        <v>276</v>
      </c>
    </row>
    <row r="198" ht="12.75" customHeight="1">
      <c r="A198" s="9" t="s">
        <v>436</v>
      </c>
      <c r="B198" s="9" t="s">
        <v>272</v>
      </c>
      <c r="C198" s="9" t="s">
        <v>326</v>
      </c>
      <c r="D198" s="9" t="s">
        <v>295</v>
      </c>
      <c r="E198" s="9" t="s">
        <v>311</v>
      </c>
      <c r="F198" s="9" t="s">
        <v>276</v>
      </c>
    </row>
    <row r="199" ht="12.75" customHeight="1">
      <c r="A199" s="9" t="s">
        <v>436</v>
      </c>
      <c r="B199" s="9" t="s">
        <v>272</v>
      </c>
      <c r="C199" s="9" t="s">
        <v>326</v>
      </c>
      <c r="D199" s="9" t="s">
        <v>295</v>
      </c>
      <c r="E199" s="9" t="s">
        <v>311</v>
      </c>
      <c r="F199" s="9" t="s">
        <v>276</v>
      </c>
    </row>
    <row r="200" ht="12.75" customHeight="1">
      <c r="A200" s="9" t="s">
        <v>437</v>
      </c>
      <c r="B200" s="9" t="s">
        <v>272</v>
      </c>
      <c r="C200" s="9" t="s">
        <v>283</v>
      </c>
      <c r="D200" s="9" t="s">
        <v>295</v>
      </c>
      <c r="E200" s="9" t="s">
        <v>311</v>
      </c>
      <c r="F200" s="9" t="s">
        <v>284</v>
      </c>
    </row>
    <row r="201" ht="12.75" customHeight="1">
      <c r="A201" s="9" t="s">
        <v>438</v>
      </c>
      <c r="B201" s="9" t="s">
        <v>272</v>
      </c>
      <c r="C201" s="9" t="s">
        <v>283</v>
      </c>
      <c r="D201" s="9" t="s">
        <v>295</v>
      </c>
      <c r="E201" s="9" t="s">
        <v>311</v>
      </c>
      <c r="F201" s="9" t="s">
        <v>284</v>
      </c>
    </row>
    <row r="202" ht="12.75" customHeight="1">
      <c r="A202" s="9" t="s">
        <v>439</v>
      </c>
      <c r="B202" s="9" t="s">
        <v>289</v>
      </c>
      <c r="C202" s="9" t="s">
        <v>283</v>
      </c>
      <c r="D202" s="9" t="s">
        <v>295</v>
      </c>
      <c r="E202" s="9" t="s">
        <v>311</v>
      </c>
      <c r="F202" s="9" t="s">
        <v>284</v>
      </c>
    </row>
    <row r="203" ht="12.75" customHeight="1">
      <c r="A203" s="9" t="s">
        <v>440</v>
      </c>
      <c r="B203" s="9" t="s">
        <v>289</v>
      </c>
      <c r="C203" s="9" t="s">
        <v>283</v>
      </c>
      <c r="D203" s="9" t="s">
        <v>295</v>
      </c>
      <c r="E203" s="9" t="s">
        <v>311</v>
      </c>
      <c r="F203" s="9" t="s">
        <v>284</v>
      </c>
    </row>
    <row r="204" ht="12.75" customHeight="1">
      <c r="A204" s="9" t="s">
        <v>441</v>
      </c>
      <c r="B204" s="9" t="s">
        <v>289</v>
      </c>
      <c r="C204" s="9" t="s">
        <v>283</v>
      </c>
      <c r="D204" s="9" t="s">
        <v>295</v>
      </c>
      <c r="E204" s="9" t="s">
        <v>311</v>
      </c>
      <c r="F204" s="9" t="s">
        <v>284</v>
      </c>
    </row>
    <row r="205" ht="12.75" customHeight="1">
      <c r="A205" s="9" t="s">
        <v>442</v>
      </c>
      <c r="B205" s="9" t="s">
        <v>289</v>
      </c>
      <c r="C205" s="9" t="s">
        <v>283</v>
      </c>
      <c r="D205" s="9" t="s">
        <v>295</v>
      </c>
      <c r="E205" s="9" t="s">
        <v>311</v>
      </c>
      <c r="F205" s="9" t="s">
        <v>284</v>
      </c>
    </row>
    <row r="206" ht="12.75" customHeight="1">
      <c r="A206" s="9" t="s">
        <v>443</v>
      </c>
      <c r="B206" s="9" t="s">
        <v>272</v>
      </c>
      <c r="C206" s="9" t="s">
        <v>273</v>
      </c>
      <c r="D206" s="9" t="s">
        <v>295</v>
      </c>
      <c r="E206" s="9" t="s">
        <v>311</v>
      </c>
      <c r="F206" s="9" t="s">
        <v>284</v>
      </c>
    </row>
    <row r="207" ht="12.75" customHeight="1">
      <c r="A207" s="9" t="s">
        <v>444</v>
      </c>
      <c r="B207" s="9" t="s">
        <v>272</v>
      </c>
      <c r="C207" s="9" t="s">
        <v>273</v>
      </c>
      <c r="D207" s="9" t="s">
        <v>295</v>
      </c>
      <c r="E207" s="9" t="s">
        <v>311</v>
      </c>
      <c r="F207" s="9" t="s">
        <v>284</v>
      </c>
    </row>
    <row r="208" ht="12.75" customHeight="1">
      <c r="A208" s="9" t="s">
        <v>445</v>
      </c>
      <c r="B208" s="9" t="s">
        <v>272</v>
      </c>
      <c r="C208" s="9" t="s">
        <v>326</v>
      </c>
      <c r="D208" s="9" t="s">
        <v>295</v>
      </c>
      <c r="E208" s="9" t="s">
        <v>311</v>
      </c>
      <c r="F208" s="9" t="s">
        <v>276</v>
      </c>
    </row>
    <row r="209" ht="12.75" customHeight="1">
      <c r="A209" s="9" t="s">
        <v>445</v>
      </c>
      <c r="B209" s="9" t="s">
        <v>272</v>
      </c>
      <c r="C209" s="9" t="s">
        <v>326</v>
      </c>
      <c r="D209" s="9" t="s">
        <v>295</v>
      </c>
      <c r="E209" s="9" t="s">
        <v>311</v>
      </c>
      <c r="F209" s="9" t="s">
        <v>276</v>
      </c>
    </row>
    <row r="210" ht="12.75" customHeight="1">
      <c r="A210" s="9" t="s">
        <v>445</v>
      </c>
      <c r="B210" s="9" t="s">
        <v>272</v>
      </c>
      <c r="C210" s="9" t="s">
        <v>326</v>
      </c>
      <c r="D210" s="9" t="s">
        <v>295</v>
      </c>
      <c r="E210" s="9" t="s">
        <v>311</v>
      </c>
      <c r="F210" s="9" t="s">
        <v>276</v>
      </c>
    </row>
    <row r="211" ht="12.75" customHeight="1">
      <c r="A211" s="9" t="s">
        <v>446</v>
      </c>
      <c r="B211" s="9" t="s">
        <v>272</v>
      </c>
      <c r="C211" s="9" t="s">
        <v>326</v>
      </c>
      <c r="D211" s="9" t="s">
        <v>293</v>
      </c>
      <c r="E211" s="9">
        <v>1950.0</v>
      </c>
      <c r="F211" s="9" t="s">
        <v>276</v>
      </c>
    </row>
    <row r="212" ht="12.75" customHeight="1">
      <c r="A212" s="9" t="s">
        <v>447</v>
      </c>
      <c r="B212" s="9" t="s">
        <v>272</v>
      </c>
      <c r="C212" s="9" t="s">
        <v>326</v>
      </c>
      <c r="D212" s="9" t="s">
        <v>274</v>
      </c>
      <c r="E212" s="9" t="s">
        <v>311</v>
      </c>
      <c r="F212" s="9" t="s">
        <v>276</v>
      </c>
    </row>
    <row r="213" ht="12.75" customHeight="1">
      <c r="A213" s="9" t="s">
        <v>448</v>
      </c>
      <c r="B213" s="9" t="s">
        <v>272</v>
      </c>
      <c r="C213" s="9" t="s">
        <v>283</v>
      </c>
      <c r="D213" s="9" t="s">
        <v>295</v>
      </c>
      <c r="E213" s="9">
        <v>1450.0</v>
      </c>
      <c r="F213" s="9" t="s">
        <v>284</v>
      </c>
    </row>
    <row r="214" ht="12.75" customHeight="1">
      <c r="A214" s="9" t="s">
        <v>449</v>
      </c>
      <c r="B214" s="9" t="s">
        <v>289</v>
      </c>
      <c r="C214" s="9" t="s">
        <v>283</v>
      </c>
      <c r="D214" s="9" t="s">
        <v>295</v>
      </c>
      <c r="E214" s="9">
        <v>1450.0</v>
      </c>
      <c r="F214" s="9" t="s">
        <v>284</v>
      </c>
    </row>
    <row r="215" ht="12.75" customHeight="1">
      <c r="A215" s="9" t="s">
        <v>450</v>
      </c>
      <c r="B215" s="9" t="s">
        <v>289</v>
      </c>
      <c r="C215" s="9" t="s">
        <v>283</v>
      </c>
      <c r="D215" s="9" t="s">
        <v>295</v>
      </c>
      <c r="E215" s="9">
        <v>1450.0</v>
      </c>
      <c r="F215" s="9" t="s">
        <v>284</v>
      </c>
    </row>
    <row r="216" ht="12.75" customHeight="1">
      <c r="A216" s="9" t="s">
        <v>451</v>
      </c>
      <c r="B216" s="9" t="s">
        <v>289</v>
      </c>
      <c r="C216" s="9" t="s">
        <v>283</v>
      </c>
      <c r="D216" s="9" t="s">
        <v>295</v>
      </c>
      <c r="E216" s="9">
        <v>1450.0</v>
      </c>
      <c r="F216" s="9" t="s">
        <v>284</v>
      </c>
    </row>
    <row r="217" ht="12.75" customHeight="1">
      <c r="A217" s="9" t="s">
        <v>452</v>
      </c>
      <c r="B217" s="9" t="s">
        <v>289</v>
      </c>
      <c r="C217" s="9" t="s">
        <v>283</v>
      </c>
      <c r="D217" s="9" t="s">
        <v>295</v>
      </c>
      <c r="E217" s="9">
        <v>1450.0</v>
      </c>
      <c r="F217" s="9" t="s">
        <v>284</v>
      </c>
    </row>
    <row r="218" ht="12.75" customHeight="1">
      <c r="A218" s="9" t="s">
        <v>453</v>
      </c>
      <c r="B218" s="9" t="s">
        <v>289</v>
      </c>
      <c r="C218" s="9" t="s">
        <v>283</v>
      </c>
      <c r="D218" s="9" t="s">
        <v>295</v>
      </c>
      <c r="E218" s="9">
        <v>1450.0</v>
      </c>
      <c r="F218" s="9" t="s">
        <v>284</v>
      </c>
    </row>
    <row r="219" ht="12.75" customHeight="1">
      <c r="A219" s="9" t="s">
        <v>454</v>
      </c>
      <c r="B219" s="9" t="s">
        <v>282</v>
      </c>
      <c r="C219" s="9" t="s">
        <v>283</v>
      </c>
      <c r="D219" s="9" t="s">
        <v>295</v>
      </c>
      <c r="E219" s="9">
        <v>1450.0</v>
      </c>
      <c r="F219" s="9" t="s">
        <v>284</v>
      </c>
    </row>
    <row r="220" ht="12.75" customHeight="1">
      <c r="A220" s="9" t="s">
        <v>455</v>
      </c>
      <c r="B220" s="9" t="s">
        <v>289</v>
      </c>
      <c r="C220" s="9" t="s">
        <v>283</v>
      </c>
      <c r="D220" s="9" t="s">
        <v>295</v>
      </c>
      <c r="E220" s="9" t="s">
        <v>296</v>
      </c>
      <c r="F220" s="9" t="s">
        <v>284</v>
      </c>
    </row>
    <row r="221" ht="12.75" customHeight="1">
      <c r="A221" s="9" t="s">
        <v>456</v>
      </c>
      <c r="B221" s="9" t="s">
        <v>289</v>
      </c>
      <c r="C221" s="9" t="s">
        <v>283</v>
      </c>
      <c r="D221" s="9" t="s">
        <v>339</v>
      </c>
      <c r="E221" s="9" t="s">
        <v>311</v>
      </c>
      <c r="F221" s="9" t="s">
        <v>284</v>
      </c>
    </row>
    <row r="222" ht="12.75" customHeight="1">
      <c r="A222" s="9" t="s">
        <v>457</v>
      </c>
      <c r="B222" s="9" t="s">
        <v>289</v>
      </c>
      <c r="C222" s="9" t="s">
        <v>273</v>
      </c>
      <c r="D222" s="9" t="s">
        <v>274</v>
      </c>
      <c r="E222" s="9" t="s">
        <v>275</v>
      </c>
      <c r="F222" s="9" t="s">
        <v>284</v>
      </c>
    </row>
    <row r="223" ht="12.75" customHeight="1">
      <c r="A223" s="9" t="s">
        <v>457</v>
      </c>
      <c r="B223" s="9" t="s">
        <v>289</v>
      </c>
      <c r="C223" s="9" t="s">
        <v>273</v>
      </c>
      <c r="D223" s="9" t="s">
        <v>274</v>
      </c>
      <c r="E223" s="9" t="s">
        <v>275</v>
      </c>
      <c r="F223" s="9" t="s">
        <v>284</v>
      </c>
    </row>
    <row r="224" ht="12.75" customHeight="1">
      <c r="A224" s="9" t="s">
        <v>458</v>
      </c>
      <c r="B224" s="9" t="s">
        <v>289</v>
      </c>
      <c r="C224" s="9" t="s">
        <v>273</v>
      </c>
      <c r="D224" s="9" t="s">
        <v>274</v>
      </c>
      <c r="E224" s="9" t="s">
        <v>275</v>
      </c>
      <c r="F224" s="9" t="s">
        <v>284</v>
      </c>
    </row>
    <row r="225" ht="12.75" customHeight="1">
      <c r="A225" s="9" t="s">
        <v>458</v>
      </c>
      <c r="B225" s="9" t="s">
        <v>289</v>
      </c>
      <c r="C225" s="9" t="s">
        <v>273</v>
      </c>
      <c r="D225" s="9" t="s">
        <v>274</v>
      </c>
      <c r="E225" s="9" t="s">
        <v>275</v>
      </c>
      <c r="F225" s="9" t="s">
        <v>284</v>
      </c>
    </row>
    <row r="226" ht="12.75" customHeight="1">
      <c r="A226" s="9" t="s">
        <v>459</v>
      </c>
      <c r="B226" s="9" t="s">
        <v>272</v>
      </c>
      <c r="C226" s="9" t="s">
        <v>273</v>
      </c>
      <c r="D226" s="9" t="s">
        <v>274</v>
      </c>
      <c r="E226" s="9" t="s">
        <v>275</v>
      </c>
      <c r="F226" s="9" t="s">
        <v>284</v>
      </c>
    </row>
    <row r="227" ht="12.75" customHeight="1">
      <c r="A227" s="9" t="s">
        <v>459</v>
      </c>
      <c r="B227" s="9" t="s">
        <v>272</v>
      </c>
      <c r="C227" s="9" t="s">
        <v>273</v>
      </c>
      <c r="D227" s="9" t="s">
        <v>274</v>
      </c>
      <c r="E227" s="9" t="s">
        <v>275</v>
      </c>
      <c r="F227" s="9" t="s">
        <v>284</v>
      </c>
    </row>
    <row r="228" ht="12.75" customHeight="1">
      <c r="A228" s="9" t="s">
        <v>460</v>
      </c>
      <c r="B228" s="9" t="s">
        <v>272</v>
      </c>
      <c r="C228" s="9" t="s">
        <v>273</v>
      </c>
      <c r="D228" s="9" t="s">
        <v>293</v>
      </c>
      <c r="E228" s="9">
        <v>1450.0</v>
      </c>
      <c r="F228" s="9" t="s">
        <v>276</v>
      </c>
    </row>
    <row r="229" ht="12.75" customHeight="1">
      <c r="A229" s="9" t="s">
        <v>461</v>
      </c>
      <c r="B229" s="9" t="s">
        <v>282</v>
      </c>
      <c r="C229" s="9" t="s">
        <v>283</v>
      </c>
      <c r="D229" s="9" t="s">
        <v>293</v>
      </c>
      <c r="E229" s="9">
        <v>1450.0</v>
      </c>
      <c r="F229" s="9" t="s">
        <v>284</v>
      </c>
    </row>
    <row r="230" ht="12.75" customHeight="1">
      <c r="A230" s="9" t="s">
        <v>462</v>
      </c>
      <c r="B230" s="9" t="s">
        <v>272</v>
      </c>
      <c r="C230" s="9" t="s">
        <v>273</v>
      </c>
      <c r="D230" s="9" t="s">
        <v>295</v>
      </c>
      <c r="E230" s="9" t="s">
        <v>311</v>
      </c>
      <c r="F230" s="9" t="s">
        <v>284</v>
      </c>
    </row>
    <row r="231" ht="12.75" customHeight="1">
      <c r="A231" s="9" t="s">
        <v>463</v>
      </c>
      <c r="B231" s="9" t="s">
        <v>272</v>
      </c>
      <c r="C231" s="9" t="s">
        <v>273</v>
      </c>
      <c r="D231" s="9" t="s">
        <v>295</v>
      </c>
      <c r="E231" s="9" t="s">
        <v>311</v>
      </c>
      <c r="F231" s="9" t="s">
        <v>284</v>
      </c>
    </row>
    <row r="232" ht="12.75" customHeight="1">
      <c r="A232" s="9" t="s">
        <v>464</v>
      </c>
      <c r="B232" s="9" t="s">
        <v>272</v>
      </c>
      <c r="C232" s="9" t="s">
        <v>273</v>
      </c>
      <c r="D232" s="9" t="s">
        <v>295</v>
      </c>
      <c r="E232" s="9" t="s">
        <v>311</v>
      </c>
      <c r="F232" s="9" t="s">
        <v>284</v>
      </c>
    </row>
    <row r="233" ht="12.75" customHeight="1">
      <c r="A233" s="9" t="s">
        <v>465</v>
      </c>
      <c r="B233" s="9" t="s">
        <v>272</v>
      </c>
      <c r="C233" s="9" t="s">
        <v>273</v>
      </c>
      <c r="D233" s="9" t="s">
        <v>295</v>
      </c>
      <c r="E233" s="9" t="s">
        <v>311</v>
      </c>
      <c r="F233" s="9" t="s">
        <v>284</v>
      </c>
    </row>
    <row r="234" ht="12.75" customHeight="1">
      <c r="A234" s="9" t="s">
        <v>466</v>
      </c>
      <c r="B234" s="9" t="s">
        <v>272</v>
      </c>
      <c r="C234" s="9" t="s">
        <v>273</v>
      </c>
      <c r="D234" s="9" t="s">
        <v>295</v>
      </c>
      <c r="E234" s="9" t="s">
        <v>311</v>
      </c>
      <c r="F234" s="9" t="s">
        <v>284</v>
      </c>
    </row>
    <row r="235" ht="12.75" customHeight="1">
      <c r="A235" s="9" t="s">
        <v>467</v>
      </c>
      <c r="B235" s="9" t="s">
        <v>272</v>
      </c>
      <c r="C235" s="9" t="s">
        <v>273</v>
      </c>
      <c r="D235" s="9" t="s">
        <v>295</v>
      </c>
      <c r="E235" s="9" t="s">
        <v>311</v>
      </c>
      <c r="F235" s="9" t="s">
        <v>284</v>
      </c>
    </row>
    <row r="236" ht="12.75" customHeight="1">
      <c r="A236" s="9" t="s">
        <v>468</v>
      </c>
      <c r="B236" s="9" t="s">
        <v>272</v>
      </c>
      <c r="C236" s="9" t="s">
        <v>273</v>
      </c>
      <c r="D236" s="9" t="s">
        <v>295</v>
      </c>
      <c r="E236" s="9" t="s">
        <v>311</v>
      </c>
      <c r="F236" s="9" t="s">
        <v>284</v>
      </c>
    </row>
    <row r="237" ht="12.75" customHeight="1">
      <c r="A237" s="9" t="s">
        <v>469</v>
      </c>
      <c r="B237" s="9" t="s">
        <v>272</v>
      </c>
      <c r="C237" s="9" t="s">
        <v>273</v>
      </c>
      <c r="D237" s="9" t="s">
        <v>295</v>
      </c>
      <c r="E237" s="9" t="s">
        <v>311</v>
      </c>
      <c r="F237" s="9" t="s">
        <v>284</v>
      </c>
    </row>
    <row r="238" ht="12.75" customHeight="1">
      <c r="A238" s="9" t="s">
        <v>470</v>
      </c>
      <c r="B238" s="9" t="s">
        <v>272</v>
      </c>
      <c r="C238" s="9" t="s">
        <v>273</v>
      </c>
      <c r="D238" s="9" t="s">
        <v>293</v>
      </c>
      <c r="E238" s="9">
        <v>1950.0</v>
      </c>
      <c r="F238" s="9" t="s">
        <v>276</v>
      </c>
    </row>
    <row r="239" ht="12.75" customHeight="1">
      <c r="A239" s="9" t="s">
        <v>471</v>
      </c>
      <c r="B239" s="9" t="s">
        <v>272</v>
      </c>
      <c r="C239" s="9" t="s">
        <v>326</v>
      </c>
      <c r="D239" s="9" t="s">
        <v>295</v>
      </c>
      <c r="E239" s="9" t="s">
        <v>311</v>
      </c>
      <c r="F239" s="9" t="s">
        <v>276</v>
      </c>
    </row>
    <row r="240" ht="12.75" customHeight="1">
      <c r="A240" s="9" t="s">
        <v>472</v>
      </c>
      <c r="B240" s="9" t="s">
        <v>272</v>
      </c>
      <c r="C240" s="9" t="s">
        <v>326</v>
      </c>
      <c r="D240" s="9" t="s">
        <v>295</v>
      </c>
      <c r="E240" s="9" t="s">
        <v>311</v>
      </c>
      <c r="F240" s="9" t="s">
        <v>276</v>
      </c>
    </row>
    <row r="241" ht="12.75" customHeight="1">
      <c r="A241" s="9" t="s">
        <v>473</v>
      </c>
      <c r="B241" s="9" t="s">
        <v>272</v>
      </c>
      <c r="C241" s="9" t="s">
        <v>326</v>
      </c>
      <c r="D241" s="9" t="s">
        <v>295</v>
      </c>
      <c r="E241" s="9" t="s">
        <v>311</v>
      </c>
      <c r="F241" s="9" t="s">
        <v>276</v>
      </c>
    </row>
    <row r="242" ht="12.75" customHeight="1">
      <c r="A242" s="9" t="s">
        <v>474</v>
      </c>
      <c r="B242" s="9" t="s">
        <v>289</v>
      </c>
      <c r="C242" s="9" t="s">
        <v>326</v>
      </c>
      <c r="D242" s="9" t="s">
        <v>295</v>
      </c>
      <c r="E242" s="9" t="s">
        <v>311</v>
      </c>
      <c r="F242" s="9" t="s">
        <v>284</v>
      </c>
    </row>
    <row r="243" ht="12.75" customHeight="1">
      <c r="A243" s="9" t="s">
        <v>475</v>
      </c>
      <c r="B243" s="9" t="s">
        <v>289</v>
      </c>
      <c r="C243" s="9" t="s">
        <v>326</v>
      </c>
      <c r="D243" s="9" t="s">
        <v>295</v>
      </c>
      <c r="E243" s="9" t="s">
        <v>311</v>
      </c>
      <c r="F243" s="9" t="s">
        <v>284</v>
      </c>
    </row>
    <row r="244" ht="12.75" customHeight="1">
      <c r="A244" s="9" t="s">
        <v>476</v>
      </c>
      <c r="B244" s="9" t="s">
        <v>289</v>
      </c>
      <c r="C244" s="9" t="s">
        <v>326</v>
      </c>
      <c r="D244" s="9" t="s">
        <v>295</v>
      </c>
      <c r="E244" s="9" t="s">
        <v>311</v>
      </c>
      <c r="F244" s="9" t="s">
        <v>284</v>
      </c>
    </row>
    <row r="245" ht="12.75" customHeight="1">
      <c r="A245" s="9" t="s">
        <v>477</v>
      </c>
      <c r="B245" s="9" t="s">
        <v>289</v>
      </c>
      <c r="C245" s="9" t="s">
        <v>326</v>
      </c>
      <c r="D245" s="9" t="s">
        <v>295</v>
      </c>
      <c r="E245" s="9" t="s">
        <v>311</v>
      </c>
      <c r="F245" s="9" t="s">
        <v>284</v>
      </c>
    </row>
    <row r="246" ht="12.75" customHeight="1">
      <c r="A246" s="9" t="s">
        <v>478</v>
      </c>
      <c r="B246" s="9" t="s">
        <v>272</v>
      </c>
      <c r="C246" s="9" t="s">
        <v>273</v>
      </c>
      <c r="D246" s="9" t="s">
        <v>274</v>
      </c>
      <c r="E246" s="9" t="s">
        <v>311</v>
      </c>
      <c r="F246" s="9" t="s">
        <v>284</v>
      </c>
    </row>
    <row r="247" ht="12.75" customHeight="1">
      <c r="A247" s="9" t="s">
        <v>479</v>
      </c>
      <c r="B247" s="9" t="s">
        <v>272</v>
      </c>
      <c r="C247" s="9" t="s">
        <v>273</v>
      </c>
      <c r="D247" s="9" t="s">
        <v>274</v>
      </c>
      <c r="E247" s="9" t="s">
        <v>311</v>
      </c>
      <c r="F247" s="9" t="s">
        <v>284</v>
      </c>
    </row>
    <row r="248" ht="12.75" customHeight="1">
      <c r="A248" s="9" t="s">
        <v>480</v>
      </c>
      <c r="B248" s="9" t="s">
        <v>272</v>
      </c>
      <c r="C248" s="9" t="s">
        <v>273</v>
      </c>
      <c r="D248" s="9" t="s">
        <v>274</v>
      </c>
      <c r="E248" s="9" t="s">
        <v>311</v>
      </c>
      <c r="F248" s="9" t="s">
        <v>284</v>
      </c>
    </row>
    <row r="249" ht="12.75" customHeight="1">
      <c r="A249" s="9" t="s">
        <v>481</v>
      </c>
      <c r="B249" s="9" t="s">
        <v>282</v>
      </c>
      <c r="C249" s="9" t="s">
        <v>273</v>
      </c>
      <c r="D249" s="9" t="s">
        <v>274</v>
      </c>
      <c r="E249" s="9" t="s">
        <v>311</v>
      </c>
      <c r="F249" s="9" t="s">
        <v>284</v>
      </c>
    </row>
    <row r="250" ht="12.75" customHeight="1">
      <c r="A250" s="9" t="s">
        <v>482</v>
      </c>
      <c r="B250" s="9" t="s">
        <v>282</v>
      </c>
      <c r="C250" s="9" t="s">
        <v>273</v>
      </c>
      <c r="D250" s="9" t="s">
        <v>274</v>
      </c>
      <c r="E250" s="9" t="s">
        <v>311</v>
      </c>
      <c r="F250" s="9" t="s">
        <v>284</v>
      </c>
    </row>
    <row r="251" ht="12.75" customHeight="1">
      <c r="A251" s="9" t="s">
        <v>483</v>
      </c>
      <c r="B251" s="9" t="s">
        <v>272</v>
      </c>
      <c r="C251" s="9" t="s">
        <v>326</v>
      </c>
      <c r="D251" s="9" t="s">
        <v>295</v>
      </c>
      <c r="E251" s="9">
        <v>1450.0</v>
      </c>
      <c r="F251" s="9" t="s">
        <v>276</v>
      </c>
    </row>
    <row r="252" ht="12.75" customHeight="1">
      <c r="A252" s="9" t="s">
        <v>484</v>
      </c>
      <c r="B252" s="9" t="s">
        <v>272</v>
      </c>
      <c r="C252" s="9" t="s">
        <v>326</v>
      </c>
      <c r="D252" s="9" t="s">
        <v>274</v>
      </c>
      <c r="E252" s="9">
        <v>1950.0</v>
      </c>
      <c r="F252" s="9" t="s">
        <v>276</v>
      </c>
    </row>
    <row r="253" ht="12.75" customHeight="1">
      <c r="A253" s="9" t="s">
        <v>485</v>
      </c>
      <c r="B253" s="9" t="s">
        <v>272</v>
      </c>
      <c r="C253" s="9" t="s">
        <v>326</v>
      </c>
      <c r="D253" s="9" t="s">
        <v>339</v>
      </c>
      <c r="E253" s="9" t="s">
        <v>311</v>
      </c>
      <c r="F253" s="9" t="s">
        <v>276</v>
      </c>
    </row>
    <row r="254" ht="12.75" customHeight="1">
      <c r="A254" s="9" t="s">
        <v>486</v>
      </c>
      <c r="B254" s="9" t="s">
        <v>272</v>
      </c>
      <c r="C254" s="9" t="s">
        <v>273</v>
      </c>
      <c r="D254" s="9" t="s">
        <v>274</v>
      </c>
      <c r="E254" s="9" t="s">
        <v>275</v>
      </c>
      <c r="F254" s="9" t="s">
        <v>284</v>
      </c>
    </row>
    <row r="255" ht="12.75" customHeight="1">
      <c r="A255" s="9" t="s">
        <v>487</v>
      </c>
      <c r="B255" s="9" t="s">
        <v>272</v>
      </c>
      <c r="C255" s="9" t="s">
        <v>273</v>
      </c>
      <c r="D255" s="9" t="s">
        <v>274</v>
      </c>
      <c r="E255" s="9" t="s">
        <v>275</v>
      </c>
      <c r="F255" s="9" t="s">
        <v>284</v>
      </c>
    </row>
    <row r="256" ht="12.75" customHeight="1">
      <c r="A256" s="9" t="s">
        <v>488</v>
      </c>
      <c r="B256" s="9" t="s">
        <v>272</v>
      </c>
      <c r="C256" s="9" t="s">
        <v>326</v>
      </c>
      <c r="D256" s="9" t="s">
        <v>295</v>
      </c>
      <c r="E256" s="9" t="s">
        <v>296</v>
      </c>
      <c r="F256" s="9" t="s">
        <v>276</v>
      </c>
    </row>
    <row r="257" ht="12.75" customHeight="1">
      <c r="A257" s="9" t="s">
        <v>489</v>
      </c>
      <c r="B257" s="9" t="s">
        <v>272</v>
      </c>
      <c r="C257" s="9" t="s">
        <v>326</v>
      </c>
      <c r="D257" s="9" t="s">
        <v>295</v>
      </c>
      <c r="E257" s="9">
        <v>1450.0</v>
      </c>
      <c r="F257" s="9" t="s">
        <v>276</v>
      </c>
    </row>
    <row r="258" ht="12.75" customHeight="1">
      <c r="A258" s="9" t="s">
        <v>490</v>
      </c>
      <c r="B258" s="9" t="s">
        <v>272</v>
      </c>
      <c r="C258" s="9" t="s">
        <v>326</v>
      </c>
      <c r="D258" s="9" t="s">
        <v>274</v>
      </c>
      <c r="E258" s="9">
        <v>1950.0</v>
      </c>
      <c r="F258" s="9" t="s">
        <v>276</v>
      </c>
    </row>
    <row r="259" ht="12.75" customHeight="1">
      <c r="A259" s="9" t="s">
        <v>491</v>
      </c>
      <c r="B259" s="9" t="s">
        <v>272</v>
      </c>
      <c r="C259" s="9" t="s">
        <v>326</v>
      </c>
      <c r="D259" s="9" t="s">
        <v>295</v>
      </c>
      <c r="E259" s="9">
        <v>1950.0</v>
      </c>
      <c r="F259" s="9" t="s">
        <v>276</v>
      </c>
    </row>
    <row r="260" ht="12.75" customHeight="1">
      <c r="A260" s="9" t="s">
        <v>492</v>
      </c>
      <c r="B260" s="9" t="s">
        <v>272</v>
      </c>
      <c r="C260" s="9" t="s">
        <v>326</v>
      </c>
      <c r="D260" s="9" t="s">
        <v>295</v>
      </c>
      <c r="E260" s="9">
        <v>1950.0</v>
      </c>
      <c r="F260" s="9" t="s">
        <v>276</v>
      </c>
    </row>
    <row r="261" ht="12.75" customHeight="1">
      <c r="A261" s="9" t="s">
        <v>493</v>
      </c>
      <c r="B261" s="9" t="s">
        <v>272</v>
      </c>
      <c r="C261" s="9" t="s">
        <v>326</v>
      </c>
      <c r="D261" s="9" t="s">
        <v>274</v>
      </c>
      <c r="E261" s="9" t="s">
        <v>275</v>
      </c>
      <c r="F261" s="9" t="s">
        <v>276</v>
      </c>
    </row>
    <row r="262" ht="12.75" customHeight="1">
      <c r="A262" s="9" t="s">
        <v>494</v>
      </c>
      <c r="B262" s="9" t="s">
        <v>272</v>
      </c>
      <c r="C262" s="9" t="s">
        <v>326</v>
      </c>
      <c r="D262" s="9" t="s">
        <v>295</v>
      </c>
      <c r="E262" s="9">
        <v>1950.0</v>
      </c>
      <c r="F262" s="9" t="s">
        <v>276</v>
      </c>
    </row>
    <row r="263" ht="12.75" customHeight="1">
      <c r="A263" s="9" t="s">
        <v>495</v>
      </c>
      <c r="B263" s="9" t="s">
        <v>272</v>
      </c>
      <c r="C263" s="9" t="s">
        <v>326</v>
      </c>
      <c r="D263" s="9" t="s">
        <v>295</v>
      </c>
      <c r="E263" s="9">
        <v>1950.0</v>
      </c>
      <c r="F263" s="9" t="s">
        <v>276</v>
      </c>
    </row>
    <row r="264" ht="12.75" customHeight="1">
      <c r="A264" s="9" t="s">
        <v>496</v>
      </c>
      <c r="B264" s="9" t="s">
        <v>272</v>
      </c>
      <c r="C264" s="9" t="s">
        <v>273</v>
      </c>
      <c r="D264" s="9" t="s">
        <v>295</v>
      </c>
      <c r="E264" s="9" t="s">
        <v>275</v>
      </c>
      <c r="F264" s="9" t="s">
        <v>284</v>
      </c>
    </row>
    <row r="265" ht="12.75" customHeight="1">
      <c r="A265" s="9" t="s">
        <v>497</v>
      </c>
      <c r="B265" s="9" t="s">
        <v>272</v>
      </c>
      <c r="C265" s="9" t="s">
        <v>326</v>
      </c>
      <c r="D265" s="9" t="s">
        <v>295</v>
      </c>
      <c r="E265" s="9">
        <v>1450.0</v>
      </c>
      <c r="F265" s="9" t="s">
        <v>276</v>
      </c>
    </row>
    <row r="266" ht="12.75" customHeight="1">
      <c r="A266" s="9" t="s">
        <v>498</v>
      </c>
      <c r="B266" s="9" t="s">
        <v>282</v>
      </c>
      <c r="C266" s="9" t="s">
        <v>273</v>
      </c>
      <c r="D266" s="9" t="s">
        <v>295</v>
      </c>
      <c r="E266" s="9">
        <v>1950.0</v>
      </c>
      <c r="F266" s="9" t="s">
        <v>284</v>
      </c>
    </row>
    <row r="267" ht="12.75" customHeight="1">
      <c r="A267" s="9" t="s">
        <v>499</v>
      </c>
      <c r="B267" s="9" t="s">
        <v>289</v>
      </c>
      <c r="C267" s="9" t="s">
        <v>273</v>
      </c>
      <c r="D267" s="9" t="s">
        <v>295</v>
      </c>
      <c r="E267" s="9">
        <v>1950.0</v>
      </c>
      <c r="F267" s="9" t="s">
        <v>284</v>
      </c>
    </row>
    <row r="268" ht="12.75" customHeight="1">
      <c r="A268" s="9" t="s">
        <v>500</v>
      </c>
      <c r="B268" s="9" t="s">
        <v>289</v>
      </c>
      <c r="C268" s="9" t="s">
        <v>283</v>
      </c>
      <c r="D268" s="9" t="s">
        <v>295</v>
      </c>
      <c r="E268" s="9" t="s">
        <v>311</v>
      </c>
      <c r="F268" s="9" t="s">
        <v>284</v>
      </c>
    </row>
    <row r="269" ht="12.75" customHeight="1">
      <c r="A269" s="9" t="s">
        <v>501</v>
      </c>
      <c r="B269" s="9" t="s">
        <v>289</v>
      </c>
      <c r="C269" s="9" t="s">
        <v>283</v>
      </c>
      <c r="D269" s="9" t="s">
        <v>295</v>
      </c>
      <c r="E269" s="9" t="s">
        <v>311</v>
      </c>
      <c r="F269" s="9" t="s">
        <v>284</v>
      </c>
    </row>
    <row r="270" ht="12.75" customHeight="1">
      <c r="A270" s="9" t="s">
        <v>502</v>
      </c>
      <c r="B270" s="9" t="s">
        <v>272</v>
      </c>
      <c r="C270" s="9" t="s">
        <v>283</v>
      </c>
      <c r="D270" s="9" t="s">
        <v>295</v>
      </c>
      <c r="E270" s="9" t="s">
        <v>311</v>
      </c>
      <c r="F270" s="9" t="s">
        <v>276</v>
      </c>
    </row>
    <row r="271" ht="12.75" customHeight="1">
      <c r="A271" s="9" t="s">
        <v>503</v>
      </c>
      <c r="B271" s="9" t="s">
        <v>272</v>
      </c>
      <c r="C271" s="9" t="s">
        <v>283</v>
      </c>
      <c r="D271" s="9" t="s">
        <v>295</v>
      </c>
      <c r="E271" s="9" t="s">
        <v>311</v>
      </c>
      <c r="F271" s="9" t="s">
        <v>276</v>
      </c>
    </row>
    <row r="272" ht="12.75" customHeight="1">
      <c r="A272" s="9" t="s">
        <v>504</v>
      </c>
      <c r="B272" s="9" t="s">
        <v>282</v>
      </c>
      <c r="C272" s="9" t="s">
        <v>273</v>
      </c>
      <c r="D272" s="9" t="s">
        <v>295</v>
      </c>
      <c r="E272" s="9">
        <v>1950.0</v>
      </c>
      <c r="F272" s="9" t="s">
        <v>284</v>
      </c>
    </row>
    <row r="273" ht="12.75" customHeight="1">
      <c r="A273" s="9" t="s">
        <v>504</v>
      </c>
      <c r="B273" s="9" t="s">
        <v>282</v>
      </c>
      <c r="C273" s="9" t="s">
        <v>273</v>
      </c>
      <c r="D273" s="9" t="s">
        <v>295</v>
      </c>
      <c r="E273" s="9">
        <v>1950.0</v>
      </c>
      <c r="F273" s="9" t="s">
        <v>284</v>
      </c>
    </row>
    <row r="274" ht="12.75" customHeight="1">
      <c r="A274" s="9" t="s">
        <v>504</v>
      </c>
      <c r="B274" s="9" t="s">
        <v>282</v>
      </c>
      <c r="C274" s="9" t="s">
        <v>273</v>
      </c>
      <c r="D274" s="9" t="s">
        <v>295</v>
      </c>
      <c r="E274" s="9">
        <v>1950.0</v>
      </c>
      <c r="F274" s="9" t="s">
        <v>284</v>
      </c>
    </row>
    <row r="275" ht="12.75" customHeight="1">
      <c r="A275" s="9" t="s">
        <v>505</v>
      </c>
      <c r="B275" s="9" t="s">
        <v>282</v>
      </c>
      <c r="C275" s="9" t="s">
        <v>273</v>
      </c>
      <c r="D275" s="9" t="s">
        <v>295</v>
      </c>
      <c r="E275" s="9">
        <v>1950.0</v>
      </c>
      <c r="F275" s="9" t="s">
        <v>284</v>
      </c>
    </row>
    <row r="276" ht="12.75" customHeight="1">
      <c r="A276" s="9" t="s">
        <v>505</v>
      </c>
      <c r="B276" s="9" t="s">
        <v>282</v>
      </c>
      <c r="C276" s="9" t="s">
        <v>273</v>
      </c>
      <c r="D276" s="9" t="s">
        <v>295</v>
      </c>
      <c r="E276" s="9">
        <v>1950.0</v>
      </c>
      <c r="F276" s="9" t="s">
        <v>284</v>
      </c>
    </row>
    <row r="277" ht="12.75" customHeight="1">
      <c r="A277" s="9" t="s">
        <v>506</v>
      </c>
      <c r="B277" s="9" t="s">
        <v>272</v>
      </c>
      <c r="C277" s="9" t="s">
        <v>273</v>
      </c>
      <c r="D277" s="9" t="s">
        <v>293</v>
      </c>
      <c r="E277" s="9">
        <v>1950.0</v>
      </c>
      <c r="F277" s="9" t="s">
        <v>276</v>
      </c>
    </row>
    <row r="278" ht="12.75" customHeight="1">
      <c r="A278" s="9" t="s">
        <v>506</v>
      </c>
      <c r="B278" s="9" t="s">
        <v>272</v>
      </c>
      <c r="C278" s="9" t="s">
        <v>273</v>
      </c>
      <c r="D278" s="9" t="s">
        <v>293</v>
      </c>
      <c r="E278" s="9">
        <v>1950.0</v>
      </c>
      <c r="F278" s="9" t="s">
        <v>276</v>
      </c>
    </row>
    <row r="279" ht="12.75" customHeight="1">
      <c r="A279" s="9" t="s">
        <v>507</v>
      </c>
      <c r="B279" s="9" t="s">
        <v>272</v>
      </c>
      <c r="C279" s="9" t="s">
        <v>273</v>
      </c>
      <c r="D279" s="9" t="s">
        <v>293</v>
      </c>
      <c r="E279" s="9">
        <v>1950.0</v>
      </c>
      <c r="F279" s="9" t="s">
        <v>284</v>
      </c>
    </row>
    <row r="280" ht="12.75" customHeight="1">
      <c r="A280" s="9" t="s">
        <v>507</v>
      </c>
      <c r="B280" s="9" t="s">
        <v>272</v>
      </c>
      <c r="C280" s="9" t="s">
        <v>273</v>
      </c>
      <c r="D280" s="9" t="s">
        <v>293</v>
      </c>
      <c r="E280" s="9">
        <v>1950.0</v>
      </c>
      <c r="F280" s="9" t="s">
        <v>284</v>
      </c>
    </row>
    <row r="281" ht="12.75" customHeight="1">
      <c r="A281" s="9" t="s">
        <v>508</v>
      </c>
      <c r="B281" s="9" t="s">
        <v>272</v>
      </c>
      <c r="C281" s="9" t="s">
        <v>283</v>
      </c>
      <c r="D281" s="9" t="s">
        <v>295</v>
      </c>
      <c r="E281" s="9" t="s">
        <v>275</v>
      </c>
      <c r="F281" s="9" t="s">
        <v>284</v>
      </c>
    </row>
    <row r="282" ht="12.75" customHeight="1">
      <c r="A282" s="9" t="s">
        <v>509</v>
      </c>
      <c r="B282" s="9" t="s">
        <v>272</v>
      </c>
      <c r="C282" s="9" t="s">
        <v>326</v>
      </c>
      <c r="D282" s="9" t="s">
        <v>295</v>
      </c>
      <c r="E282" s="9" t="s">
        <v>311</v>
      </c>
      <c r="F282" s="9" t="s">
        <v>276</v>
      </c>
    </row>
    <row r="283" ht="12.75" customHeight="1">
      <c r="A283" s="9" t="s">
        <v>510</v>
      </c>
      <c r="B283" s="9" t="s">
        <v>272</v>
      </c>
      <c r="C283" s="9" t="s">
        <v>326</v>
      </c>
      <c r="D283" s="9" t="s">
        <v>295</v>
      </c>
      <c r="E283" s="9">
        <v>1950.0</v>
      </c>
      <c r="F283" s="9" t="s">
        <v>276</v>
      </c>
    </row>
    <row r="284" ht="12.75" customHeight="1">
      <c r="A284" s="9" t="s">
        <v>511</v>
      </c>
      <c r="B284" s="9" t="s">
        <v>272</v>
      </c>
      <c r="C284" s="9" t="s">
        <v>273</v>
      </c>
      <c r="D284" s="9" t="s">
        <v>274</v>
      </c>
      <c r="E284" s="9">
        <v>1450.0</v>
      </c>
      <c r="F284" s="9" t="s">
        <v>284</v>
      </c>
    </row>
    <row r="285" ht="12.75" customHeight="1">
      <c r="A285" s="9" t="s">
        <v>512</v>
      </c>
      <c r="B285" s="9" t="s">
        <v>272</v>
      </c>
      <c r="C285" s="9" t="s">
        <v>273</v>
      </c>
      <c r="D285" s="9" t="s">
        <v>274</v>
      </c>
      <c r="E285" s="9">
        <v>1450.0</v>
      </c>
      <c r="F285" s="9" t="s">
        <v>284</v>
      </c>
    </row>
    <row r="286" ht="12.75" customHeight="1">
      <c r="A286" s="9" t="s">
        <v>513</v>
      </c>
      <c r="B286" s="9" t="s">
        <v>272</v>
      </c>
      <c r="C286" s="9" t="s">
        <v>326</v>
      </c>
      <c r="D286" s="9" t="s">
        <v>514</v>
      </c>
      <c r="E286" s="9" t="s">
        <v>296</v>
      </c>
      <c r="F286" s="9" t="s">
        <v>276</v>
      </c>
    </row>
    <row r="287" ht="12.75" customHeight="1">
      <c r="A287" s="9" t="s">
        <v>513</v>
      </c>
      <c r="B287" s="9" t="s">
        <v>272</v>
      </c>
      <c r="C287" s="9" t="s">
        <v>326</v>
      </c>
      <c r="D287" s="9" t="s">
        <v>514</v>
      </c>
      <c r="E287" s="9" t="s">
        <v>296</v>
      </c>
      <c r="F287" s="9" t="s">
        <v>276</v>
      </c>
    </row>
    <row r="288" ht="12.75" customHeight="1">
      <c r="A288" s="9" t="s">
        <v>515</v>
      </c>
      <c r="B288" s="9" t="s">
        <v>272</v>
      </c>
      <c r="C288" s="9" t="s">
        <v>326</v>
      </c>
      <c r="D288" s="9" t="s">
        <v>274</v>
      </c>
      <c r="E288" s="9" t="s">
        <v>311</v>
      </c>
      <c r="F288" s="9" t="s">
        <v>276</v>
      </c>
    </row>
    <row r="289" ht="12.75" customHeight="1">
      <c r="A289" s="9" t="s">
        <v>516</v>
      </c>
      <c r="B289" s="9" t="s">
        <v>289</v>
      </c>
      <c r="C289" s="9" t="s">
        <v>283</v>
      </c>
      <c r="D289" s="9" t="s">
        <v>293</v>
      </c>
      <c r="E289" s="9" t="s">
        <v>275</v>
      </c>
      <c r="F289" s="9" t="s">
        <v>284</v>
      </c>
    </row>
    <row r="290" ht="12.75" customHeight="1">
      <c r="A290" s="9" t="s">
        <v>517</v>
      </c>
      <c r="B290" s="9" t="s">
        <v>272</v>
      </c>
      <c r="C290" s="9" t="s">
        <v>283</v>
      </c>
      <c r="D290" s="9" t="s">
        <v>293</v>
      </c>
      <c r="E290" s="9" t="s">
        <v>275</v>
      </c>
      <c r="F290" s="9" t="s">
        <v>284</v>
      </c>
    </row>
    <row r="291" ht="12.75" customHeight="1">
      <c r="A291" s="9" t="s">
        <v>518</v>
      </c>
      <c r="B291" s="9" t="s">
        <v>282</v>
      </c>
      <c r="C291" s="9" t="s">
        <v>283</v>
      </c>
      <c r="D291" s="9" t="s">
        <v>293</v>
      </c>
      <c r="E291" s="9" t="s">
        <v>275</v>
      </c>
      <c r="F291" s="9" t="s">
        <v>284</v>
      </c>
    </row>
    <row r="292" ht="12.75" customHeight="1">
      <c r="A292" s="9" t="s">
        <v>519</v>
      </c>
      <c r="B292" s="9" t="s">
        <v>282</v>
      </c>
      <c r="C292" s="9" t="s">
        <v>273</v>
      </c>
      <c r="D292" s="9" t="s">
        <v>295</v>
      </c>
      <c r="E292" s="9">
        <v>1450.0</v>
      </c>
      <c r="F292" s="9" t="s">
        <v>284</v>
      </c>
    </row>
    <row r="293" ht="12.75" customHeight="1">
      <c r="A293" s="9" t="s">
        <v>519</v>
      </c>
      <c r="B293" s="9" t="s">
        <v>282</v>
      </c>
      <c r="C293" s="9" t="s">
        <v>273</v>
      </c>
      <c r="D293" s="9" t="s">
        <v>295</v>
      </c>
      <c r="E293" s="9">
        <v>1450.0</v>
      </c>
      <c r="F293" s="9" t="s">
        <v>284</v>
      </c>
    </row>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2" t="s">
        <v>525</v>
      </c>
      <c r="B1" s="12" t="s">
        <v>16</v>
      </c>
      <c r="C1" s="12" t="s">
        <v>526</v>
      </c>
      <c r="D1" s="12" t="s">
        <v>527</v>
      </c>
      <c r="E1" s="12" t="s">
        <v>528</v>
      </c>
      <c r="F1" s="12" t="s">
        <v>529</v>
      </c>
      <c r="G1" s="12" t="s">
        <v>530</v>
      </c>
      <c r="H1" s="12" t="s">
        <v>531</v>
      </c>
      <c r="I1" s="12" t="s">
        <v>532</v>
      </c>
      <c r="J1" s="12" t="s">
        <v>533</v>
      </c>
      <c r="K1" s="12" t="s">
        <v>534</v>
      </c>
      <c r="L1" s="12" t="s">
        <v>535</v>
      </c>
      <c r="M1" s="12" t="s">
        <v>536</v>
      </c>
      <c r="N1" s="12" t="s">
        <v>537</v>
      </c>
      <c r="O1" s="12" t="s">
        <v>538</v>
      </c>
      <c r="P1" s="12" t="s">
        <v>539</v>
      </c>
      <c r="Q1" s="12" t="s">
        <v>540</v>
      </c>
      <c r="R1" s="12" t="s">
        <v>541</v>
      </c>
      <c r="S1" s="12" t="s">
        <v>542</v>
      </c>
      <c r="T1" s="12" t="s">
        <v>543</v>
      </c>
      <c r="U1" s="12" t="s">
        <v>544</v>
      </c>
      <c r="V1" s="12" t="s">
        <v>545</v>
      </c>
      <c r="W1" s="12" t="s">
        <v>546</v>
      </c>
      <c r="X1" s="12" t="s">
        <v>547</v>
      </c>
      <c r="Y1" s="12" t="s">
        <v>548</v>
      </c>
      <c r="Z1" s="12" t="s">
        <v>549</v>
      </c>
      <c r="AA1" s="12" t="s">
        <v>550</v>
      </c>
      <c r="AB1" s="12" t="s">
        <v>551</v>
      </c>
      <c r="AC1" s="12" t="s">
        <v>552</v>
      </c>
      <c r="AD1" s="12" t="s">
        <v>553</v>
      </c>
      <c r="AE1" s="12" t="s">
        <v>554</v>
      </c>
      <c r="AF1" s="12" t="s">
        <v>555</v>
      </c>
      <c r="AG1" s="12" t="s">
        <v>556</v>
      </c>
      <c r="AH1" s="12" t="s">
        <v>557</v>
      </c>
      <c r="AI1" s="12" t="s">
        <v>558</v>
      </c>
      <c r="AJ1" s="12" t="s">
        <v>559</v>
      </c>
      <c r="AK1" s="12" t="s">
        <v>560</v>
      </c>
      <c r="AL1" s="12" t="s">
        <v>561</v>
      </c>
      <c r="AM1" s="12" t="s">
        <v>562</v>
      </c>
      <c r="AN1" s="12" t="s">
        <v>563</v>
      </c>
      <c r="AO1" s="12" t="s">
        <v>564</v>
      </c>
      <c r="AP1" s="12" t="s">
        <v>565</v>
      </c>
      <c r="AQ1" s="12" t="s">
        <v>566</v>
      </c>
      <c r="AR1" s="12" t="s">
        <v>567</v>
      </c>
      <c r="AS1" s="12" t="s">
        <v>568</v>
      </c>
      <c r="AT1" s="12" t="s">
        <v>569</v>
      </c>
      <c r="AU1" s="12" t="s">
        <v>570</v>
      </c>
      <c r="AV1" s="12" t="s">
        <v>571</v>
      </c>
      <c r="AW1" s="12" t="s">
        <v>572</v>
      </c>
      <c r="AX1" s="12" t="s">
        <v>573</v>
      </c>
      <c r="AY1" s="12" t="s">
        <v>574</v>
      </c>
      <c r="AZ1" s="12" t="s">
        <v>575</v>
      </c>
      <c r="BA1" s="12" t="s">
        <v>576</v>
      </c>
      <c r="BB1" s="12" t="s">
        <v>577</v>
      </c>
      <c r="BC1" s="12" t="s">
        <v>578</v>
      </c>
      <c r="BD1" s="12" t="s">
        <v>579</v>
      </c>
      <c r="BE1" s="12" t="s">
        <v>580</v>
      </c>
      <c r="BF1" s="12" t="s">
        <v>581</v>
      </c>
      <c r="BG1" s="12" t="s">
        <v>582</v>
      </c>
      <c r="BH1" s="12" t="s">
        <v>583</v>
      </c>
      <c r="BI1" s="12" t="s">
        <v>584</v>
      </c>
      <c r="BJ1" s="12" t="s">
        <v>585</v>
      </c>
      <c r="BK1" s="12" t="s">
        <v>586</v>
      </c>
      <c r="BL1" s="12" t="s">
        <v>587</v>
      </c>
      <c r="BM1" s="12" t="s">
        <v>588</v>
      </c>
      <c r="BN1" s="12" t="s">
        <v>589</v>
      </c>
      <c r="BO1" s="12" t="s">
        <v>590</v>
      </c>
      <c r="BP1" s="12" t="s">
        <v>591</v>
      </c>
      <c r="BQ1" s="12" t="s">
        <v>592</v>
      </c>
      <c r="BR1" s="12" t="s">
        <v>593</v>
      </c>
      <c r="BS1" s="12" t="s">
        <v>594</v>
      </c>
      <c r="BT1" s="12" t="s">
        <v>595</v>
      </c>
    </row>
    <row r="2" ht="12.75" customHeight="1">
      <c r="A2" s="12" t="s">
        <v>596</v>
      </c>
      <c r="B2" s="12" t="s">
        <v>597</v>
      </c>
      <c r="C2" s="12" t="s">
        <v>598</v>
      </c>
      <c r="D2" s="12" t="s">
        <v>598</v>
      </c>
      <c r="E2" s="12" t="s">
        <v>598</v>
      </c>
      <c r="F2" s="12" t="s">
        <v>597</v>
      </c>
      <c r="G2" s="12" t="s">
        <v>598</v>
      </c>
      <c r="H2" s="12" t="s">
        <v>598</v>
      </c>
      <c r="I2" s="12" t="s">
        <v>72</v>
      </c>
      <c r="J2" s="12" t="s">
        <v>599</v>
      </c>
      <c r="K2" s="12" t="s">
        <v>598</v>
      </c>
      <c r="L2" s="12" t="s">
        <v>598</v>
      </c>
      <c r="M2" s="12" t="s">
        <v>600</v>
      </c>
      <c r="N2" s="12" t="s">
        <v>601</v>
      </c>
      <c r="O2" s="12" t="s">
        <v>598</v>
      </c>
      <c r="P2" s="12" t="s">
        <v>598</v>
      </c>
      <c r="Q2" s="12" t="s">
        <v>598</v>
      </c>
      <c r="R2" s="12" t="s">
        <v>598</v>
      </c>
      <c r="S2" s="12" t="s">
        <v>598</v>
      </c>
      <c r="T2" s="12" t="s">
        <v>602</v>
      </c>
      <c r="U2" s="12" t="s">
        <v>603</v>
      </c>
      <c r="V2" s="12" t="s">
        <v>604</v>
      </c>
      <c r="W2" s="12" t="s">
        <v>605</v>
      </c>
      <c r="X2" s="12" t="s">
        <v>606</v>
      </c>
      <c r="Y2" s="12" t="s">
        <v>607</v>
      </c>
      <c r="Z2" s="12" t="s">
        <v>598</v>
      </c>
      <c r="AA2" s="12" t="s">
        <v>598</v>
      </c>
      <c r="AB2" s="12" t="s">
        <v>598</v>
      </c>
      <c r="AC2" s="12" t="s">
        <v>598</v>
      </c>
      <c r="AD2" s="12" t="s">
        <v>598</v>
      </c>
      <c r="AE2" s="12" t="s">
        <v>598</v>
      </c>
      <c r="AF2" s="12" t="s">
        <v>598</v>
      </c>
      <c r="AG2" s="12">
        <v>46.0</v>
      </c>
      <c r="AH2" s="12">
        <v>99.0</v>
      </c>
      <c r="AI2" s="12">
        <v>126.0</v>
      </c>
      <c r="AJ2" s="12">
        <v>3.0</v>
      </c>
      <c r="AK2" s="12">
        <v>33.0</v>
      </c>
      <c r="AL2" s="12" t="s">
        <v>608</v>
      </c>
      <c r="AM2" s="12" t="s">
        <v>609</v>
      </c>
      <c r="AN2" s="12" t="s">
        <v>610</v>
      </c>
      <c r="AO2" s="12" t="s">
        <v>611</v>
      </c>
      <c r="AP2" s="12" t="s">
        <v>598</v>
      </c>
      <c r="AQ2" s="12" t="s">
        <v>598</v>
      </c>
      <c r="AR2" s="12" t="s">
        <v>612</v>
      </c>
      <c r="AS2" s="12" t="s">
        <v>613</v>
      </c>
      <c r="AT2" s="12" t="s">
        <v>614</v>
      </c>
      <c r="AU2" s="12">
        <v>1998.0</v>
      </c>
      <c r="AV2" s="12">
        <v>109.0</v>
      </c>
      <c r="AW2" s="12" t="s">
        <v>615</v>
      </c>
      <c r="AX2" s="12" t="s">
        <v>598</v>
      </c>
      <c r="AY2" s="12" t="s">
        <v>598</v>
      </c>
      <c r="AZ2" s="12" t="s">
        <v>598</v>
      </c>
      <c r="BA2" s="12" t="s">
        <v>598</v>
      </c>
      <c r="BB2" s="12">
        <v>57.0</v>
      </c>
      <c r="BC2" s="12">
        <v>74.0</v>
      </c>
      <c r="BD2" s="12" t="s">
        <v>598</v>
      </c>
      <c r="BE2" s="12" t="s">
        <v>616</v>
      </c>
      <c r="BF2" s="13" t="str">
        <f>HYPERLINK("http://dx.doi.org/10.1016/S0378-1127(98)00256-4","http://dx.doi.org/10.1016/S0378-1127(98)00256-4")</f>
        <v>http://dx.doi.org/10.1016/S0378-1127(98)00256-4</v>
      </c>
      <c r="BG2" s="12" t="s">
        <v>598</v>
      </c>
      <c r="BH2" s="12" t="s">
        <v>598</v>
      </c>
      <c r="BI2" s="12">
        <v>18.0</v>
      </c>
      <c r="BJ2" s="12" t="s">
        <v>617</v>
      </c>
      <c r="BK2" s="12" t="s">
        <v>618</v>
      </c>
      <c r="BL2" s="12" t="s">
        <v>617</v>
      </c>
      <c r="BM2" s="12" t="s">
        <v>619</v>
      </c>
      <c r="BN2" s="12" t="s">
        <v>598</v>
      </c>
      <c r="BO2" s="12" t="s">
        <v>598</v>
      </c>
      <c r="BP2" s="12" t="s">
        <v>598</v>
      </c>
      <c r="BQ2" s="12" t="s">
        <v>598</v>
      </c>
      <c r="BR2" s="12" t="s">
        <v>620</v>
      </c>
      <c r="BS2" s="12" t="s">
        <v>621</v>
      </c>
      <c r="BT2" s="12" t="str">
        <f>HYPERLINK("https%3A%2F%2Fwww.webofscience.com%2Fwos%2Fwoscc%2Ffull-record%2FWOS:000076592300006","View Full Record in Web of Science")</f>
        <v>View Full Record in Web of Science</v>
      </c>
    </row>
    <row r="3" ht="12.75" customHeight="1">
      <c r="A3" s="12" t="s">
        <v>596</v>
      </c>
      <c r="B3" s="12" t="s">
        <v>622</v>
      </c>
      <c r="C3" s="12" t="s">
        <v>598</v>
      </c>
      <c r="D3" s="12" t="s">
        <v>598</v>
      </c>
      <c r="E3" s="12" t="s">
        <v>598</v>
      </c>
      <c r="F3" s="12" t="s">
        <v>622</v>
      </c>
      <c r="G3" s="12" t="s">
        <v>598</v>
      </c>
      <c r="H3" s="12" t="s">
        <v>598</v>
      </c>
      <c r="I3" s="12" t="s">
        <v>623</v>
      </c>
      <c r="J3" s="12" t="s">
        <v>624</v>
      </c>
      <c r="K3" s="12" t="s">
        <v>598</v>
      </c>
      <c r="L3" s="12" t="s">
        <v>598</v>
      </c>
      <c r="M3" s="12" t="s">
        <v>600</v>
      </c>
      <c r="N3" s="12" t="s">
        <v>601</v>
      </c>
      <c r="O3" s="12" t="s">
        <v>598</v>
      </c>
      <c r="P3" s="12" t="s">
        <v>598</v>
      </c>
      <c r="Q3" s="12" t="s">
        <v>598</v>
      </c>
      <c r="R3" s="12" t="s">
        <v>598</v>
      </c>
      <c r="S3" s="12" t="s">
        <v>598</v>
      </c>
      <c r="T3" s="12" t="s">
        <v>625</v>
      </c>
      <c r="U3" s="12" t="s">
        <v>626</v>
      </c>
      <c r="V3" s="12" t="s">
        <v>627</v>
      </c>
      <c r="W3" s="12" t="s">
        <v>628</v>
      </c>
      <c r="X3" s="12" t="s">
        <v>629</v>
      </c>
      <c r="Y3" s="12" t="s">
        <v>630</v>
      </c>
      <c r="Z3" s="12" t="s">
        <v>598</v>
      </c>
      <c r="AA3" s="12" t="s">
        <v>598</v>
      </c>
      <c r="AB3" s="12" t="s">
        <v>598</v>
      </c>
      <c r="AC3" s="12" t="s">
        <v>598</v>
      </c>
      <c r="AD3" s="12" t="s">
        <v>598</v>
      </c>
      <c r="AE3" s="12" t="s">
        <v>598</v>
      </c>
      <c r="AF3" s="12" t="s">
        <v>598</v>
      </c>
      <c r="AG3" s="12">
        <v>39.0</v>
      </c>
      <c r="AH3" s="12">
        <v>35.0</v>
      </c>
      <c r="AI3" s="12">
        <v>40.0</v>
      </c>
      <c r="AJ3" s="12">
        <v>0.0</v>
      </c>
      <c r="AK3" s="12">
        <v>17.0</v>
      </c>
      <c r="AL3" s="12" t="s">
        <v>608</v>
      </c>
      <c r="AM3" s="12" t="s">
        <v>609</v>
      </c>
      <c r="AN3" s="12" t="s">
        <v>610</v>
      </c>
      <c r="AO3" s="12" t="s">
        <v>631</v>
      </c>
      <c r="AP3" s="12" t="s">
        <v>598</v>
      </c>
      <c r="AQ3" s="12" t="s">
        <v>598</v>
      </c>
      <c r="AR3" s="12" t="s">
        <v>632</v>
      </c>
      <c r="AS3" s="12" t="s">
        <v>633</v>
      </c>
      <c r="AT3" s="12" t="s">
        <v>634</v>
      </c>
      <c r="AU3" s="12">
        <v>1999.0</v>
      </c>
      <c r="AV3" s="12">
        <v>50.0</v>
      </c>
      <c r="AW3" s="12" t="s">
        <v>635</v>
      </c>
      <c r="AX3" s="12" t="s">
        <v>598</v>
      </c>
      <c r="AY3" s="12" t="s">
        <v>598</v>
      </c>
      <c r="AZ3" s="12" t="s">
        <v>598</v>
      </c>
      <c r="BA3" s="12" t="s">
        <v>598</v>
      </c>
      <c r="BB3" s="12">
        <v>283.0</v>
      </c>
      <c r="BC3" s="12">
        <v>293.0</v>
      </c>
      <c r="BD3" s="12" t="s">
        <v>598</v>
      </c>
      <c r="BE3" s="12" t="s">
        <v>636</v>
      </c>
      <c r="BF3" s="13" t="str">
        <f>HYPERLINK("http://dx.doi.org/10.1016/S0167-1987(99)00017-3","http://dx.doi.org/10.1016/S0167-1987(99)00017-3")</f>
        <v>http://dx.doi.org/10.1016/S0167-1987(99)00017-3</v>
      </c>
      <c r="BG3" s="12" t="s">
        <v>598</v>
      </c>
      <c r="BH3" s="12" t="s">
        <v>598</v>
      </c>
      <c r="BI3" s="12">
        <v>11.0</v>
      </c>
      <c r="BJ3" s="12" t="s">
        <v>637</v>
      </c>
      <c r="BK3" s="12" t="s">
        <v>618</v>
      </c>
      <c r="BL3" s="12" t="s">
        <v>638</v>
      </c>
      <c r="BM3" s="12" t="s">
        <v>639</v>
      </c>
      <c r="BN3" s="12" t="s">
        <v>598</v>
      </c>
      <c r="BO3" s="12" t="s">
        <v>598</v>
      </c>
      <c r="BP3" s="12" t="s">
        <v>598</v>
      </c>
      <c r="BQ3" s="12" t="s">
        <v>598</v>
      </c>
      <c r="BR3" s="12" t="s">
        <v>620</v>
      </c>
      <c r="BS3" s="12" t="s">
        <v>640</v>
      </c>
      <c r="BT3" s="12" t="str">
        <f>HYPERLINK("https%3A%2F%2Fwww.webofscience.com%2Fwos%2Fwoscc%2Ffull-record%2FWOS:000080892900009","View Full Record in Web of Science")</f>
        <v>View Full Record in Web of Science</v>
      </c>
    </row>
    <row r="4" ht="12.75" customHeight="1">
      <c r="A4" s="12" t="s">
        <v>596</v>
      </c>
      <c r="B4" s="12" t="s">
        <v>641</v>
      </c>
      <c r="C4" s="12" t="s">
        <v>598</v>
      </c>
      <c r="D4" s="12" t="s">
        <v>598</v>
      </c>
      <c r="E4" s="12" t="s">
        <v>598</v>
      </c>
      <c r="F4" s="12" t="s">
        <v>641</v>
      </c>
      <c r="G4" s="12" t="s">
        <v>598</v>
      </c>
      <c r="H4" s="12" t="s">
        <v>598</v>
      </c>
      <c r="I4" s="12" t="s">
        <v>76</v>
      </c>
      <c r="J4" s="12" t="s">
        <v>642</v>
      </c>
      <c r="K4" s="12" t="s">
        <v>598</v>
      </c>
      <c r="L4" s="12" t="s">
        <v>598</v>
      </c>
      <c r="M4" s="12" t="s">
        <v>600</v>
      </c>
      <c r="N4" s="12" t="s">
        <v>601</v>
      </c>
      <c r="O4" s="12" t="s">
        <v>598</v>
      </c>
      <c r="P4" s="12" t="s">
        <v>598</v>
      </c>
      <c r="Q4" s="12" t="s">
        <v>598</v>
      </c>
      <c r="R4" s="12" t="s">
        <v>598</v>
      </c>
      <c r="S4" s="12" t="s">
        <v>598</v>
      </c>
      <c r="T4" s="12" t="s">
        <v>643</v>
      </c>
      <c r="U4" s="12" t="s">
        <v>644</v>
      </c>
      <c r="V4" s="12" t="s">
        <v>645</v>
      </c>
      <c r="W4" s="12" t="s">
        <v>646</v>
      </c>
      <c r="X4" s="12" t="s">
        <v>647</v>
      </c>
      <c r="Y4" s="12" t="s">
        <v>648</v>
      </c>
      <c r="Z4" s="12" t="s">
        <v>598</v>
      </c>
      <c r="AA4" s="12" t="s">
        <v>649</v>
      </c>
      <c r="AB4" s="12" t="s">
        <v>650</v>
      </c>
      <c r="AC4" s="12" t="s">
        <v>598</v>
      </c>
      <c r="AD4" s="12" t="s">
        <v>598</v>
      </c>
      <c r="AE4" s="12" t="s">
        <v>598</v>
      </c>
      <c r="AF4" s="12" t="s">
        <v>598</v>
      </c>
      <c r="AG4" s="12">
        <v>51.0</v>
      </c>
      <c r="AH4" s="12">
        <v>87.0</v>
      </c>
      <c r="AI4" s="12">
        <v>109.0</v>
      </c>
      <c r="AJ4" s="12">
        <v>2.0</v>
      </c>
      <c r="AK4" s="12">
        <v>72.0</v>
      </c>
      <c r="AL4" s="12" t="s">
        <v>651</v>
      </c>
      <c r="AM4" s="12" t="s">
        <v>652</v>
      </c>
      <c r="AN4" s="12" t="s">
        <v>653</v>
      </c>
      <c r="AO4" s="12" t="s">
        <v>654</v>
      </c>
      <c r="AP4" s="12" t="s">
        <v>598</v>
      </c>
      <c r="AQ4" s="12" t="s">
        <v>598</v>
      </c>
      <c r="AR4" s="12" t="s">
        <v>655</v>
      </c>
      <c r="AS4" s="12" t="s">
        <v>656</v>
      </c>
      <c r="AT4" s="12" t="s">
        <v>657</v>
      </c>
      <c r="AU4" s="12">
        <v>1999.0</v>
      </c>
      <c r="AV4" s="12">
        <v>31.0</v>
      </c>
      <c r="AW4" s="12">
        <v>12.0</v>
      </c>
      <c r="AX4" s="12" t="s">
        <v>598</v>
      </c>
      <c r="AY4" s="12" t="s">
        <v>598</v>
      </c>
      <c r="AZ4" s="12" t="s">
        <v>598</v>
      </c>
      <c r="BA4" s="12" t="s">
        <v>598</v>
      </c>
      <c r="BB4" s="12">
        <v>1691.0</v>
      </c>
      <c r="BC4" s="12">
        <v>1706.0</v>
      </c>
      <c r="BD4" s="12" t="s">
        <v>598</v>
      </c>
      <c r="BE4" s="12" t="s">
        <v>658</v>
      </c>
      <c r="BF4" s="13" t="str">
        <f>HYPERLINK("http://dx.doi.org/10.1016/S0038-0717(99)00089-9","http://dx.doi.org/10.1016/S0038-0717(99)00089-9")</f>
        <v>http://dx.doi.org/10.1016/S0038-0717(99)00089-9</v>
      </c>
      <c r="BG4" s="12" t="s">
        <v>598</v>
      </c>
      <c r="BH4" s="12" t="s">
        <v>598</v>
      </c>
      <c r="BI4" s="12">
        <v>16.0</v>
      </c>
      <c r="BJ4" s="12" t="s">
        <v>637</v>
      </c>
      <c r="BK4" s="12" t="s">
        <v>618</v>
      </c>
      <c r="BL4" s="12" t="s">
        <v>638</v>
      </c>
      <c r="BM4" s="12" t="s">
        <v>659</v>
      </c>
      <c r="BN4" s="12" t="s">
        <v>598</v>
      </c>
      <c r="BO4" s="12" t="s">
        <v>598</v>
      </c>
      <c r="BP4" s="12" t="s">
        <v>598</v>
      </c>
      <c r="BQ4" s="12" t="s">
        <v>598</v>
      </c>
      <c r="BR4" s="12" t="s">
        <v>620</v>
      </c>
      <c r="BS4" s="12" t="s">
        <v>660</v>
      </c>
      <c r="BT4" s="12" t="str">
        <f>HYPERLINK("https%3A%2F%2Fwww.webofscience.com%2Fwos%2Fwoscc%2Ffull-record%2FWOS:000082491400009","View Full Record in Web of Science")</f>
        <v>View Full Record in Web of Science</v>
      </c>
    </row>
    <row r="5" ht="12.75" customHeight="1">
      <c r="A5" s="12" t="s">
        <v>596</v>
      </c>
      <c r="B5" s="12" t="s">
        <v>661</v>
      </c>
      <c r="C5" s="12" t="s">
        <v>598</v>
      </c>
      <c r="D5" s="12" t="s">
        <v>598</v>
      </c>
      <c r="E5" s="12" t="s">
        <v>598</v>
      </c>
      <c r="F5" s="12" t="s">
        <v>661</v>
      </c>
      <c r="G5" s="12" t="s">
        <v>598</v>
      </c>
      <c r="H5" s="12" t="s">
        <v>598</v>
      </c>
      <c r="I5" s="12" t="s">
        <v>224</v>
      </c>
      <c r="J5" s="12" t="s">
        <v>662</v>
      </c>
      <c r="K5" s="12" t="s">
        <v>598</v>
      </c>
      <c r="L5" s="12" t="s">
        <v>598</v>
      </c>
      <c r="M5" s="12" t="s">
        <v>600</v>
      </c>
      <c r="N5" s="12" t="s">
        <v>601</v>
      </c>
      <c r="O5" s="12" t="s">
        <v>598</v>
      </c>
      <c r="P5" s="12" t="s">
        <v>598</v>
      </c>
      <c r="Q5" s="12" t="s">
        <v>598</v>
      </c>
      <c r="R5" s="12" t="s">
        <v>598</v>
      </c>
      <c r="S5" s="12" t="s">
        <v>598</v>
      </c>
      <c r="T5" s="12" t="s">
        <v>663</v>
      </c>
      <c r="U5" s="12" t="s">
        <v>664</v>
      </c>
      <c r="V5" s="12" t="s">
        <v>665</v>
      </c>
      <c r="W5" s="12" t="s">
        <v>666</v>
      </c>
      <c r="X5" s="12" t="s">
        <v>667</v>
      </c>
      <c r="Y5" s="12" t="s">
        <v>668</v>
      </c>
      <c r="Z5" s="12" t="s">
        <v>669</v>
      </c>
      <c r="AA5" s="12" t="s">
        <v>598</v>
      </c>
      <c r="AB5" s="12" t="s">
        <v>598</v>
      </c>
      <c r="AC5" s="12" t="s">
        <v>598</v>
      </c>
      <c r="AD5" s="12" t="s">
        <v>598</v>
      </c>
      <c r="AE5" s="12" t="s">
        <v>598</v>
      </c>
      <c r="AF5" s="12" t="s">
        <v>598</v>
      </c>
      <c r="AG5" s="12">
        <v>37.0</v>
      </c>
      <c r="AH5" s="12">
        <v>89.0</v>
      </c>
      <c r="AI5" s="12">
        <v>117.0</v>
      </c>
      <c r="AJ5" s="12">
        <v>0.0</v>
      </c>
      <c r="AK5" s="12">
        <v>33.0</v>
      </c>
      <c r="AL5" s="12" t="s">
        <v>670</v>
      </c>
      <c r="AM5" s="12" t="s">
        <v>671</v>
      </c>
      <c r="AN5" s="12" t="s">
        <v>672</v>
      </c>
      <c r="AO5" s="12" t="s">
        <v>673</v>
      </c>
      <c r="AP5" s="12" t="s">
        <v>674</v>
      </c>
      <c r="AQ5" s="12" t="s">
        <v>598</v>
      </c>
      <c r="AR5" s="12" t="s">
        <v>675</v>
      </c>
      <c r="AS5" s="12" t="s">
        <v>676</v>
      </c>
      <c r="AT5" s="12" t="s">
        <v>657</v>
      </c>
      <c r="AU5" s="12">
        <v>1999.0</v>
      </c>
      <c r="AV5" s="12">
        <v>8.0</v>
      </c>
      <c r="AW5" s="12">
        <v>10.0</v>
      </c>
      <c r="AX5" s="12" t="s">
        <v>598</v>
      </c>
      <c r="AY5" s="12" t="s">
        <v>598</v>
      </c>
      <c r="AZ5" s="12" t="s">
        <v>598</v>
      </c>
      <c r="BA5" s="12" t="s">
        <v>598</v>
      </c>
      <c r="BB5" s="12">
        <v>1365.0</v>
      </c>
      <c r="BC5" s="12">
        <v>1381.0</v>
      </c>
      <c r="BD5" s="12" t="s">
        <v>598</v>
      </c>
      <c r="BE5" s="12" t="s">
        <v>677</v>
      </c>
      <c r="BF5" s="13" t="str">
        <f>HYPERLINK("http://dx.doi.org/10.1023/A:1008949407385","http://dx.doi.org/10.1023/A:1008949407385")</f>
        <v>http://dx.doi.org/10.1023/A:1008949407385</v>
      </c>
      <c r="BG5" s="12" t="s">
        <v>598</v>
      </c>
      <c r="BH5" s="12" t="s">
        <v>598</v>
      </c>
      <c r="BI5" s="12">
        <v>17.0</v>
      </c>
      <c r="BJ5" s="12" t="s">
        <v>678</v>
      </c>
      <c r="BK5" s="12" t="s">
        <v>618</v>
      </c>
      <c r="BL5" s="12" t="s">
        <v>679</v>
      </c>
      <c r="BM5" s="12" t="s">
        <v>680</v>
      </c>
      <c r="BN5" s="12" t="s">
        <v>598</v>
      </c>
      <c r="BO5" s="12" t="s">
        <v>598</v>
      </c>
      <c r="BP5" s="12" t="s">
        <v>598</v>
      </c>
      <c r="BQ5" s="12" t="s">
        <v>598</v>
      </c>
      <c r="BR5" s="12" t="s">
        <v>620</v>
      </c>
      <c r="BS5" s="12" t="s">
        <v>681</v>
      </c>
      <c r="BT5" s="12" t="str">
        <f>HYPERLINK("https%3A%2F%2Fwww.webofscience.com%2Fwos%2Fwoscc%2Ffull-record%2FWOS:000083412800004","View Full Record in Web of Science")</f>
        <v>View Full Record in Web of Science</v>
      </c>
    </row>
    <row r="6" ht="12.75" customHeight="1">
      <c r="A6" s="12" t="s">
        <v>596</v>
      </c>
      <c r="B6" s="12" t="s">
        <v>682</v>
      </c>
      <c r="C6" s="12" t="s">
        <v>598</v>
      </c>
      <c r="D6" s="12" t="s">
        <v>598</v>
      </c>
      <c r="E6" s="12" t="s">
        <v>598</v>
      </c>
      <c r="F6" s="12" t="s">
        <v>682</v>
      </c>
      <c r="G6" s="12" t="s">
        <v>598</v>
      </c>
      <c r="H6" s="12" t="s">
        <v>598</v>
      </c>
      <c r="I6" s="12" t="s">
        <v>96</v>
      </c>
      <c r="J6" s="12" t="s">
        <v>683</v>
      </c>
      <c r="K6" s="12" t="s">
        <v>598</v>
      </c>
      <c r="L6" s="12" t="s">
        <v>598</v>
      </c>
      <c r="M6" s="12" t="s">
        <v>600</v>
      </c>
      <c r="N6" s="12" t="s">
        <v>601</v>
      </c>
      <c r="O6" s="12" t="s">
        <v>598</v>
      </c>
      <c r="P6" s="12" t="s">
        <v>598</v>
      </c>
      <c r="Q6" s="12" t="s">
        <v>598</v>
      </c>
      <c r="R6" s="12" t="s">
        <v>598</v>
      </c>
      <c r="S6" s="12" t="s">
        <v>598</v>
      </c>
      <c r="T6" s="12" t="s">
        <v>684</v>
      </c>
      <c r="U6" s="12" t="s">
        <v>685</v>
      </c>
      <c r="V6" s="12" t="s">
        <v>686</v>
      </c>
      <c r="W6" s="12" t="s">
        <v>687</v>
      </c>
      <c r="X6" s="12" t="s">
        <v>688</v>
      </c>
      <c r="Y6" s="12" t="s">
        <v>689</v>
      </c>
      <c r="Z6" s="12" t="s">
        <v>598</v>
      </c>
      <c r="AA6" s="12" t="s">
        <v>598</v>
      </c>
      <c r="AB6" s="12" t="s">
        <v>598</v>
      </c>
      <c r="AC6" s="12" t="s">
        <v>598</v>
      </c>
      <c r="AD6" s="12" t="s">
        <v>598</v>
      </c>
      <c r="AE6" s="12" t="s">
        <v>598</v>
      </c>
      <c r="AF6" s="12" t="s">
        <v>598</v>
      </c>
      <c r="AG6" s="12">
        <v>29.0</v>
      </c>
      <c r="AH6" s="12">
        <v>13.0</v>
      </c>
      <c r="AI6" s="12">
        <v>15.0</v>
      </c>
      <c r="AJ6" s="12">
        <v>0.0</v>
      </c>
      <c r="AK6" s="12">
        <v>6.0</v>
      </c>
      <c r="AL6" s="12" t="s">
        <v>608</v>
      </c>
      <c r="AM6" s="12" t="s">
        <v>609</v>
      </c>
      <c r="AN6" s="12" t="s">
        <v>610</v>
      </c>
      <c r="AO6" s="12" t="s">
        <v>690</v>
      </c>
      <c r="AP6" s="12" t="s">
        <v>598</v>
      </c>
      <c r="AQ6" s="12" t="s">
        <v>598</v>
      </c>
      <c r="AR6" s="12" t="s">
        <v>691</v>
      </c>
      <c r="AS6" s="12" t="s">
        <v>692</v>
      </c>
      <c r="AT6" s="12" t="s">
        <v>693</v>
      </c>
      <c r="AU6" s="12">
        <v>2000.0</v>
      </c>
      <c r="AV6" s="12">
        <v>81.0</v>
      </c>
      <c r="AW6" s="12">
        <v>3.0</v>
      </c>
      <c r="AX6" s="12" t="s">
        <v>598</v>
      </c>
      <c r="AY6" s="12" t="s">
        <v>598</v>
      </c>
      <c r="AZ6" s="12" t="s">
        <v>598</v>
      </c>
      <c r="BA6" s="12" t="s">
        <v>598</v>
      </c>
      <c r="BB6" s="12">
        <v>209.0</v>
      </c>
      <c r="BC6" s="12">
        <v>216.0</v>
      </c>
      <c r="BD6" s="12" t="s">
        <v>598</v>
      </c>
      <c r="BE6" s="12" t="s">
        <v>694</v>
      </c>
      <c r="BF6" s="13" t="str">
        <f>HYPERLINK("http://dx.doi.org/10.1016/S0167-8809(00)00158-4","http://dx.doi.org/10.1016/S0167-8809(00)00158-4")</f>
        <v>http://dx.doi.org/10.1016/S0167-8809(00)00158-4</v>
      </c>
      <c r="BG6" s="12" t="s">
        <v>598</v>
      </c>
      <c r="BH6" s="12" t="s">
        <v>598</v>
      </c>
      <c r="BI6" s="12">
        <v>8.0</v>
      </c>
      <c r="BJ6" s="12" t="s">
        <v>695</v>
      </c>
      <c r="BK6" s="12" t="s">
        <v>618</v>
      </c>
      <c r="BL6" s="12" t="s">
        <v>696</v>
      </c>
      <c r="BM6" s="12" t="s">
        <v>697</v>
      </c>
      <c r="BN6" s="12" t="s">
        <v>598</v>
      </c>
      <c r="BO6" s="12" t="s">
        <v>598</v>
      </c>
      <c r="BP6" s="12" t="s">
        <v>598</v>
      </c>
      <c r="BQ6" s="12" t="s">
        <v>598</v>
      </c>
      <c r="BR6" s="12" t="s">
        <v>620</v>
      </c>
      <c r="BS6" s="12" t="s">
        <v>698</v>
      </c>
      <c r="BT6" s="12" t="str">
        <f>HYPERLINK("https%3A%2F%2Fwww.webofscience.com%2Fwos%2Fwoscc%2Ffull-record%2FWOS:000089961200005","View Full Record in Web of Science")</f>
        <v>View Full Record in Web of Science</v>
      </c>
    </row>
    <row r="7" ht="12.75" customHeight="1">
      <c r="A7" s="12" t="s">
        <v>596</v>
      </c>
      <c r="B7" s="12" t="s">
        <v>699</v>
      </c>
      <c r="C7" s="12" t="s">
        <v>598</v>
      </c>
      <c r="D7" s="12" t="s">
        <v>598</v>
      </c>
      <c r="E7" s="12" t="s">
        <v>598</v>
      </c>
      <c r="F7" s="12" t="s">
        <v>699</v>
      </c>
      <c r="G7" s="12" t="s">
        <v>598</v>
      </c>
      <c r="H7" s="12" t="s">
        <v>598</v>
      </c>
      <c r="I7" s="12" t="s">
        <v>216</v>
      </c>
      <c r="J7" s="12" t="s">
        <v>700</v>
      </c>
      <c r="K7" s="12" t="s">
        <v>598</v>
      </c>
      <c r="L7" s="12" t="s">
        <v>598</v>
      </c>
      <c r="M7" s="12" t="s">
        <v>600</v>
      </c>
      <c r="N7" s="12" t="s">
        <v>601</v>
      </c>
      <c r="O7" s="12" t="s">
        <v>598</v>
      </c>
      <c r="P7" s="12" t="s">
        <v>598</v>
      </c>
      <c r="Q7" s="12" t="s">
        <v>598</v>
      </c>
      <c r="R7" s="12" t="s">
        <v>598</v>
      </c>
      <c r="S7" s="12" t="s">
        <v>598</v>
      </c>
      <c r="T7" s="12" t="s">
        <v>701</v>
      </c>
      <c r="U7" s="12" t="s">
        <v>702</v>
      </c>
      <c r="V7" s="12" t="s">
        <v>703</v>
      </c>
      <c r="W7" s="12" t="s">
        <v>704</v>
      </c>
      <c r="X7" s="12" t="s">
        <v>705</v>
      </c>
      <c r="Y7" s="12" t="s">
        <v>706</v>
      </c>
      <c r="Z7" s="12" t="s">
        <v>707</v>
      </c>
      <c r="AA7" s="12" t="s">
        <v>598</v>
      </c>
      <c r="AB7" s="12" t="s">
        <v>598</v>
      </c>
      <c r="AC7" s="12" t="s">
        <v>598</v>
      </c>
      <c r="AD7" s="12" t="s">
        <v>598</v>
      </c>
      <c r="AE7" s="12" t="s">
        <v>598</v>
      </c>
      <c r="AF7" s="12" t="s">
        <v>598</v>
      </c>
      <c r="AG7" s="12">
        <v>66.0</v>
      </c>
      <c r="AH7" s="12">
        <v>119.0</v>
      </c>
      <c r="AI7" s="12">
        <v>134.0</v>
      </c>
      <c r="AJ7" s="12">
        <v>3.0</v>
      </c>
      <c r="AK7" s="12">
        <v>92.0</v>
      </c>
      <c r="AL7" s="12" t="s">
        <v>708</v>
      </c>
      <c r="AM7" s="12" t="s">
        <v>709</v>
      </c>
      <c r="AN7" s="12" t="s">
        <v>710</v>
      </c>
      <c r="AO7" s="12" t="s">
        <v>711</v>
      </c>
      <c r="AP7" s="12" t="s">
        <v>712</v>
      </c>
      <c r="AQ7" s="12" t="s">
        <v>598</v>
      </c>
      <c r="AR7" s="12" t="s">
        <v>713</v>
      </c>
      <c r="AS7" s="12" t="s">
        <v>714</v>
      </c>
      <c r="AT7" s="12" t="s">
        <v>715</v>
      </c>
      <c r="AU7" s="12">
        <v>2000.0</v>
      </c>
      <c r="AV7" s="12">
        <v>37.0</v>
      </c>
      <c r="AW7" s="12">
        <v>6.0</v>
      </c>
      <c r="AX7" s="12" t="s">
        <v>598</v>
      </c>
      <c r="AY7" s="12" t="s">
        <v>598</v>
      </c>
      <c r="AZ7" s="12" t="s">
        <v>598</v>
      </c>
      <c r="BA7" s="12" t="s">
        <v>598</v>
      </c>
      <c r="BB7" s="12">
        <v>1029.0</v>
      </c>
      <c r="BC7" s="12">
        <v>1043.0</v>
      </c>
      <c r="BD7" s="12" t="s">
        <v>598</v>
      </c>
      <c r="BE7" s="12" t="s">
        <v>716</v>
      </c>
      <c r="BF7" s="13" t="str">
        <f>HYPERLINK("http://dx.doi.org/10.1046/j.1365-2664.2000.00566.x","http://dx.doi.org/10.1046/j.1365-2664.2000.00566.x")</f>
        <v>http://dx.doi.org/10.1046/j.1365-2664.2000.00566.x</v>
      </c>
      <c r="BG7" s="12" t="s">
        <v>598</v>
      </c>
      <c r="BH7" s="12" t="s">
        <v>598</v>
      </c>
      <c r="BI7" s="12">
        <v>15.0</v>
      </c>
      <c r="BJ7" s="12" t="s">
        <v>717</v>
      </c>
      <c r="BK7" s="12" t="s">
        <v>618</v>
      </c>
      <c r="BL7" s="12" t="s">
        <v>679</v>
      </c>
      <c r="BM7" s="12" t="s">
        <v>718</v>
      </c>
      <c r="BN7" s="12" t="s">
        <v>598</v>
      </c>
      <c r="BO7" s="12" t="s">
        <v>719</v>
      </c>
      <c r="BP7" s="12" t="s">
        <v>598</v>
      </c>
      <c r="BQ7" s="12" t="s">
        <v>598</v>
      </c>
      <c r="BR7" s="12" t="s">
        <v>620</v>
      </c>
      <c r="BS7" s="12" t="s">
        <v>720</v>
      </c>
      <c r="BT7" s="12" t="str">
        <f>HYPERLINK("https%3A%2F%2Fwww.webofscience.com%2Fwos%2Fwoscc%2Ffull-record%2FWOS:000166979900012","View Full Record in Web of Science")</f>
        <v>View Full Record in Web of Science</v>
      </c>
    </row>
    <row r="8" ht="12.75" customHeight="1">
      <c r="A8" s="12" t="s">
        <v>596</v>
      </c>
      <c r="B8" s="12" t="s">
        <v>721</v>
      </c>
      <c r="C8" s="12" t="s">
        <v>598</v>
      </c>
      <c r="D8" s="12" t="s">
        <v>598</v>
      </c>
      <c r="E8" s="12" t="s">
        <v>598</v>
      </c>
      <c r="F8" s="12" t="s">
        <v>721</v>
      </c>
      <c r="G8" s="12" t="s">
        <v>598</v>
      </c>
      <c r="H8" s="12" t="s">
        <v>598</v>
      </c>
      <c r="I8" s="12" t="s">
        <v>212</v>
      </c>
      <c r="J8" s="12" t="s">
        <v>599</v>
      </c>
      <c r="K8" s="12" t="s">
        <v>598</v>
      </c>
      <c r="L8" s="12" t="s">
        <v>598</v>
      </c>
      <c r="M8" s="12" t="s">
        <v>600</v>
      </c>
      <c r="N8" s="12" t="s">
        <v>601</v>
      </c>
      <c r="O8" s="12" t="s">
        <v>598</v>
      </c>
      <c r="P8" s="12" t="s">
        <v>598</v>
      </c>
      <c r="Q8" s="12" t="s">
        <v>598</v>
      </c>
      <c r="R8" s="12" t="s">
        <v>598</v>
      </c>
      <c r="S8" s="12" t="s">
        <v>598</v>
      </c>
      <c r="T8" s="12" t="s">
        <v>722</v>
      </c>
      <c r="U8" s="12" t="s">
        <v>723</v>
      </c>
      <c r="V8" s="12" t="s">
        <v>724</v>
      </c>
      <c r="W8" s="12" t="s">
        <v>725</v>
      </c>
      <c r="X8" s="12" t="s">
        <v>726</v>
      </c>
      <c r="Y8" s="12" t="s">
        <v>727</v>
      </c>
      <c r="Z8" s="12" t="s">
        <v>728</v>
      </c>
      <c r="AA8" s="12" t="s">
        <v>729</v>
      </c>
      <c r="AB8" s="12" t="s">
        <v>730</v>
      </c>
      <c r="AC8" s="12" t="s">
        <v>598</v>
      </c>
      <c r="AD8" s="12" t="s">
        <v>598</v>
      </c>
      <c r="AE8" s="12" t="s">
        <v>598</v>
      </c>
      <c r="AF8" s="12" t="s">
        <v>598</v>
      </c>
      <c r="AG8" s="12">
        <v>37.0</v>
      </c>
      <c r="AH8" s="12">
        <v>186.0</v>
      </c>
      <c r="AI8" s="12">
        <v>252.0</v>
      </c>
      <c r="AJ8" s="12">
        <v>0.0</v>
      </c>
      <c r="AK8" s="12">
        <v>87.0</v>
      </c>
      <c r="AL8" s="12" t="s">
        <v>731</v>
      </c>
      <c r="AM8" s="12" t="s">
        <v>609</v>
      </c>
      <c r="AN8" s="12" t="s">
        <v>732</v>
      </c>
      <c r="AO8" s="12" t="s">
        <v>611</v>
      </c>
      <c r="AP8" s="12" t="s">
        <v>733</v>
      </c>
      <c r="AQ8" s="12" t="s">
        <v>598</v>
      </c>
      <c r="AR8" s="12" t="s">
        <v>612</v>
      </c>
      <c r="AS8" s="12" t="s">
        <v>613</v>
      </c>
      <c r="AT8" s="12" t="s">
        <v>734</v>
      </c>
      <c r="AU8" s="12">
        <v>2001.0</v>
      </c>
      <c r="AV8" s="12">
        <v>146.0</v>
      </c>
      <c r="AW8" s="12" t="s">
        <v>615</v>
      </c>
      <c r="AX8" s="12" t="s">
        <v>598</v>
      </c>
      <c r="AY8" s="12" t="s">
        <v>598</v>
      </c>
      <c r="AZ8" s="12" t="s">
        <v>598</v>
      </c>
      <c r="BA8" s="12" t="s">
        <v>598</v>
      </c>
      <c r="BB8" s="12">
        <v>211.0</v>
      </c>
      <c r="BC8" s="12">
        <v>222.0</v>
      </c>
      <c r="BD8" s="12" t="s">
        <v>598</v>
      </c>
      <c r="BE8" s="12" t="s">
        <v>735</v>
      </c>
      <c r="BF8" s="13" t="str">
        <f>HYPERLINK("http://dx.doi.org/10.1016/S0378-1127(00)00463-1","http://dx.doi.org/10.1016/S0378-1127(00)00463-1")</f>
        <v>http://dx.doi.org/10.1016/S0378-1127(00)00463-1</v>
      </c>
      <c r="BG8" s="12" t="s">
        <v>598</v>
      </c>
      <c r="BH8" s="12" t="s">
        <v>598</v>
      </c>
      <c r="BI8" s="12">
        <v>12.0</v>
      </c>
      <c r="BJ8" s="12" t="s">
        <v>617</v>
      </c>
      <c r="BK8" s="12" t="s">
        <v>618</v>
      </c>
      <c r="BL8" s="12" t="s">
        <v>617</v>
      </c>
      <c r="BM8" s="12" t="s">
        <v>736</v>
      </c>
      <c r="BN8" s="12" t="s">
        <v>598</v>
      </c>
      <c r="BO8" s="12" t="s">
        <v>598</v>
      </c>
      <c r="BP8" s="12" t="s">
        <v>598</v>
      </c>
      <c r="BQ8" s="12" t="s">
        <v>598</v>
      </c>
      <c r="BR8" s="12" t="s">
        <v>620</v>
      </c>
      <c r="BS8" s="12" t="s">
        <v>737</v>
      </c>
      <c r="BT8" s="12" t="str">
        <f>HYPERLINK("https%3A%2F%2Fwww.webofscience.com%2Fwos%2Fwoscc%2Ffull-record%2FWOS:000168636800017","View Full Record in Web of Science")</f>
        <v>View Full Record in Web of Science</v>
      </c>
    </row>
    <row r="9" ht="12.75" customHeight="1">
      <c r="A9" s="12" t="s">
        <v>596</v>
      </c>
      <c r="B9" s="12" t="s">
        <v>738</v>
      </c>
      <c r="C9" s="12" t="s">
        <v>598</v>
      </c>
      <c r="D9" s="12" t="s">
        <v>598</v>
      </c>
      <c r="E9" s="12" t="s">
        <v>598</v>
      </c>
      <c r="F9" s="12" t="s">
        <v>738</v>
      </c>
      <c r="G9" s="12" t="s">
        <v>598</v>
      </c>
      <c r="H9" s="12" t="s">
        <v>598</v>
      </c>
      <c r="I9" s="12" t="s">
        <v>208</v>
      </c>
      <c r="J9" s="12" t="s">
        <v>739</v>
      </c>
      <c r="K9" s="12" t="s">
        <v>598</v>
      </c>
      <c r="L9" s="12" t="s">
        <v>598</v>
      </c>
      <c r="M9" s="12" t="s">
        <v>600</v>
      </c>
      <c r="N9" s="12" t="s">
        <v>601</v>
      </c>
      <c r="O9" s="12" t="s">
        <v>598</v>
      </c>
      <c r="P9" s="12" t="s">
        <v>598</v>
      </c>
      <c r="Q9" s="12" t="s">
        <v>598</v>
      </c>
      <c r="R9" s="12" t="s">
        <v>598</v>
      </c>
      <c r="S9" s="12" t="s">
        <v>598</v>
      </c>
      <c r="T9" s="12" t="s">
        <v>740</v>
      </c>
      <c r="U9" s="12" t="s">
        <v>741</v>
      </c>
      <c r="V9" s="12" t="s">
        <v>742</v>
      </c>
      <c r="W9" s="12" t="s">
        <v>743</v>
      </c>
      <c r="X9" s="12" t="s">
        <v>598</v>
      </c>
      <c r="Y9" s="12" t="s">
        <v>744</v>
      </c>
      <c r="Z9" s="12" t="s">
        <v>745</v>
      </c>
      <c r="AA9" s="12" t="s">
        <v>598</v>
      </c>
      <c r="AB9" s="12" t="s">
        <v>598</v>
      </c>
      <c r="AC9" s="12" t="s">
        <v>598</v>
      </c>
      <c r="AD9" s="12" t="s">
        <v>598</v>
      </c>
      <c r="AE9" s="12" t="s">
        <v>598</v>
      </c>
      <c r="AF9" s="12" t="s">
        <v>598</v>
      </c>
      <c r="AG9" s="12">
        <v>88.0</v>
      </c>
      <c r="AH9" s="12">
        <v>106.0</v>
      </c>
      <c r="AI9" s="12">
        <v>126.0</v>
      </c>
      <c r="AJ9" s="12">
        <v>0.0</v>
      </c>
      <c r="AK9" s="12">
        <v>56.0</v>
      </c>
      <c r="AL9" s="12" t="s">
        <v>708</v>
      </c>
      <c r="AM9" s="12" t="s">
        <v>709</v>
      </c>
      <c r="AN9" s="12" t="s">
        <v>710</v>
      </c>
      <c r="AO9" s="12" t="s">
        <v>746</v>
      </c>
      <c r="AP9" s="12" t="s">
        <v>747</v>
      </c>
      <c r="AQ9" s="12" t="s">
        <v>598</v>
      </c>
      <c r="AR9" s="12" t="s">
        <v>748</v>
      </c>
      <c r="AS9" s="12" t="s">
        <v>749</v>
      </c>
      <c r="AT9" s="12" t="s">
        <v>750</v>
      </c>
      <c r="AU9" s="12">
        <v>2001.0</v>
      </c>
      <c r="AV9" s="12">
        <v>11.0</v>
      </c>
      <c r="AW9" s="12">
        <v>4.0</v>
      </c>
      <c r="AX9" s="12" t="s">
        <v>598</v>
      </c>
      <c r="AY9" s="12" t="s">
        <v>598</v>
      </c>
      <c r="AZ9" s="12" t="s">
        <v>598</v>
      </c>
      <c r="BA9" s="12" t="s">
        <v>598</v>
      </c>
      <c r="BB9" s="12">
        <v>1151.0</v>
      </c>
      <c r="BC9" s="12">
        <v>1173.0</v>
      </c>
      <c r="BD9" s="12" t="s">
        <v>598</v>
      </c>
      <c r="BE9" s="12" t="s">
        <v>751</v>
      </c>
      <c r="BF9" s="13" t="str">
        <f>HYPERLINK("http://dx.doi.org/10.1890/1051-0761(2001)011[1151:SSASMI]2.0.CO;2","http://dx.doi.org/10.1890/1051-0761(2001)011[1151:SSASMI]2.0.CO;2")</f>
        <v>http://dx.doi.org/10.1890/1051-0761(2001)011[1151:SSASMI]2.0.CO;2</v>
      </c>
      <c r="BG9" s="12" t="s">
        <v>598</v>
      </c>
      <c r="BH9" s="12" t="s">
        <v>598</v>
      </c>
      <c r="BI9" s="12">
        <v>23.0</v>
      </c>
      <c r="BJ9" s="12" t="s">
        <v>752</v>
      </c>
      <c r="BK9" s="12" t="s">
        <v>618</v>
      </c>
      <c r="BL9" s="12" t="s">
        <v>753</v>
      </c>
      <c r="BM9" s="12" t="s">
        <v>754</v>
      </c>
      <c r="BN9" s="12" t="s">
        <v>598</v>
      </c>
      <c r="BO9" s="12" t="s">
        <v>598</v>
      </c>
      <c r="BP9" s="12" t="s">
        <v>598</v>
      </c>
      <c r="BQ9" s="12" t="s">
        <v>598</v>
      </c>
      <c r="BR9" s="12" t="s">
        <v>620</v>
      </c>
      <c r="BS9" s="12" t="s">
        <v>755</v>
      </c>
      <c r="BT9" s="12" t="str">
        <f>HYPERLINK("https%3A%2F%2Fwww.webofscience.com%2Fwos%2Fwoscc%2Ffull-record%2FWOS:000170209200017","View Full Record in Web of Science")</f>
        <v>View Full Record in Web of Science</v>
      </c>
    </row>
    <row r="10" ht="12.75" customHeight="1">
      <c r="A10" s="12" t="s">
        <v>596</v>
      </c>
      <c r="B10" s="12" t="s">
        <v>756</v>
      </c>
      <c r="C10" s="12" t="s">
        <v>598</v>
      </c>
      <c r="D10" s="12" t="s">
        <v>598</v>
      </c>
      <c r="E10" s="12" t="s">
        <v>598</v>
      </c>
      <c r="F10" s="12" t="s">
        <v>756</v>
      </c>
      <c r="G10" s="12" t="s">
        <v>598</v>
      </c>
      <c r="H10" s="12" t="s">
        <v>598</v>
      </c>
      <c r="I10" s="12" t="s">
        <v>56</v>
      </c>
      <c r="J10" s="12" t="s">
        <v>757</v>
      </c>
      <c r="K10" s="12" t="s">
        <v>598</v>
      </c>
      <c r="L10" s="12" t="s">
        <v>598</v>
      </c>
      <c r="M10" s="12" t="s">
        <v>600</v>
      </c>
      <c r="N10" s="12" t="s">
        <v>601</v>
      </c>
      <c r="O10" s="12" t="s">
        <v>598</v>
      </c>
      <c r="P10" s="12" t="s">
        <v>598</v>
      </c>
      <c r="Q10" s="12" t="s">
        <v>598</v>
      </c>
      <c r="R10" s="12" t="s">
        <v>598</v>
      </c>
      <c r="S10" s="12" t="s">
        <v>598</v>
      </c>
      <c r="T10" s="12" t="s">
        <v>758</v>
      </c>
      <c r="U10" s="12" t="s">
        <v>759</v>
      </c>
      <c r="V10" s="12" t="s">
        <v>760</v>
      </c>
      <c r="W10" s="12" t="s">
        <v>761</v>
      </c>
      <c r="X10" s="12" t="s">
        <v>762</v>
      </c>
      <c r="Y10" s="12" t="s">
        <v>763</v>
      </c>
      <c r="Z10" s="12" t="s">
        <v>598</v>
      </c>
      <c r="AA10" s="12" t="s">
        <v>764</v>
      </c>
      <c r="AB10" s="12" t="s">
        <v>598</v>
      </c>
      <c r="AC10" s="12" t="s">
        <v>598</v>
      </c>
      <c r="AD10" s="12" t="s">
        <v>598</v>
      </c>
      <c r="AE10" s="12" t="s">
        <v>598</v>
      </c>
      <c r="AF10" s="12" t="s">
        <v>598</v>
      </c>
      <c r="AG10" s="12">
        <v>56.0</v>
      </c>
      <c r="AH10" s="12">
        <v>110.0</v>
      </c>
      <c r="AI10" s="12">
        <v>138.0</v>
      </c>
      <c r="AJ10" s="12">
        <v>1.0</v>
      </c>
      <c r="AK10" s="12">
        <v>82.0</v>
      </c>
      <c r="AL10" s="12" t="s">
        <v>765</v>
      </c>
      <c r="AM10" s="12" t="s">
        <v>652</v>
      </c>
      <c r="AN10" s="12" t="s">
        <v>766</v>
      </c>
      <c r="AO10" s="12" t="s">
        <v>767</v>
      </c>
      <c r="AP10" s="12" t="s">
        <v>598</v>
      </c>
      <c r="AQ10" s="12" t="s">
        <v>598</v>
      </c>
      <c r="AR10" s="12" t="s">
        <v>768</v>
      </c>
      <c r="AS10" s="12" t="s">
        <v>769</v>
      </c>
      <c r="AT10" s="12" t="s">
        <v>657</v>
      </c>
      <c r="AU10" s="12">
        <v>2001.0</v>
      </c>
      <c r="AV10" s="12">
        <v>101.0</v>
      </c>
      <c r="AW10" s="12">
        <v>3.0</v>
      </c>
      <c r="AX10" s="12" t="s">
        <v>598</v>
      </c>
      <c r="AY10" s="12" t="s">
        <v>598</v>
      </c>
      <c r="AZ10" s="12" t="s">
        <v>598</v>
      </c>
      <c r="BA10" s="12" t="s">
        <v>598</v>
      </c>
      <c r="BB10" s="12">
        <v>337.0</v>
      </c>
      <c r="BC10" s="12">
        <v>350.0</v>
      </c>
      <c r="BD10" s="12" t="s">
        <v>598</v>
      </c>
      <c r="BE10" s="12" t="s">
        <v>770</v>
      </c>
      <c r="BF10" s="13" t="str">
        <f>HYPERLINK("http://dx.doi.org/10.1016/S0006-3207(01)00079-9","http://dx.doi.org/10.1016/S0006-3207(01)00079-9")</f>
        <v>http://dx.doi.org/10.1016/S0006-3207(01)00079-9</v>
      </c>
      <c r="BG10" s="12" t="s">
        <v>598</v>
      </c>
      <c r="BH10" s="12" t="s">
        <v>598</v>
      </c>
      <c r="BI10" s="12">
        <v>14.0</v>
      </c>
      <c r="BJ10" s="12" t="s">
        <v>678</v>
      </c>
      <c r="BK10" s="12" t="s">
        <v>618</v>
      </c>
      <c r="BL10" s="12" t="s">
        <v>679</v>
      </c>
      <c r="BM10" s="12" t="s">
        <v>771</v>
      </c>
      <c r="BN10" s="12" t="s">
        <v>598</v>
      </c>
      <c r="BO10" s="12" t="s">
        <v>598</v>
      </c>
      <c r="BP10" s="12" t="s">
        <v>598</v>
      </c>
      <c r="BQ10" s="12" t="s">
        <v>598</v>
      </c>
      <c r="BR10" s="12" t="s">
        <v>620</v>
      </c>
      <c r="BS10" s="12" t="s">
        <v>772</v>
      </c>
      <c r="BT10" s="12" t="str">
        <f>HYPERLINK("https%3A%2F%2Fwww.webofscience.com%2Fwos%2Fwoscc%2Ffull-record%2FWOS:000170722400007","View Full Record in Web of Science")</f>
        <v>View Full Record in Web of Science</v>
      </c>
    </row>
    <row r="11" ht="12.75" customHeight="1">
      <c r="A11" s="12" t="s">
        <v>596</v>
      </c>
      <c r="B11" s="12" t="s">
        <v>773</v>
      </c>
      <c r="C11" s="12" t="s">
        <v>598</v>
      </c>
      <c r="D11" s="12" t="s">
        <v>598</v>
      </c>
      <c r="E11" s="12" t="s">
        <v>598</v>
      </c>
      <c r="F11" s="12" t="s">
        <v>773</v>
      </c>
      <c r="G11" s="12" t="s">
        <v>598</v>
      </c>
      <c r="H11" s="12" t="s">
        <v>598</v>
      </c>
      <c r="I11" s="12" t="s">
        <v>88</v>
      </c>
      <c r="J11" s="12" t="s">
        <v>774</v>
      </c>
      <c r="K11" s="12" t="s">
        <v>598</v>
      </c>
      <c r="L11" s="12" t="s">
        <v>598</v>
      </c>
      <c r="M11" s="12" t="s">
        <v>600</v>
      </c>
      <c r="N11" s="12" t="s">
        <v>601</v>
      </c>
      <c r="O11" s="12" t="s">
        <v>598</v>
      </c>
      <c r="P11" s="12" t="s">
        <v>598</v>
      </c>
      <c r="Q11" s="12" t="s">
        <v>598</v>
      </c>
      <c r="R11" s="12" t="s">
        <v>598</v>
      </c>
      <c r="S11" s="12" t="s">
        <v>598</v>
      </c>
      <c r="T11" s="12" t="s">
        <v>775</v>
      </c>
      <c r="U11" s="12" t="s">
        <v>776</v>
      </c>
      <c r="V11" s="12" t="s">
        <v>777</v>
      </c>
      <c r="W11" s="12" t="s">
        <v>778</v>
      </c>
      <c r="X11" s="12" t="s">
        <v>779</v>
      </c>
      <c r="Y11" s="12" t="s">
        <v>780</v>
      </c>
      <c r="Z11" s="12" t="s">
        <v>781</v>
      </c>
      <c r="AA11" s="12" t="s">
        <v>598</v>
      </c>
      <c r="AB11" s="12" t="s">
        <v>598</v>
      </c>
      <c r="AC11" s="12" t="s">
        <v>598</v>
      </c>
      <c r="AD11" s="12" t="s">
        <v>598</v>
      </c>
      <c r="AE11" s="12" t="s">
        <v>598</v>
      </c>
      <c r="AF11" s="12" t="s">
        <v>598</v>
      </c>
      <c r="AG11" s="12">
        <v>49.0</v>
      </c>
      <c r="AH11" s="12">
        <v>142.0</v>
      </c>
      <c r="AI11" s="12">
        <v>186.0</v>
      </c>
      <c r="AJ11" s="12">
        <v>5.0</v>
      </c>
      <c r="AK11" s="12">
        <v>91.0</v>
      </c>
      <c r="AL11" s="12" t="s">
        <v>782</v>
      </c>
      <c r="AM11" s="12" t="s">
        <v>783</v>
      </c>
      <c r="AN11" s="12" t="s">
        <v>784</v>
      </c>
      <c r="AO11" s="12" t="s">
        <v>785</v>
      </c>
      <c r="AP11" s="12" t="s">
        <v>786</v>
      </c>
      <c r="AQ11" s="12" t="s">
        <v>598</v>
      </c>
      <c r="AR11" s="12" t="s">
        <v>787</v>
      </c>
      <c r="AS11" s="12" t="s">
        <v>788</v>
      </c>
      <c r="AT11" s="12" t="s">
        <v>789</v>
      </c>
      <c r="AU11" s="12">
        <v>2002.0</v>
      </c>
      <c r="AV11" s="12">
        <v>48.0</v>
      </c>
      <c r="AW11" s="12">
        <v>1.0</v>
      </c>
      <c r="AX11" s="12" t="s">
        <v>598</v>
      </c>
      <c r="AY11" s="12" t="s">
        <v>598</v>
      </c>
      <c r="AZ11" s="12" t="s">
        <v>598</v>
      </c>
      <c r="BA11" s="12" t="s">
        <v>598</v>
      </c>
      <c r="BB11" s="12">
        <v>129.0</v>
      </c>
      <c r="BC11" s="12">
        <v>145.0</v>
      </c>
      <c r="BD11" s="12" t="s">
        <v>598</v>
      </c>
      <c r="BE11" s="12" t="s">
        <v>598</v>
      </c>
      <c r="BF11" s="12" t="s">
        <v>598</v>
      </c>
      <c r="BG11" s="12" t="s">
        <v>598</v>
      </c>
      <c r="BH11" s="12" t="s">
        <v>598</v>
      </c>
      <c r="BI11" s="12">
        <v>17.0</v>
      </c>
      <c r="BJ11" s="12" t="s">
        <v>617</v>
      </c>
      <c r="BK11" s="12" t="s">
        <v>618</v>
      </c>
      <c r="BL11" s="12" t="s">
        <v>617</v>
      </c>
      <c r="BM11" s="12" t="s">
        <v>790</v>
      </c>
      <c r="BN11" s="12" t="s">
        <v>598</v>
      </c>
      <c r="BO11" s="12" t="s">
        <v>598</v>
      </c>
      <c r="BP11" s="12" t="s">
        <v>598</v>
      </c>
      <c r="BQ11" s="12" t="s">
        <v>598</v>
      </c>
      <c r="BR11" s="12" t="s">
        <v>620</v>
      </c>
      <c r="BS11" s="12" t="s">
        <v>791</v>
      </c>
      <c r="BT11" s="12" t="str">
        <f>HYPERLINK("https%3A%2F%2Fwww.webofscience.com%2Fwos%2Fwoscc%2Ffull-record%2FWOS:000173846700015","View Full Record in Web of Science")</f>
        <v>View Full Record in Web of Science</v>
      </c>
    </row>
    <row r="12" ht="12.75" customHeight="1">
      <c r="A12" s="12" t="s">
        <v>596</v>
      </c>
      <c r="B12" s="12" t="s">
        <v>792</v>
      </c>
      <c r="C12" s="12" t="s">
        <v>598</v>
      </c>
      <c r="D12" s="12" t="s">
        <v>598</v>
      </c>
      <c r="E12" s="12" t="s">
        <v>598</v>
      </c>
      <c r="F12" s="12" t="s">
        <v>792</v>
      </c>
      <c r="G12" s="12" t="s">
        <v>598</v>
      </c>
      <c r="H12" s="12" t="s">
        <v>598</v>
      </c>
      <c r="I12" s="12" t="s">
        <v>48</v>
      </c>
      <c r="J12" s="12" t="s">
        <v>793</v>
      </c>
      <c r="K12" s="12" t="s">
        <v>598</v>
      </c>
      <c r="L12" s="12" t="s">
        <v>598</v>
      </c>
      <c r="M12" s="12" t="s">
        <v>600</v>
      </c>
      <c r="N12" s="12" t="s">
        <v>601</v>
      </c>
      <c r="O12" s="12" t="s">
        <v>598</v>
      </c>
      <c r="P12" s="12" t="s">
        <v>598</v>
      </c>
      <c r="Q12" s="12" t="s">
        <v>598</v>
      </c>
      <c r="R12" s="12" t="s">
        <v>598</v>
      </c>
      <c r="S12" s="12" t="s">
        <v>598</v>
      </c>
      <c r="T12" s="12" t="s">
        <v>598</v>
      </c>
      <c r="U12" s="12" t="s">
        <v>794</v>
      </c>
      <c r="V12" s="12" t="s">
        <v>795</v>
      </c>
      <c r="W12" s="12" t="s">
        <v>796</v>
      </c>
      <c r="X12" s="12" t="s">
        <v>797</v>
      </c>
      <c r="Y12" s="12" t="s">
        <v>798</v>
      </c>
      <c r="Z12" s="12" t="s">
        <v>598</v>
      </c>
      <c r="AA12" s="12" t="s">
        <v>799</v>
      </c>
      <c r="AB12" s="12" t="s">
        <v>800</v>
      </c>
      <c r="AC12" s="12" t="s">
        <v>598</v>
      </c>
      <c r="AD12" s="12" t="s">
        <v>598</v>
      </c>
      <c r="AE12" s="12" t="s">
        <v>598</v>
      </c>
      <c r="AF12" s="12" t="s">
        <v>598</v>
      </c>
      <c r="AG12" s="12">
        <v>61.0</v>
      </c>
      <c r="AH12" s="12">
        <v>56.0</v>
      </c>
      <c r="AI12" s="12">
        <v>64.0</v>
      </c>
      <c r="AJ12" s="12">
        <v>2.0</v>
      </c>
      <c r="AK12" s="12">
        <v>34.0</v>
      </c>
      <c r="AL12" s="12" t="s">
        <v>801</v>
      </c>
      <c r="AM12" s="12" t="s">
        <v>802</v>
      </c>
      <c r="AN12" s="12" t="s">
        <v>803</v>
      </c>
      <c r="AO12" s="12" t="s">
        <v>804</v>
      </c>
      <c r="AP12" s="12" t="s">
        <v>598</v>
      </c>
      <c r="AQ12" s="12" t="s">
        <v>598</v>
      </c>
      <c r="AR12" s="12" t="s">
        <v>805</v>
      </c>
      <c r="AS12" s="12" t="s">
        <v>806</v>
      </c>
      <c r="AT12" s="12" t="s">
        <v>598</v>
      </c>
      <c r="AU12" s="12">
        <v>2002.0</v>
      </c>
      <c r="AV12" s="12">
        <v>39.0</v>
      </c>
      <c r="AW12" s="12">
        <v>1.0</v>
      </c>
      <c r="AX12" s="12" t="s">
        <v>598</v>
      </c>
      <c r="AY12" s="12" t="s">
        <v>598</v>
      </c>
      <c r="AZ12" s="12" t="s">
        <v>598</v>
      </c>
      <c r="BA12" s="12" t="s">
        <v>598</v>
      </c>
      <c r="BB12" s="12">
        <v>69.0</v>
      </c>
      <c r="BC12" s="12">
        <v>86.0</v>
      </c>
      <c r="BD12" s="12" t="s">
        <v>598</v>
      </c>
      <c r="BE12" s="12" t="s">
        <v>598</v>
      </c>
      <c r="BF12" s="12" t="s">
        <v>598</v>
      </c>
      <c r="BG12" s="12" t="s">
        <v>598</v>
      </c>
      <c r="BH12" s="12" t="s">
        <v>598</v>
      </c>
      <c r="BI12" s="12">
        <v>18.0</v>
      </c>
      <c r="BJ12" s="12" t="s">
        <v>807</v>
      </c>
      <c r="BK12" s="12" t="s">
        <v>618</v>
      </c>
      <c r="BL12" s="12" t="s">
        <v>808</v>
      </c>
      <c r="BM12" s="12" t="s">
        <v>809</v>
      </c>
      <c r="BN12" s="12" t="s">
        <v>598</v>
      </c>
      <c r="BO12" s="12" t="s">
        <v>598</v>
      </c>
      <c r="BP12" s="12" t="s">
        <v>598</v>
      </c>
      <c r="BQ12" s="12" t="s">
        <v>598</v>
      </c>
      <c r="BR12" s="12" t="s">
        <v>620</v>
      </c>
      <c r="BS12" s="12" t="s">
        <v>810</v>
      </c>
      <c r="BT12" s="12" t="str">
        <f>HYPERLINK("https%3A%2F%2Fwww.webofscience.com%2Fwos%2Fwoscc%2Ffull-record%2FWOS:000174479300009","View Full Record in Web of Science")</f>
        <v>View Full Record in Web of Science</v>
      </c>
    </row>
    <row r="13" ht="12.75" customHeight="1">
      <c r="A13" s="12" t="s">
        <v>596</v>
      </c>
      <c r="B13" s="12" t="s">
        <v>811</v>
      </c>
      <c r="C13" s="12" t="s">
        <v>598</v>
      </c>
      <c r="D13" s="12" t="s">
        <v>598</v>
      </c>
      <c r="E13" s="12" t="s">
        <v>598</v>
      </c>
      <c r="F13" s="12" t="s">
        <v>811</v>
      </c>
      <c r="G13" s="12" t="s">
        <v>598</v>
      </c>
      <c r="H13" s="12" t="s">
        <v>598</v>
      </c>
      <c r="I13" s="12" t="s">
        <v>131</v>
      </c>
      <c r="J13" s="12" t="s">
        <v>662</v>
      </c>
      <c r="K13" s="12" t="s">
        <v>598</v>
      </c>
      <c r="L13" s="12" t="s">
        <v>598</v>
      </c>
      <c r="M13" s="12" t="s">
        <v>600</v>
      </c>
      <c r="N13" s="12" t="s">
        <v>601</v>
      </c>
      <c r="O13" s="12" t="s">
        <v>598</v>
      </c>
      <c r="P13" s="12" t="s">
        <v>598</v>
      </c>
      <c r="Q13" s="12" t="s">
        <v>598</v>
      </c>
      <c r="R13" s="12" t="s">
        <v>598</v>
      </c>
      <c r="S13" s="12" t="s">
        <v>598</v>
      </c>
      <c r="T13" s="12" t="s">
        <v>812</v>
      </c>
      <c r="U13" s="12" t="s">
        <v>813</v>
      </c>
      <c r="V13" s="12" t="s">
        <v>814</v>
      </c>
      <c r="W13" s="12" t="s">
        <v>815</v>
      </c>
      <c r="X13" s="12" t="s">
        <v>816</v>
      </c>
      <c r="Y13" s="12" t="s">
        <v>817</v>
      </c>
      <c r="Z13" s="12" t="s">
        <v>818</v>
      </c>
      <c r="AA13" s="12" t="s">
        <v>819</v>
      </c>
      <c r="AB13" s="12" t="s">
        <v>820</v>
      </c>
      <c r="AC13" s="12" t="s">
        <v>598</v>
      </c>
      <c r="AD13" s="12" t="s">
        <v>598</v>
      </c>
      <c r="AE13" s="12" t="s">
        <v>598</v>
      </c>
      <c r="AF13" s="12" t="s">
        <v>598</v>
      </c>
      <c r="AG13" s="12">
        <v>48.0</v>
      </c>
      <c r="AH13" s="12">
        <v>87.0</v>
      </c>
      <c r="AI13" s="12">
        <v>129.0</v>
      </c>
      <c r="AJ13" s="12">
        <v>1.0</v>
      </c>
      <c r="AK13" s="12">
        <v>58.0</v>
      </c>
      <c r="AL13" s="12" t="s">
        <v>670</v>
      </c>
      <c r="AM13" s="12" t="s">
        <v>671</v>
      </c>
      <c r="AN13" s="12" t="s">
        <v>672</v>
      </c>
      <c r="AO13" s="12" t="s">
        <v>673</v>
      </c>
      <c r="AP13" s="12" t="s">
        <v>674</v>
      </c>
      <c r="AQ13" s="12" t="s">
        <v>598</v>
      </c>
      <c r="AR13" s="12" t="s">
        <v>675</v>
      </c>
      <c r="AS13" s="12" t="s">
        <v>676</v>
      </c>
      <c r="AT13" s="12" t="s">
        <v>821</v>
      </c>
      <c r="AU13" s="12">
        <v>2002.0</v>
      </c>
      <c r="AV13" s="12">
        <v>11.0</v>
      </c>
      <c r="AW13" s="12">
        <v>3.0</v>
      </c>
      <c r="AX13" s="12" t="s">
        <v>598</v>
      </c>
      <c r="AY13" s="12" t="s">
        <v>598</v>
      </c>
      <c r="AZ13" s="12" t="s">
        <v>598</v>
      </c>
      <c r="BA13" s="12" t="s">
        <v>598</v>
      </c>
      <c r="BB13" s="12">
        <v>521.0</v>
      </c>
      <c r="BC13" s="12">
        <v>541.0</v>
      </c>
      <c r="BD13" s="12" t="s">
        <v>598</v>
      </c>
      <c r="BE13" s="12" t="s">
        <v>822</v>
      </c>
      <c r="BF13" s="13" t="str">
        <f>HYPERLINK("http://dx.doi.org/10.1023/A:1014812701423","http://dx.doi.org/10.1023/A:1014812701423")</f>
        <v>http://dx.doi.org/10.1023/A:1014812701423</v>
      </c>
      <c r="BG13" s="12" t="s">
        <v>598</v>
      </c>
      <c r="BH13" s="12" t="s">
        <v>598</v>
      </c>
      <c r="BI13" s="12">
        <v>21.0</v>
      </c>
      <c r="BJ13" s="12" t="s">
        <v>678</v>
      </c>
      <c r="BK13" s="12" t="s">
        <v>618</v>
      </c>
      <c r="BL13" s="12" t="s">
        <v>679</v>
      </c>
      <c r="BM13" s="12" t="s">
        <v>823</v>
      </c>
      <c r="BN13" s="12" t="s">
        <v>598</v>
      </c>
      <c r="BO13" s="12" t="s">
        <v>598</v>
      </c>
      <c r="BP13" s="12" t="s">
        <v>598</v>
      </c>
      <c r="BQ13" s="12" t="s">
        <v>598</v>
      </c>
      <c r="BR13" s="12" t="s">
        <v>620</v>
      </c>
      <c r="BS13" s="12" t="s">
        <v>824</v>
      </c>
      <c r="BT13" s="12" t="str">
        <f>HYPERLINK("https%3A%2F%2Fwww.webofscience.com%2Fwos%2Fwoscc%2Ffull-record%2FWOS:000174605900009","View Full Record in Web of Science")</f>
        <v>View Full Record in Web of Science</v>
      </c>
    </row>
    <row r="14" ht="12.75" customHeight="1">
      <c r="A14" s="12" t="s">
        <v>596</v>
      </c>
      <c r="B14" s="12" t="s">
        <v>622</v>
      </c>
      <c r="C14" s="12" t="s">
        <v>598</v>
      </c>
      <c r="D14" s="12" t="s">
        <v>598</v>
      </c>
      <c r="E14" s="12" t="s">
        <v>598</v>
      </c>
      <c r="F14" s="12" t="s">
        <v>622</v>
      </c>
      <c r="G14" s="12" t="s">
        <v>598</v>
      </c>
      <c r="H14" s="12" t="s">
        <v>598</v>
      </c>
      <c r="I14" s="12" t="s">
        <v>153</v>
      </c>
      <c r="J14" s="12" t="s">
        <v>825</v>
      </c>
      <c r="K14" s="12" t="s">
        <v>598</v>
      </c>
      <c r="L14" s="12" t="s">
        <v>598</v>
      </c>
      <c r="M14" s="12" t="s">
        <v>600</v>
      </c>
      <c r="N14" s="12" t="s">
        <v>601</v>
      </c>
      <c r="O14" s="12" t="s">
        <v>598</v>
      </c>
      <c r="P14" s="12" t="s">
        <v>598</v>
      </c>
      <c r="Q14" s="12" t="s">
        <v>598</v>
      </c>
      <c r="R14" s="12" t="s">
        <v>598</v>
      </c>
      <c r="S14" s="12" t="s">
        <v>598</v>
      </c>
      <c r="T14" s="12" t="s">
        <v>826</v>
      </c>
      <c r="U14" s="12" t="s">
        <v>827</v>
      </c>
      <c r="V14" s="12" t="s">
        <v>828</v>
      </c>
      <c r="W14" s="12" t="s">
        <v>829</v>
      </c>
      <c r="X14" s="12" t="s">
        <v>629</v>
      </c>
      <c r="Y14" s="12" t="s">
        <v>830</v>
      </c>
      <c r="Z14" s="12" t="s">
        <v>598</v>
      </c>
      <c r="AA14" s="12" t="s">
        <v>598</v>
      </c>
      <c r="AB14" s="12" t="s">
        <v>598</v>
      </c>
      <c r="AC14" s="12" t="s">
        <v>598</v>
      </c>
      <c r="AD14" s="12" t="s">
        <v>598</v>
      </c>
      <c r="AE14" s="12" t="s">
        <v>598</v>
      </c>
      <c r="AF14" s="12" t="s">
        <v>598</v>
      </c>
      <c r="AG14" s="12">
        <v>36.0</v>
      </c>
      <c r="AH14" s="12">
        <v>28.0</v>
      </c>
      <c r="AI14" s="12">
        <v>32.0</v>
      </c>
      <c r="AJ14" s="12">
        <v>0.0</v>
      </c>
      <c r="AK14" s="12">
        <v>15.0</v>
      </c>
      <c r="AL14" s="12" t="s">
        <v>831</v>
      </c>
      <c r="AM14" s="12" t="s">
        <v>832</v>
      </c>
      <c r="AN14" s="12" t="s">
        <v>833</v>
      </c>
      <c r="AO14" s="12" t="s">
        <v>834</v>
      </c>
      <c r="AP14" s="12" t="s">
        <v>598</v>
      </c>
      <c r="AQ14" s="12" t="s">
        <v>598</v>
      </c>
      <c r="AR14" s="12" t="s">
        <v>835</v>
      </c>
      <c r="AS14" s="12" t="s">
        <v>836</v>
      </c>
      <c r="AT14" s="12" t="s">
        <v>837</v>
      </c>
      <c r="AU14" s="12">
        <v>2002.0</v>
      </c>
      <c r="AV14" s="12">
        <v>50.0</v>
      </c>
      <c r="AW14" s="12">
        <v>2.0</v>
      </c>
      <c r="AX14" s="12" t="s">
        <v>598</v>
      </c>
      <c r="AY14" s="12" t="s">
        <v>598</v>
      </c>
      <c r="AZ14" s="12" t="s">
        <v>598</v>
      </c>
      <c r="BA14" s="12" t="s">
        <v>598</v>
      </c>
      <c r="BB14" s="12">
        <v>196.0</v>
      </c>
      <c r="BC14" s="12">
        <v>203.0</v>
      </c>
      <c r="BD14" s="12" t="s">
        <v>598</v>
      </c>
      <c r="BE14" s="12" t="s">
        <v>838</v>
      </c>
      <c r="BF14" s="13" t="str">
        <f>HYPERLINK("http://dx.doi.org/10.1614/0043-1745(2002)050[0196:LTEOHA]2.0.CO;2","http://dx.doi.org/10.1614/0043-1745(2002)050[0196:LTEOHA]2.0.CO;2")</f>
        <v>http://dx.doi.org/10.1614/0043-1745(2002)050[0196:LTEOHA]2.0.CO;2</v>
      </c>
      <c r="BG14" s="12" t="s">
        <v>598</v>
      </c>
      <c r="BH14" s="12" t="s">
        <v>598</v>
      </c>
      <c r="BI14" s="12">
        <v>8.0</v>
      </c>
      <c r="BJ14" s="12" t="s">
        <v>839</v>
      </c>
      <c r="BK14" s="12" t="s">
        <v>618</v>
      </c>
      <c r="BL14" s="12" t="s">
        <v>840</v>
      </c>
      <c r="BM14" s="12" t="s">
        <v>841</v>
      </c>
      <c r="BN14" s="12" t="s">
        <v>598</v>
      </c>
      <c r="BO14" s="12" t="s">
        <v>598</v>
      </c>
      <c r="BP14" s="12" t="s">
        <v>598</v>
      </c>
      <c r="BQ14" s="12" t="s">
        <v>598</v>
      </c>
      <c r="BR14" s="12" t="s">
        <v>620</v>
      </c>
      <c r="BS14" s="12" t="s">
        <v>842</v>
      </c>
      <c r="BT14" s="12" t="str">
        <f>HYPERLINK("https%3A%2F%2Fwww.webofscience.com%2Fwos%2Fwoscc%2Ffull-record%2FWOS:000174924500010","View Full Record in Web of Science")</f>
        <v>View Full Record in Web of Science</v>
      </c>
    </row>
    <row r="15" ht="12.75" customHeight="1">
      <c r="A15" s="12" t="s">
        <v>596</v>
      </c>
      <c r="B15" s="12" t="s">
        <v>843</v>
      </c>
      <c r="C15" s="12" t="s">
        <v>598</v>
      </c>
      <c r="D15" s="12" t="s">
        <v>598</v>
      </c>
      <c r="E15" s="12" t="s">
        <v>598</v>
      </c>
      <c r="F15" s="12" t="s">
        <v>843</v>
      </c>
      <c r="G15" s="12" t="s">
        <v>598</v>
      </c>
      <c r="H15" s="12" t="s">
        <v>598</v>
      </c>
      <c r="I15" s="12" t="s">
        <v>844</v>
      </c>
      <c r="J15" s="12" t="s">
        <v>739</v>
      </c>
      <c r="K15" s="12" t="s">
        <v>598</v>
      </c>
      <c r="L15" s="12" t="s">
        <v>598</v>
      </c>
      <c r="M15" s="12" t="s">
        <v>600</v>
      </c>
      <c r="N15" s="12" t="s">
        <v>601</v>
      </c>
      <c r="O15" s="12" t="s">
        <v>598</v>
      </c>
      <c r="P15" s="12" t="s">
        <v>598</v>
      </c>
      <c r="Q15" s="12" t="s">
        <v>598</v>
      </c>
      <c r="R15" s="12" t="s">
        <v>598</v>
      </c>
      <c r="S15" s="12" t="s">
        <v>598</v>
      </c>
      <c r="T15" s="12" t="s">
        <v>845</v>
      </c>
      <c r="U15" s="12" t="s">
        <v>846</v>
      </c>
      <c r="V15" s="12" t="s">
        <v>847</v>
      </c>
      <c r="W15" s="12" t="s">
        <v>848</v>
      </c>
      <c r="X15" s="12" t="s">
        <v>849</v>
      </c>
      <c r="Y15" s="12" t="s">
        <v>850</v>
      </c>
      <c r="Z15" s="12" t="s">
        <v>851</v>
      </c>
      <c r="AA15" s="12" t="s">
        <v>598</v>
      </c>
      <c r="AB15" s="12" t="s">
        <v>598</v>
      </c>
      <c r="AC15" s="12" t="s">
        <v>598</v>
      </c>
      <c r="AD15" s="12" t="s">
        <v>598</v>
      </c>
      <c r="AE15" s="12" t="s">
        <v>598</v>
      </c>
      <c r="AF15" s="12" t="s">
        <v>598</v>
      </c>
      <c r="AG15" s="12">
        <v>97.0</v>
      </c>
      <c r="AH15" s="12">
        <v>111.0</v>
      </c>
      <c r="AI15" s="12">
        <v>145.0</v>
      </c>
      <c r="AJ15" s="12">
        <v>1.0</v>
      </c>
      <c r="AK15" s="12">
        <v>71.0</v>
      </c>
      <c r="AL15" s="12" t="s">
        <v>708</v>
      </c>
      <c r="AM15" s="12" t="s">
        <v>709</v>
      </c>
      <c r="AN15" s="12" t="s">
        <v>710</v>
      </c>
      <c r="AO15" s="12" t="s">
        <v>746</v>
      </c>
      <c r="AP15" s="12" t="s">
        <v>747</v>
      </c>
      <c r="AQ15" s="12" t="s">
        <v>598</v>
      </c>
      <c r="AR15" s="12" t="s">
        <v>748</v>
      </c>
      <c r="AS15" s="12" t="s">
        <v>749</v>
      </c>
      <c r="AT15" s="12" t="s">
        <v>852</v>
      </c>
      <c r="AU15" s="12">
        <v>2002.0</v>
      </c>
      <c r="AV15" s="12">
        <v>12.0</v>
      </c>
      <c r="AW15" s="12">
        <v>3.0</v>
      </c>
      <c r="AX15" s="12" t="s">
        <v>598</v>
      </c>
      <c r="AY15" s="12" t="s">
        <v>598</v>
      </c>
      <c r="AZ15" s="12" t="s">
        <v>598</v>
      </c>
      <c r="BA15" s="12" t="s">
        <v>598</v>
      </c>
      <c r="BB15" s="12">
        <v>820.0</v>
      </c>
      <c r="BC15" s="12">
        <v>835.0</v>
      </c>
      <c r="BD15" s="12" t="s">
        <v>598</v>
      </c>
      <c r="BE15" s="12" t="s">
        <v>853</v>
      </c>
      <c r="BF15" s="13" t="str">
        <f>HYPERLINK("http://dx.doi.org/10.1890/1051-0761(2002)012[0820:EOTHOF]2.0.CO;2","http://dx.doi.org/10.1890/1051-0761(2002)012[0820:EOTHOF]2.0.CO;2")</f>
        <v>http://dx.doi.org/10.1890/1051-0761(2002)012[0820:EOTHOF]2.0.CO;2</v>
      </c>
      <c r="BG15" s="12" t="s">
        <v>598</v>
      </c>
      <c r="BH15" s="12" t="s">
        <v>598</v>
      </c>
      <c r="BI15" s="12">
        <v>16.0</v>
      </c>
      <c r="BJ15" s="12" t="s">
        <v>752</v>
      </c>
      <c r="BK15" s="12" t="s">
        <v>618</v>
      </c>
      <c r="BL15" s="12" t="s">
        <v>753</v>
      </c>
      <c r="BM15" s="12" t="s">
        <v>854</v>
      </c>
      <c r="BN15" s="12" t="s">
        <v>598</v>
      </c>
      <c r="BO15" s="12" t="s">
        <v>598</v>
      </c>
      <c r="BP15" s="12" t="s">
        <v>598</v>
      </c>
      <c r="BQ15" s="12" t="s">
        <v>598</v>
      </c>
      <c r="BR15" s="12" t="s">
        <v>620</v>
      </c>
      <c r="BS15" s="12" t="s">
        <v>855</v>
      </c>
      <c r="BT15" s="12" t="str">
        <f>HYPERLINK("https%3A%2F%2Fwww.webofscience.com%2Fwos%2Fwoscc%2Ffull-record%2FWOS:000175693800023","View Full Record in Web of Science")</f>
        <v>View Full Record in Web of Science</v>
      </c>
    </row>
    <row r="16" ht="12.75" customHeight="1">
      <c r="A16" s="12" t="s">
        <v>596</v>
      </c>
      <c r="B16" s="12" t="s">
        <v>856</v>
      </c>
      <c r="C16" s="12" t="s">
        <v>598</v>
      </c>
      <c r="D16" s="12" t="s">
        <v>598</v>
      </c>
      <c r="E16" s="12" t="s">
        <v>598</v>
      </c>
      <c r="F16" s="12" t="s">
        <v>856</v>
      </c>
      <c r="G16" s="12" t="s">
        <v>598</v>
      </c>
      <c r="H16" s="12" t="s">
        <v>598</v>
      </c>
      <c r="I16" s="12" t="s">
        <v>82</v>
      </c>
      <c r="J16" s="12" t="s">
        <v>757</v>
      </c>
      <c r="K16" s="12" t="s">
        <v>598</v>
      </c>
      <c r="L16" s="12" t="s">
        <v>598</v>
      </c>
      <c r="M16" s="12" t="s">
        <v>600</v>
      </c>
      <c r="N16" s="12" t="s">
        <v>601</v>
      </c>
      <c r="O16" s="12" t="s">
        <v>598</v>
      </c>
      <c r="P16" s="12" t="s">
        <v>598</v>
      </c>
      <c r="Q16" s="12" t="s">
        <v>598</v>
      </c>
      <c r="R16" s="12" t="s">
        <v>598</v>
      </c>
      <c r="S16" s="12" t="s">
        <v>598</v>
      </c>
      <c r="T16" s="12" t="s">
        <v>857</v>
      </c>
      <c r="U16" s="12" t="s">
        <v>858</v>
      </c>
      <c r="V16" s="12" t="s">
        <v>859</v>
      </c>
      <c r="W16" s="12" t="s">
        <v>860</v>
      </c>
      <c r="X16" s="12" t="s">
        <v>861</v>
      </c>
      <c r="Y16" s="12" t="s">
        <v>862</v>
      </c>
      <c r="Z16" s="12" t="s">
        <v>863</v>
      </c>
      <c r="AA16" s="12" t="s">
        <v>864</v>
      </c>
      <c r="AB16" s="12" t="s">
        <v>865</v>
      </c>
      <c r="AC16" s="12" t="s">
        <v>598</v>
      </c>
      <c r="AD16" s="12" t="s">
        <v>598</v>
      </c>
      <c r="AE16" s="12" t="s">
        <v>598</v>
      </c>
      <c r="AF16" s="12" t="s">
        <v>598</v>
      </c>
      <c r="AG16" s="12">
        <v>35.0</v>
      </c>
      <c r="AH16" s="12">
        <v>123.0</v>
      </c>
      <c r="AI16" s="12">
        <v>149.0</v>
      </c>
      <c r="AJ16" s="12">
        <v>1.0</v>
      </c>
      <c r="AK16" s="12">
        <v>51.0</v>
      </c>
      <c r="AL16" s="12" t="s">
        <v>765</v>
      </c>
      <c r="AM16" s="12" t="s">
        <v>866</v>
      </c>
      <c r="AN16" s="12" t="s">
        <v>867</v>
      </c>
      <c r="AO16" s="12" t="s">
        <v>767</v>
      </c>
      <c r="AP16" s="12" t="s">
        <v>868</v>
      </c>
      <c r="AQ16" s="12" t="s">
        <v>598</v>
      </c>
      <c r="AR16" s="12" t="s">
        <v>768</v>
      </c>
      <c r="AS16" s="12" t="s">
        <v>769</v>
      </c>
      <c r="AT16" s="12" t="s">
        <v>657</v>
      </c>
      <c r="AU16" s="12">
        <v>2002.0</v>
      </c>
      <c r="AV16" s="12">
        <v>107.0</v>
      </c>
      <c r="AW16" s="12">
        <v>2.0</v>
      </c>
      <c r="AX16" s="12" t="s">
        <v>598</v>
      </c>
      <c r="AY16" s="12" t="s">
        <v>598</v>
      </c>
      <c r="AZ16" s="12" t="s">
        <v>598</v>
      </c>
      <c r="BA16" s="12" t="s">
        <v>598</v>
      </c>
      <c r="BB16" s="12">
        <v>229.0</v>
      </c>
      <c r="BC16" s="12">
        <v>240.0</v>
      </c>
      <c r="BD16" s="12" t="s">
        <v>869</v>
      </c>
      <c r="BE16" s="12" t="s">
        <v>870</v>
      </c>
      <c r="BF16" s="13" t="str">
        <f>HYPERLINK("http://dx.doi.org/10.1016/S0006-3207(02)00097-6","http://dx.doi.org/10.1016/S0006-3207(02)00097-6")</f>
        <v>http://dx.doi.org/10.1016/S0006-3207(02)00097-6</v>
      </c>
      <c r="BG16" s="12" t="s">
        <v>598</v>
      </c>
      <c r="BH16" s="12" t="s">
        <v>598</v>
      </c>
      <c r="BI16" s="12">
        <v>12.0</v>
      </c>
      <c r="BJ16" s="12" t="s">
        <v>678</v>
      </c>
      <c r="BK16" s="12" t="s">
        <v>618</v>
      </c>
      <c r="BL16" s="12" t="s">
        <v>679</v>
      </c>
      <c r="BM16" s="12" t="s">
        <v>871</v>
      </c>
      <c r="BN16" s="12" t="s">
        <v>598</v>
      </c>
      <c r="BO16" s="12" t="s">
        <v>598</v>
      </c>
      <c r="BP16" s="12" t="s">
        <v>598</v>
      </c>
      <c r="BQ16" s="12" t="s">
        <v>598</v>
      </c>
      <c r="BR16" s="12" t="s">
        <v>620</v>
      </c>
      <c r="BS16" s="12" t="s">
        <v>872</v>
      </c>
      <c r="BT16" s="12" t="str">
        <f>HYPERLINK("https%3A%2F%2Fwww.webofscience.com%2Fwos%2Fwoscc%2Ffull-record%2FWOS:000176854200010","View Full Record in Web of Science")</f>
        <v>View Full Record in Web of Science</v>
      </c>
    </row>
    <row r="17" ht="12.75" customHeight="1">
      <c r="A17" s="12" t="s">
        <v>596</v>
      </c>
      <c r="B17" s="12" t="s">
        <v>873</v>
      </c>
      <c r="C17" s="12" t="s">
        <v>598</v>
      </c>
      <c r="D17" s="12" t="s">
        <v>598</v>
      </c>
      <c r="E17" s="12" t="s">
        <v>598</v>
      </c>
      <c r="F17" s="12" t="s">
        <v>873</v>
      </c>
      <c r="G17" s="12" t="s">
        <v>598</v>
      </c>
      <c r="H17" s="12" t="s">
        <v>598</v>
      </c>
      <c r="I17" s="12" t="s">
        <v>124</v>
      </c>
      <c r="J17" s="12" t="s">
        <v>599</v>
      </c>
      <c r="K17" s="12" t="s">
        <v>598</v>
      </c>
      <c r="L17" s="12" t="s">
        <v>598</v>
      </c>
      <c r="M17" s="12" t="s">
        <v>600</v>
      </c>
      <c r="N17" s="12" t="s">
        <v>601</v>
      </c>
      <c r="O17" s="12" t="s">
        <v>598</v>
      </c>
      <c r="P17" s="12" t="s">
        <v>598</v>
      </c>
      <c r="Q17" s="12" t="s">
        <v>598</v>
      </c>
      <c r="R17" s="12" t="s">
        <v>598</v>
      </c>
      <c r="S17" s="12" t="s">
        <v>598</v>
      </c>
      <c r="T17" s="12" t="s">
        <v>874</v>
      </c>
      <c r="U17" s="12" t="s">
        <v>875</v>
      </c>
      <c r="V17" s="12" t="s">
        <v>876</v>
      </c>
      <c r="W17" s="12" t="s">
        <v>877</v>
      </c>
      <c r="X17" s="12" t="s">
        <v>878</v>
      </c>
      <c r="Y17" s="12" t="s">
        <v>879</v>
      </c>
      <c r="Z17" s="12" t="s">
        <v>598</v>
      </c>
      <c r="AA17" s="12" t="s">
        <v>598</v>
      </c>
      <c r="AB17" s="12" t="s">
        <v>880</v>
      </c>
      <c r="AC17" s="12" t="s">
        <v>598</v>
      </c>
      <c r="AD17" s="12" t="s">
        <v>598</v>
      </c>
      <c r="AE17" s="12" t="s">
        <v>598</v>
      </c>
      <c r="AF17" s="12" t="s">
        <v>598</v>
      </c>
      <c r="AG17" s="12">
        <v>32.0</v>
      </c>
      <c r="AH17" s="12">
        <v>52.0</v>
      </c>
      <c r="AI17" s="12">
        <v>64.0</v>
      </c>
      <c r="AJ17" s="12">
        <v>1.0</v>
      </c>
      <c r="AK17" s="12">
        <v>22.0</v>
      </c>
      <c r="AL17" s="12" t="s">
        <v>608</v>
      </c>
      <c r="AM17" s="12" t="s">
        <v>609</v>
      </c>
      <c r="AN17" s="12" t="s">
        <v>610</v>
      </c>
      <c r="AO17" s="12" t="s">
        <v>611</v>
      </c>
      <c r="AP17" s="12" t="s">
        <v>598</v>
      </c>
      <c r="AQ17" s="12" t="s">
        <v>598</v>
      </c>
      <c r="AR17" s="12" t="s">
        <v>612</v>
      </c>
      <c r="AS17" s="12" t="s">
        <v>613</v>
      </c>
      <c r="AT17" s="12" t="s">
        <v>881</v>
      </c>
      <c r="AU17" s="12">
        <v>2002.0</v>
      </c>
      <c r="AV17" s="12">
        <v>169.0</v>
      </c>
      <c r="AW17" s="12">
        <v>3.0</v>
      </c>
      <c r="AX17" s="12" t="s">
        <v>598</v>
      </c>
      <c r="AY17" s="12" t="s">
        <v>598</v>
      </c>
      <c r="AZ17" s="12" t="s">
        <v>598</v>
      </c>
      <c r="BA17" s="12" t="s">
        <v>598</v>
      </c>
      <c r="BB17" s="12">
        <v>243.0</v>
      </c>
      <c r="BC17" s="12">
        <v>255.0</v>
      </c>
      <c r="BD17" s="12" t="s">
        <v>882</v>
      </c>
      <c r="BE17" s="12" t="s">
        <v>883</v>
      </c>
      <c r="BF17" s="13" t="str">
        <f>HYPERLINK("http://dx.doi.org/10.1016/S0378-1127(01)00758-7","http://dx.doi.org/10.1016/S0378-1127(01)00758-7")</f>
        <v>http://dx.doi.org/10.1016/S0378-1127(01)00758-7</v>
      </c>
      <c r="BG17" s="12" t="s">
        <v>598</v>
      </c>
      <c r="BH17" s="12" t="s">
        <v>598</v>
      </c>
      <c r="BI17" s="12">
        <v>13.0</v>
      </c>
      <c r="BJ17" s="12" t="s">
        <v>617</v>
      </c>
      <c r="BK17" s="12" t="s">
        <v>618</v>
      </c>
      <c r="BL17" s="12" t="s">
        <v>617</v>
      </c>
      <c r="BM17" s="12" t="s">
        <v>884</v>
      </c>
      <c r="BN17" s="12" t="s">
        <v>598</v>
      </c>
      <c r="BO17" s="12" t="s">
        <v>598</v>
      </c>
      <c r="BP17" s="12" t="s">
        <v>598</v>
      </c>
      <c r="BQ17" s="12" t="s">
        <v>598</v>
      </c>
      <c r="BR17" s="12" t="s">
        <v>620</v>
      </c>
      <c r="BS17" s="12" t="s">
        <v>885</v>
      </c>
      <c r="BT17" s="12" t="str">
        <f>HYPERLINK("https%3A%2F%2Fwww.webofscience.com%2Fwos%2Fwoscc%2Ffull-record%2FWOS:000177834400006","View Full Record in Web of Science")</f>
        <v>View Full Record in Web of Science</v>
      </c>
    </row>
    <row r="18" ht="12.75" customHeight="1">
      <c r="A18" s="12" t="s">
        <v>596</v>
      </c>
      <c r="B18" s="12" t="s">
        <v>886</v>
      </c>
      <c r="C18" s="12" t="s">
        <v>598</v>
      </c>
      <c r="D18" s="12" t="s">
        <v>598</v>
      </c>
      <c r="E18" s="12" t="s">
        <v>598</v>
      </c>
      <c r="F18" s="12" t="s">
        <v>886</v>
      </c>
      <c r="G18" s="12" t="s">
        <v>598</v>
      </c>
      <c r="H18" s="12" t="s">
        <v>598</v>
      </c>
      <c r="I18" s="12" t="s">
        <v>139</v>
      </c>
      <c r="J18" s="12" t="s">
        <v>599</v>
      </c>
      <c r="K18" s="12" t="s">
        <v>598</v>
      </c>
      <c r="L18" s="12" t="s">
        <v>598</v>
      </c>
      <c r="M18" s="12" t="s">
        <v>600</v>
      </c>
      <c r="N18" s="12" t="s">
        <v>601</v>
      </c>
      <c r="O18" s="12" t="s">
        <v>598</v>
      </c>
      <c r="P18" s="12" t="s">
        <v>598</v>
      </c>
      <c r="Q18" s="12" t="s">
        <v>598</v>
      </c>
      <c r="R18" s="12" t="s">
        <v>598</v>
      </c>
      <c r="S18" s="12" t="s">
        <v>598</v>
      </c>
      <c r="T18" s="12" t="s">
        <v>887</v>
      </c>
      <c r="U18" s="12" t="s">
        <v>888</v>
      </c>
      <c r="V18" s="12" t="s">
        <v>889</v>
      </c>
      <c r="W18" s="12" t="s">
        <v>890</v>
      </c>
      <c r="X18" s="12" t="s">
        <v>891</v>
      </c>
      <c r="Y18" s="12" t="s">
        <v>892</v>
      </c>
      <c r="Z18" s="12" t="s">
        <v>745</v>
      </c>
      <c r="AA18" s="12" t="s">
        <v>598</v>
      </c>
      <c r="AB18" s="12" t="s">
        <v>598</v>
      </c>
      <c r="AC18" s="12" t="s">
        <v>598</v>
      </c>
      <c r="AD18" s="12" t="s">
        <v>598</v>
      </c>
      <c r="AE18" s="12" t="s">
        <v>598</v>
      </c>
      <c r="AF18" s="12" t="s">
        <v>598</v>
      </c>
      <c r="AG18" s="12">
        <v>62.0</v>
      </c>
      <c r="AH18" s="12">
        <v>27.0</v>
      </c>
      <c r="AI18" s="12">
        <v>39.0</v>
      </c>
      <c r="AJ18" s="12">
        <v>0.0</v>
      </c>
      <c r="AK18" s="12">
        <v>27.0</v>
      </c>
      <c r="AL18" s="12" t="s">
        <v>731</v>
      </c>
      <c r="AM18" s="12" t="s">
        <v>609</v>
      </c>
      <c r="AN18" s="12" t="s">
        <v>732</v>
      </c>
      <c r="AO18" s="12" t="s">
        <v>611</v>
      </c>
      <c r="AP18" s="12" t="s">
        <v>733</v>
      </c>
      <c r="AQ18" s="12" t="s">
        <v>598</v>
      </c>
      <c r="AR18" s="12" t="s">
        <v>612</v>
      </c>
      <c r="AS18" s="12" t="s">
        <v>613</v>
      </c>
      <c r="AT18" s="12" t="s">
        <v>893</v>
      </c>
      <c r="AU18" s="12">
        <v>2002.0</v>
      </c>
      <c r="AV18" s="12">
        <v>170.0</v>
      </c>
      <c r="AW18" s="12" t="s">
        <v>615</v>
      </c>
      <c r="AX18" s="12" t="s">
        <v>598</v>
      </c>
      <c r="AY18" s="12" t="s">
        <v>598</v>
      </c>
      <c r="AZ18" s="12" t="s">
        <v>598</v>
      </c>
      <c r="BA18" s="12" t="s">
        <v>598</v>
      </c>
      <c r="BB18" s="12">
        <v>173.0</v>
      </c>
      <c r="BC18" s="12">
        <v>187.0</v>
      </c>
      <c r="BD18" s="12" t="s">
        <v>894</v>
      </c>
      <c r="BE18" s="12" t="s">
        <v>895</v>
      </c>
      <c r="BF18" s="13" t="str">
        <f>HYPERLINK("http://dx.doi.org/10.1016/S0378-1127(01)00775-7","http://dx.doi.org/10.1016/S0378-1127(01)00775-7")</f>
        <v>http://dx.doi.org/10.1016/S0378-1127(01)00775-7</v>
      </c>
      <c r="BG18" s="12" t="s">
        <v>598</v>
      </c>
      <c r="BH18" s="12" t="s">
        <v>598</v>
      </c>
      <c r="BI18" s="12">
        <v>15.0</v>
      </c>
      <c r="BJ18" s="12" t="s">
        <v>617</v>
      </c>
      <c r="BK18" s="12" t="s">
        <v>618</v>
      </c>
      <c r="BL18" s="12" t="s">
        <v>617</v>
      </c>
      <c r="BM18" s="12" t="s">
        <v>896</v>
      </c>
      <c r="BN18" s="12" t="s">
        <v>598</v>
      </c>
      <c r="BO18" s="12" t="s">
        <v>598</v>
      </c>
      <c r="BP18" s="12" t="s">
        <v>598</v>
      </c>
      <c r="BQ18" s="12" t="s">
        <v>598</v>
      </c>
      <c r="BR18" s="12" t="s">
        <v>620</v>
      </c>
      <c r="BS18" s="12" t="s">
        <v>897</v>
      </c>
      <c r="BT18" s="12" t="str">
        <f>HYPERLINK("https%3A%2F%2Fwww.webofscience.com%2Fwos%2Fwoscc%2Ffull-record%2FWOS:000178567000013","View Full Record in Web of Science")</f>
        <v>View Full Record in Web of Science</v>
      </c>
    </row>
    <row r="19" ht="12.75" customHeight="1">
      <c r="A19" s="12" t="s">
        <v>596</v>
      </c>
      <c r="B19" s="12" t="s">
        <v>898</v>
      </c>
      <c r="C19" s="12" t="s">
        <v>598</v>
      </c>
      <c r="D19" s="12" t="s">
        <v>598</v>
      </c>
      <c r="E19" s="12" t="s">
        <v>598</v>
      </c>
      <c r="F19" s="12" t="s">
        <v>898</v>
      </c>
      <c r="G19" s="12" t="s">
        <v>598</v>
      </c>
      <c r="H19" s="12" t="s">
        <v>598</v>
      </c>
      <c r="I19" s="12" t="s">
        <v>899</v>
      </c>
      <c r="J19" s="12" t="s">
        <v>599</v>
      </c>
      <c r="K19" s="12" t="s">
        <v>598</v>
      </c>
      <c r="L19" s="12" t="s">
        <v>598</v>
      </c>
      <c r="M19" s="12" t="s">
        <v>600</v>
      </c>
      <c r="N19" s="12" t="s">
        <v>601</v>
      </c>
      <c r="O19" s="12" t="s">
        <v>598</v>
      </c>
      <c r="P19" s="12" t="s">
        <v>598</v>
      </c>
      <c r="Q19" s="12" t="s">
        <v>598</v>
      </c>
      <c r="R19" s="12" t="s">
        <v>598</v>
      </c>
      <c r="S19" s="12" t="s">
        <v>598</v>
      </c>
      <c r="T19" s="12" t="s">
        <v>900</v>
      </c>
      <c r="U19" s="12" t="s">
        <v>901</v>
      </c>
      <c r="V19" s="12" t="s">
        <v>902</v>
      </c>
      <c r="W19" s="12" t="s">
        <v>903</v>
      </c>
      <c r="X19" s="12" t="s">
        <v>904</v>
      </c>
      <c r="Y19" s="12" t="s">
        <v>905</v>
      </c>
      <c r="Z19" s="12" t="s">
        <v>906</v>
      </c>
      <c r="AA19" s="12" t="s">
        <v>907</v>
      </c>
      <c r="AB19" s="12" t="s">
        <v>908</v>
      </c>
      <c r="AC19" s="12" t="s">
        <v>598</v>
      </c>
      <c r="AD19" s="12" t="s">
        <v>598</v>
      </c>
      <c r="AE19" s="12" t="s">
        <v>598</v>
      </c>
      <c r="AF19" s="12" t="s">
        <v>598</v>
      </c>
      <c r="AG19" s="12">
        <v>87.0</v>
      </c>
      <c r="AH19" s="12">
        <v>84.0</v>
      </c>
      <c r="AI19" s="12">
        <v>101.0</v>
      </c>
      <c r="AJ19" s="12">
        <v>1.0</v>
      </c>
      <c r="AK19" s="12">
        <v>77.0</v>
      </c>
      <c r="AL19" s="12" t="s">
        <v>731</v>
      </c>
      <c r="AM19" s="12" t="s">
        <v>609</v>
      </c>
      <c r="AN19" s="12" t="s">
        <v>732</v>
      </c>
      <c r="AO19" s="12" t="s">
        <v>611</v>
      </c>
      <c r="AP19" s="12" t="s">
        <v>733</v>
      </c>
      <c r="AQ19" s="12" t="s">
        <v>598</v>
      </c>
      <c r="AR19" s="12" t="s">
        <v>612</v>
      </c>
      <c r="AS19" s="12" t="s">
        <v>613</v>
      </c>
      <c r="AT19" s="12" t="s">
        <v>909</v>
      </c>
      <c r="AU19" s="12">
        <v>2003.0</v>
      </c>
      <c r="AV19" s="12">
        <v>177.0</v>
      </c>
      <c r="AW19" s="12" t="s">
        <v>615</v>
      </c>
      <c r="AX19" s="12" t="s">
        <v>598</v>
      </c>
      <c r="AY19" s="12" t="s">
        <v>598</v>
      </c>
      <c r="AZ19" s="12" t="s">
        <v>598</v>
      </c>
      <c r="BA19" s="12" t="s">
        <v>598</v>
      </c>
      <c r="BB19" s="12">
        <v>17.0</v>
      </c>
      <c r="BC19" s="12">
        <v>37.0</v>
      </c>
      <c r="BD19" s="12" t="s">
        <v>910</v>
      </c>
      <c r="BE19" s="12" t="s">
        <v>911</v>
      </c>
      <c r="BF19" s="13" t="str">
        <f>HYPERLINK("http://dx.doi.org/10.1016/S0378-1127(02)00331-6","http://dx.doi.org/10.1016/S0378-1127(02)00331-6")</f>
        <v>http://dx.doi.org/10.1016/S0378-1127(02)00331-6</v>
      </c>
      <c r="BG19" s="12" t="s">
        <v>598</v>
      </c>
      <c r="BH19" s="12" t="s">
        <v>598</v>
      </c>
      <c r="BI19" s="12">
        <v>21.0</v>
      </c>
      <c r="BJ19" s="12" t="s">
        <v>617</v>
      </c>
      <c r="BK19" s="12" t="s">
        <v>618</v>
      </c>
      <c r="BL19" s="12" t="s">
        <v>617</v>
      </c>
      <c r="BM19" s="12" t="s">
        <v>912</v>
      </c>
      <c r="BN19" s="12" t="s">
        <v>598</v>
      </c>
      <c r="BO19" s="12" t="s">
        <v>598</v>
      </c>
      <c r="BP19" s="12" t="s">
        <v>598</v>
      </c>
      <c r="BQ19" s="12" t="s">
        <v>598</v>
      </c>
      <c r="BR19" s="12" t="s">
        <v>620</v>
      </c>
      <c r="BS19" s="12" t="s">
        <v>913</v>
      </c>
      <c r="BT19" s="12" t="str">
        <f>HYPERLINK("https%3A%2F%2Fwww.webofscience.com%2Fwos%2Fwoscc%2Ffull-record%2FWOS:000182041800003","View Full Record in Web of Science")</f>
        <v>View Full Record in Web of Science</v>
      </c>
    </row>
    <row r="20" ht="12.75" customHeight="1">
      <c r="A20" s="12" t="s">
        <v>596</v>
      </c>
      <c r="B20" s="12" t="s">
        <v>914</v>
      </c>
      <c r="C20" s="12" t="s">
        <v>598</v>
      </c>
      <c r="D20" s="12" t="s">
        <v>598</v>
      </c>
      <c r="E20" s="12" t="s">
        <v>598</v>
      </c>
      <c r="F20" s="12" t="s">
        <v>914</v>
      </c>
      <c r="G20" s="12" t="s">
        <v>598</v>
      </c>
      <c r="H20" s="12" t="s">
        <v>598</v>
      </c>
      <c r="I20" s="12" t="s">
        <v>210</v>
      </c>
      <c r="J20" s="12" t="s">
        <v>700</v>
      </c>
      <c r="K20" s="12" t="s">
        <v>598</v>
      </c>
      <c r="L20" s="12" t="s">
        <v>598</v>
      </c>
      <c r="M20" s="12" t="s">
        <v>600</v>
      </c>
      <c r="N20" s="12" t="s">
        <v>601</v>
      </c>
      <c r="O20" s="12" t="s">
        <v>598</v>
      </c>
      <c r="P20" s="12" t="s">
        <v>598</v>
      </c>
      <c r="Q20" s="12" t="s">
        <v>598</v>
      </c>
      <c r="R20" s="12" t="s">
        <v>598</v>
      </c>
      <c r="S20" s="12" t="s">
        <v>598</v>
      </c>
      <c r="T20" s="12" t="s">
        <v>915</v>
      </c>
      <c r="U20" s="12" t="s">
        <v>916</v>
      </c>
      <c r="V20" s="12" t="s">
        <v>917</v>
      </c>
      <c r="W20" s="12" t="s">
        <v>918</v>
      </c>
      <c r="X20" s="12" t="s">
        <v>919</v>
      </c>
      <c r="Y20" s="12" t="s">
        <v>920</v>
      </c>
      <c r="Z20" s="12" t="s">
        <v>921</v>
      </c>
      <c r="AA20" s="12" t="s">
        <v>922</v>
      </c>
      <c r="AB20" s="12" t="s">
        <v>923</v>
      </c>
      <c r="AC20" s="12" t="s">
        <v>598</v>
      </c>
      <c r="AD20" s="12" t="s">
        <v>598</v>
      </c>
      <c r="AE20" s="12" t="s">
        <v>598</v>
      </c>
      <c r="AF20" s="12" t="s">
        <v>598</v>
      </c>
      <c r="AG20" s="12">
        <v>76.0</v>
      </c>
      <c r="AH20" s="12">
        <v>169.0</v>
      </c>
      <c r="AI20" s="12">
        <v>198.0</v>
      </c>
      <c r="AJ20" s="12">
        <v>0.0</v>
      </c>
      <c r="AK20" s="12">
        <v>54.0</v>
      </c>
      <c r="AL20" s="12" t="s">
        <v>708</v>
      </c>
      <c r="AM20" s="12" t="s">
        <v>709</v>
      </c>
      <c r="AN20" s="12" t="s">
        <v>710</v>
      </c>
      <c r="AO20" s="12" t="s">
        <v>711</v>
      </c>
      <c r="AP20" s="12" t="s">
        <v>712</v>
      </c>
      <c r="AQ20" s="12" t="s">
        <v>598</v>
      </c>
      <c r="AR20" s="12" t="s">
        <v>713</v>
      </c>
      <c r="AS20" s="12" t="s">
        <v>714</v>
      </c>
      <c r="AT20" s="12" t="s">
        <v>924</v>
      </c>
      <c r="AU20" s="12">
        <v>2003.0</v>
      </c>
      <c r="AV20" s="12">
        <v>40.0</v>
      </c>
      <c r="AW20" s="12">
        <v>2.0</v>
      </c>
      <c r="AX20" s="12" t="s">
        <v>598</v>
      </c>
      <c r="AY20" s="12" t="s">
        <v>598</v>
      </c>
      <c r="AZ20" s="12" t="s">
        <v>598</v>
      </c>
      <c r="BA20" s="12" t="s">
        <v>598</v>
      </c>
      <c r="BB20" s="12">
        <v>380.0</v>
      </c>
      <c r="BC20" s="12">
        <v>391.0</v>
      </c>
      <c r="BD20" s="12" t="s">
        <v>598</v>
      </c>
      <c r="BE20" s="12" t="s">
        <v>925</v>
      </c>
      <c r="BF20" s="13" t="str">
        <f>HYPERLINK("http://dx.doi.org/10.1046/j.1365-2664.2003.00794.x","http://dx.doi.org/10.1046/j.1365-2664.2003.00794.x")</f>
        <v>http://dx.doi.org/10.1046/j.1365-2664.2003.00794.x</v>
      </c>
      <c r="BG20" s="12" t="s">
        <v>598</v>
      </c>
      <c r="BH20" s="12" t="s">
        <v>598</v>
      </c>
      <c r="BI20" s="12">
        <v>12.0</v>
      </c>
      <c r="BJ20" s="12" t="s">
        <v>717</v>
      </c>
      <c r="BK20" s="12" t="s">
        <v>618</v>
      </c>
      <c r="BL20" s="12" t="s">
        <v>679</v>
      </c>
      <c r="BM20" s="12" t="s">
        <v>926</v>
      </c>
      <c r="BN20" s="12" t="s">
        <v>598</v>
      </c>
      <c r="BO20" s="12" t="s">
        <v>598</v>
      </c>
      <c r="BP20" s="12" t="s">
        <v>598</v>
      </c>
      <c r="BQ20" s="12" t="s">
        <v>598</v>
      </c>
      <c r="BR20" s="12" t="s">
        <v>620</v>
      </c>
      <c r="BS20" s="12" t="s">
        <v>927</v>
      </c>
      <c r="BT20" s="12" t="str">
        <f>HYPERLINK("https%3A%2F%2Fwww.webofscience.com%2Fwos%2Fwoscc%2Ffull-record%2FWOS:000182118700016","View Full Record in Web of Science")</f>
        <v>View Full Record in Web of Science</v>
      </c>
    </row>
    <row r="21" ht="12.75" customHeight="1">
      <c r="A21" s="12" t="s">
        <v>596</v>
      </c>
      <c r="B21" s="12" t="s">
        <v>928</v>
      </c>
      <c r="C21" s="12" t="s">
        <v>598</v>
      </c>
      <c r="D21" s="12" t="s">
        <v>598</v>
      </c>
      <c r="E21" s="12" t="s">
        <v>598</v>
      </c>
      <c r="F21" s="12" t="s">
        <v>928</v>
      </c>
      <c r="G21" s="12" t="s">
        <v>598</v>
      </c>
      <c r="H21" s="12" t="s">
        <v>598</v>
      </c>
      <c r="I21" s="12" t="s">
        <v>68</v>
      </c>
      <c r="J21" s="12" t="s">
        <v>683</v>
      </c>
      <c r="K21" s="12" t="s">
        <v>598</v>
      </c>
      <c r="L21" s="12" t="s">
        <v>598</v>
      </c>
      <c r="M21" s="12" t="s">
        <v>600</v>
      </c>
      <c r="N21" s="12" t="s">
        <v>601</v>
      </c>
      <c r="O21" s="12" t="s">
        <v>598</v>
      </c>
      <c r="P21" s="12" t="s">
        <v>598</v>
      </c>
      <c r="Q21" s="12" t="s">
        <v>598</v>
      </c>
      <c r="R21" s="12" t="s">
        <v>598</v>
      </c>
      <c r="S21" s="12" t="s">
        <v>598</v>
      </c>
      <c r="T21" s="12" t="s">
        <v>929</v>
      </c>
      <c r="U21" s="12" t="s">
        <v>598</v>
      </c>
      <c r="V21" s="12" t="s">
        <v>930</v>
      </c>
      <c r="W21" s="12" t="s">
        <v>931</v>
      </c>
      <c r="X21" s="12" t="s">
        <v>598</v>
      </c>
      <c r="Y21" s="12" t="s">
        <v>932</v>
      </c>
      <c r="Z21" s="12" t="s">
        <v>933</v>
      </c>
      <c r="AA21" s="12" t="s">
        <v>934</v>
      </c>
      <c r="AB21" s="12" t="s">
        <v>935</v>
      </c>
      <c r="AC21" s="12" t="s">
        <v>598</v>
      </c>
      <c r="AD21" s="12" t="s">
        <v>598</v>
      </c>
      <c r="AE21" s="12" t="s">
        <v>598</v>
      </c>
      <c r="AF21" s="12" t="s">
        <v>598</v>
      </c>
      <c r="AG21" s="12">
        <v>31.0</v>
      </c>
      <c r="AH21" s="12">
        <v>64.0</v>
      </c>
      <c r="AI21" s="12">
        <v>84.0</v>
      </c>
      <c r="AJ21" s="12">
        <v>0.0</v>
      </c>
      <c r="AK21" s="12">
        <v>39.0</v>
      </c>
      <c r="AL21" s="12" t="s">
        <v>731</v>
      </c>
      <c r="AM21" s="12" t="s">
        <v>609</v>
      </c>
      <c r="AN21" s="12" t="s">
        <v>732</v>
      </c>
      <c r="AO21" s="12" t="s">
        <v>690</v>
      </c>
      <c r="AP21" s="12" t="s">
        <v>936</v>
      </c>
      <c r="AQ21" s="12" t="s">
        <v>598</v>
      </c>
      <c r="AR21" s="12" t="s">
        <v>691</v>
      </c>
      <c r="AS21" s="12" t="s">
        <v>692</v>
      </c>
      <c r="AT21" s="12" t="s">
        <v>634</v>
      </c>
      <c r="AU21" s="12">
        <v>2003.0</v>
      </c>
      <c r="AV21" s="12">
        <v>95.0</v>
      </c>
      <c r="AW21" s="12" t="s">
        <v>937</v>
      </c>
      <c r="AX21" s="12" t="s">
        <v>598</v>
      </c>
      <c r="AY21" s="12" t="s">
        <v>598</v>
      </c>
      <c r="AZ21" s="12" t="s">
        <v>598</v>
      </c>
      <c r="BA21" s="12" t="s">
        <v>598</v>
      </c>
      <c r="BB21" s="12">
        <v>481.0</v>
      </c>
      <c r="BC21" s="12">
        <v>493.0</v>
      </c>
      <c r="BD21" s="12" t="s">
        <v>938</v>
      </c>
      <c r="BE21" s="12" t="s">
        <v>939</v>
      </c>
      <c r="BF21" s="13" t="str">
        <f>HYPERLINK("http://dx.doi.org/10.1016/S0167-8809(02)00204-9","http://dx.doi.org/10.1016/S0167-8809(02)00204-9")</f>
        <v>http://dx.doi.org/10.1016/S0167-8809(02)00204-9</v>
      </c>
      <c r="BG21" s="12" t="s">
        <v>598</v>
      </c>
      <c r="BH21" s="12" t="s">
        <v>598</v>
      </c>
      <c r="BI21" s="12">
        <v>13.0</v>
      </c>
      <c r="BJ21" s="12" t="s">
        <v>695</v>
      </c>
      <c r="BK21" s="12" t="s">
        <v>618</v>
      </c>
      <c r="BL21" s="12" t="s">
        <v>696</v>
      </c>
      <c r="BM21" s="12" t="s">
        <v>940</v>
      </c>
      <c r="BN21" s="12" t="s">
        <v>598</v>
      </c>
      <c r="BO21" s="12" t="s">
        <v>598</v>
      </c>
      <c r="BP21" s="12" t="s">
        <v>598</v>
      </c>
      <c r="BQ21" s="12" t="s">
        <v>598</v>
      </c>
      <c r="BR21" s="12" t="s">
        <v>620</v>
      </c>
      <c r="BS21" s="12" t="s">
        <v>941</v>
      </c>
      <c r="BT21" s="12" t="str">
        <f>HYPERLINK("https%3A%2F%2Fwww.webofscience.com%2Fwos%2Fwoscc%2Ffull-record%2FWOS:000182329600007","View Full Record in Web of Science")</f>
        <v>View Full Record in Web of Science</v>
      </c>
    </row>
    <row r="22" ht="12.75" customHeight="1">
      <c r="A22" s="12" t="s">
        <v>596</v>
      </c>
      <c r="B22" s="12" t="s">
        <v>942</v>
      </c>
      <c r="C22" s="12" t="s">
        <v>598</v>
      </c>
      <c r="D22" s="12" t="s">
        <v>598</v>
      </c>
      <c r="E22" s="12" t="s">
        <v>598</v>
      </c>
      <c r="F22" s="12" t="s">
        <v>942</v>
      </c>
      <c r="G22" s="12" t="s">
        <v>598</v>
      </c>
      <c r="H22" s="12" t="s">
        <v>598</v>
      </c>
      <c r="I22" s="12" t="s">
        <v>179</v>
      </c>
      <c r="J22" s="12" t="s">
        <v>662</v>
      </c>
      <c r="K22" s="12" t="s">
        <v>598</v>
      </c>
      <c r="L22" s="12" t="s">
        <v>598</v>
      </c>
      <c r="M22" s="12" t="s">
        <v>600</v>
      </c>
      <c r="N22" s="12" t="s">
        <v>601</v>
      </c>
      <c r="O22" s="12" t="s">
        <v>598</v>
      </c>
      <c r="P22" s="12" t="s">
        <v>598</v>
      </c>
      <c r="Q22" s="12" t="s">
        <v>598</v>
      </c>
      <c r="R22" s="12" t="s">
        <v>598</v>
      </c>
      <c r="S22" s="12" t="s">
        <v>598</v>
      </c>
      <c r="T22" s="12" t="s">
        <v>943</v>
      </c>
      <c r="U22" s="12" t="s">
        <v>944</v>
      </c>
      <c r="V22" s="12" t="s">
        <v>945</v>
      </c>
      <c r="W22" s="12" t="s">
        <v>946</v>
      </c>
      <c r="X22" s="12" t="s">
        <v>947</v>
      </c>
      <c r="Y22" s="12" t="s">
        <v>948</v>
      </c>
      <c r="Z22" s="12" t="s">
        <v>949</v>
      </c>
      <c r="AA22" s="12" t="s">
        <v>950</v>
      </c>
      <c r="AB22" s="12" t="s">
        <v>951</v>
      </c>
      <c r="AC22" s="12" t="s">
        <v>598</v>
      </c>
      <c r="AD22" s="12" t="s">
        <v>598</v>
      </c>
      <c r="AE22" s="12" t="s">
        <v>598</v>
      </c>
      <c r="AF22" s="12" t="s">
        <v>598</v>
      </c>
      <c r="AG22" s="12">
        <v>53.0</v>
      </c>
      <c r="AH22" s="12">
        <v>40.0</v>
      </c>
      <c r="AI22" s="12">
        <v>45.0</v>
      </c>
      <c r="AJ22" s="12">
        <v>0.0</v>
      </c>
      <c r="AK22" s="12">
        <v>28.0</v>
      </c>
      <c r="AL22" s="12" t="s">
        <v>670</v>
      </c>
      <c r="AM22" s="12" t="s">
        <v>671</v>
      </c>
      <c r="AN22" s="12" t="s">
        <v>672</v>
      </c>
      <c r="AO22" s="12" t="s">
        <v>673</v>
      </c>
      <c r="AP22" s="12" t="s">
        <v>674</v>
      </c>
      <c r="AQ22" s="12" t="s">
        <v>598</v>
      </c>
      <c r="AR22" s="12" t="s">
        <v>675</v>
      </c>
      <c r="AS22" s="12" t="s">
        <v>676</v>
      </c>
      <c r="AT22" s="12" t="s">
        <v>750</v>
      </c>
      <c r="AU22" s="12">
        <v>2003.0</v>
      </c>
      <c r="AV22" s="12">
        <v>12.0</v>
      </c>
      <c r="AW22" s="12">
        <v>8.0</v>
      </c>
      <c r="AX22" s="12" t="s">
        <v>598</v>
      </c>
      <c r="AY22" s="12" t="s">
        <v>598</v>
      </c>
      <c r="AZ22" s="12" t="s">
        <v>598</v>
      </c>
      <c r="BA22" s="12" t="s">
        <v>598</v>
      </c>
      <c r="BB22" s="12">
        <v>1553.0</v>
      </c>
      <c r="BC22" s="12">
        <v>1570.0</v>
      </c>
      <c r="BD22" s="12" t="s">
        <v>598</v>
      </c>
      <c r="BE22" s="12" t="s">
        <v>952</v>
      </c>
      <c r="BF22" s="13" t="str">
        <f>HYPERLINK("http://dx.doi.org/10.1023/A:1023603813163","http://dx.doi.org/10.1023/A:1023603813163")</f>
        <v>http://dx.doi.org/10.1023/A:1023603813163</v>
      </c>
      <c r="BG22" s="12" t="s">
        <v>598</v>
      </c>
      <c r="BH22" s="12" t="s">
        <v>598</v>
      </c>
      <c r="BI22" s="12">
        <v>18.0</v>
      </c>
      <c r="BJ22" s="12" t="s">
        <v>678</v>
      </c>
      <c r="BK22" s="12" t="s">
        <v>618</v>
      </c>
      <c r="BL22" s="12" t="s">
        <v>679</v>
      </c>
      <c r="BM22" s="12" t="s">
        <v>953</v>
      </c>
      <c r="BN22" s="12" t="s">
        <v>598</v>
      </c>
      <c r="BO22" s="12" t="s">
        <v>954</v>
      </c>
      <c r="BP22" s="12" t="s">
        <v>598</v>
      </c>
      <c r="BQ22" s="12" t="s">
        <v>598</v>
      </c>
      <c r="BR22" s="12" t="s">
        <v>620</v>
      </c>
      <c r="BS22" s="12" t="s">
        <v>955</v>
      </c>
      <c r="BT22" s="12" t="str">
        <f>HYPERLINK("https%3A%2F%2Fwww.webofscience.com%2Fwos%2Fwoscc%2Ffull-record%2FWOS:000182583000001","View Full Record in Web of Science")</f>
        <v>View Full Record in Web of Science</v>
      </c>
    </row>
    <row r="23" ht="12.75" customHeight="1">
      <c r="A23" s="12" t="s">
        <v>596</v>
      </c>
      <c r="B23" s="12" t="s">
        <v>956</v>
      </c>
      <c r="C23" s="12" t="s">
        <v>598</v>
      </c>
      <c r="D23" s="12" t="s">
        <v>598</v>
      </c>
      <c r="E23" s="12" t="s">
        <v>598</v>
      </c>
      <c r="F23" s="12" t="s">
        <v>956</v>
      </c>
      <c r="G23" s="12" t="s">
        <v>598</v>
      </c>
      <c r="H23" s="12" t="s">
        <v>598</v>
      </c>
      <c r="I23" s="12" t="s">
        <v>214</v>
      </c>
      <c r="J23" s="12" t="s">
        <v>599</v>
      </c>
      <c r="K23" s="12" t="s">
        <v>598</v>
      </c>
      <c r="L23" s="12" t="s">
        <v>598</v>
      </c>
      <c r="M23" s="12" t="s">
        <v>600</v>
      </c>
      <c r="N23" s="12" t="s">
        <v>601</v>
      </c>
      <c r="O23" s="12" t="s">
        <v>598</v>
      </c>
      <c r="P23" s="12" t="s">
        <v>598</v>
      </c>
      <c r="Q23" s="12" t="s">
        <v>598</v>
      </c>
      <c r="R23" s="12" t="s">
        <v>598</v>
      </c>
      <c r="S23" s="12" t="s">
        <v>598</v>
      </c>
      <c r="T23" s="12" t="s">
        <v>957</v>
      </c>
      <c r="U23" s="12" t="s">
        <v>958</v>
      </c>
      <c r="V23" s="12" t="s">
        <v>959</v>
      </c>
      <c r="W23" s="12" t="s">
        <v>960</v>
      </c>
      <c r="X23" s="12" t="s">
        <v>849</v>
      </c>
      <c r="Y23" s="12" t="s">
        <v>961</v>
      </c>
      <c r="Z23" s="12" t="s">
        <v>598</v>
      </c>
      <c r="AA23" s="12" t="s">
        <v>598</v>
      </c>
      <c r="AB23" s="12" t="s">
        <v>598</v>
      </c>
      <c r="AC23" s="12" t="s">
        <v>598</v>
      </c>
      <c r="AD23" s="12" t="s">
        <v>598</v>
      </c>
      <c r="AE23" s="12" t="s">
        <v>598</v>
      </c>
      <c r="AF23" s="12" t="s">
        <v>598</v>
      </c>
      <c r="AG23" s="12">
        <v>28.0</v>
      </c>
      <c r="AH23" s="12">
        <v>14.0</v>
      </c>
      <c r="AI23" s="12">
        <v>16.0</v>
      </c>
      <c r="AJ23" s="12">
        <v>3.0</v>
      </c>
      <c r="AK23" s="12">
        <v>16.0</v>
      </c>
      <c r="AL23" s="12" t="s">
        <v>608</v>
      </c>
      <c r="AM23" s="12" t="s">
        <v>609</v>
      </c>
      <c r="AN23" s="12" t="s">
        <v>610</v>
      </c>
      <c r="AO23" s="12" t="s">
        <v>611</v>
      </c>
      <c r="AP23" s="12" t="s">
        <v>598</v>
      </c>
      <c r="AQ23" s="12" t="s">
        <v>598</v>
      </c>
      <c r="AR23" s="12" t="s">
        <v>612</v>
      </c>
      <c r="AS23" s="12" t="s">
        <v>613</v>
      </c>
      <c r="AT23" s="12" t="s">
        <v>962</v>
      </c>
      <c r="AU23" s="12">
        <v>2003.0</v>
      </c>
      <c r="AV23" s="12">
        <v>182.0</v>
      </c>
      <c r="AW23" s="12" t="s">
        <v>615</v>
      </c>
      <c r="AX23" s="12" t="s">
        <v>598</v>
      </c>
      <c r="AY23" s="12" t="s">
        <v>598</v>
      </c>
      <c r="AZ23" s="12" t="s">
        <v>598</v>
      </c>
      <c r="BA23" s="12" t="s">
        <v>598</v>
      </c>
      <c r="BB23" s="12">
        <v>103.0</v>
      </c>
      <c r="BC23" s="12">
        <v>116.0</v>
      </c>
      <c r="BD23" s="12" t="s">
        <v>598</v>
      </c>
      <c r="BE23" s="12" t="s">
        <v>963</v>
      </c>
      <c r="BF23" s="13" t="str">
        <f>HYPERLINK("http://dx.doi.org/10.1016/S0378-1127(03)00012-4","http://dx.doi.org/10.1016/S0378-1127(03)00012-4")</f>
        <v>http://dx.doi.org/10.1016/S0378-1127(03)00012-4</v>
      </c>
      <c r="BG23" s="12" t="s">
        <v>598</v>
      </c>
      <c r="BH23" s="12" t="s">
        <v>598</v>
      </c>
      <c r="BI23" s="12">
        <v>14.0</v>
      </c>
      <c r="BJ23" s="12" t="s">
        <v>617</v>
      </c>
      <c r="BK23" s="12" t="s">
        <v>618</v>
      </c>
      <c r="BL23" s="12" t="s">
        <v>617</v>
      </c>
      <c r="BM23" s="12" t="s">
        <v>964</v>
      </c>
      <c r="BN23" s="12" t="s">
        <v>598</v>
      </c>
      <c r="BO23" s="12" t="s">
        <v>598</v>
      </c>
      <c r="BP23" s="12" t="s">
        <v>598</v>
      </c>
      <c r="BQ23" s="12" t="s">
        <v>598</v>
      </c>
      <c r="BR23" s="12" t="s">
        <v>620</v>
      </c>
      <c r="BS23" s="12" t="s">
        <v>965</v>
      </c>
      <c r="BT23" s="12" t="str">
        <f>HYPERLINK("https%3A%2F%2Fwww.webofscience.com%2Fwos%2Fwoscc%2Ffull-record%2FWOS:000185054900008","View Full Record in Web of Science")</f>
        <v>View Full Record in Web of Science</v>
      </c>
    </row>
    <row r="24" ht="12.75" customHeight="1">
      <c r="A24" s="12" t="s">
        <v>596</v>
      </c>
      <c r="B24" s="12" t="s">
        <v>966</v>
      </c>
      <c r="C24" s="12" t="s">
        <v>598</v>
      </c>
      <c r="D24" s="12" t="s">
        <v>598</v>
      </c>
      <c r="E24" s="12" t="s">
        <v>598</v>
      </c>
      <c r="F24" s="12" t="s">
        <v>966</v>
      </c>
      <c r="G24" s="12" t="s">
        <v>598</v>
      </c>
      <c r="H24" s="12" t="s">
        <v>598</v>
      </c>
      <c r="I24" s="12" t="s">
        <v>135</v>
      </c>
      <c r="J24" s="12" t="s">
        <v>599</v>
      </c>
      <c r="K24" s="12" t="s">
        <v>598</v>
      </c>
      <c r="L24" s="12" t="s">
        <v>598</v>
      </c>
      <c r="M24" s="12" t="s">
        <v>600</v>
      </c>
      <c r="N24" s="12" t="s">
        <v>601</v>
      </c>
      <c r="O24" s="12" t="s">
        <v>598</v>
      </c>
      <c r="P24" s="12" t="s">
        <v>598</v>
      </c>
      <c r="Q24" s="12" t="s">
        <v>598</v>
      </c>
      <c r="R24" s="12" t="s">
        <v>598</v>
      </c>
      <c r="S24" s="12" t="s">
        <v>598</v>
      </c>
      <c r="T24" s="12" t="s">
        <v>967</v>
      </c>
      <c r="U24" s="12" t="s">
        <v>968</v>
      </c>
      <c r="V24" s="12" t="s">
        <v>969</v>
      </c>
      <c r="W24" s="12" t="s">
        <v>970</v>
      </c>
      <c r="X24" s="12" t="s">
        <v>971</v>
      </c>
      <c r="Y24" s="12" t="s">
        <v>972</v>
      </c>
      <c r="Z24" s="12" t="s">
        <v>973</v>
      </c>
      <c r="AA24" s="12" t="s">
        <v>974</v>
      </c>
      <c r="AB24" s="12" t="s">
        <v>598</v>
      </c>
      <c r="AC24" s="12" t="s">
        <v>598</v>
      </c>
      <c r="AD24" s="12" t="s">
        <v>598</v>
      </c>
      <c r="AE24" s="12" t="s">
        <v>598</v>
      </c>
      <c r="AF24" s="12" t="s">
        <v>598</v>
      </c>
      <c r="AG24" s="12">
        <v>32.0</v>
      </c>
      <c r="AH24" s="12">
        <v>52.0</v>
      </c>
      <c r="AI24" s="12">
        <v>57.0</v>
      </c>
      <c r="AJ24" s="12">
        <v>0.0</v>
      </c>
      <c r="AK24" s="12">
        <v>24.0</v>
      </c>
      <c r="AL24" s="12" t="s">
        <v>731</v>
      </c>
      <c r="AM24" s="12" t="s">
        <v>609</v>
      </c>
      <c r="AN24" s="12" t="s">
        <v>732</v>
      </c>
      <c r="AO24" s="12" t="s">
        <v>611</v>
      </c>
      <c r="AP24" s="12" t="s">
        <v>733</v>
      </c>
      <c r="AQ24" s="12" t="s">
        <v>598</v>
      </c>
      <c r="AR24" s="12" t="s">
        <v>612</v>
      </c>
      <c r="AS24" s="12" t="s">
        <v>613</v>
      </c>
      <c r="AT24" s="12" t="s">
        <v>975</v>
      </c>
      <c r="AU24" s="12">
        <v>2004.0</v>
      </c>
      <c r="AV24" s="12">
        <v>187.0</v>
      </c>
      <c r="AW24" s="12" t="s">
        <v>937</v>
      </c>
      <c r="AX24" s="12" t="s">
        <v>598</v>
      </c>
      <c r="AY24" s="12" t="s">
        <v>598</v>
      </c>
      <c r="AZ24" s="12" t="s">
        <v>598</v>
      </c>
      <c r="BA24" s="12" t="s">
        <v>598</v>
      </c>
      <c r="BB24" s="12">
        <v>213.0</v>
      </c>
      <c r="BC24" s="12">
        <v>223.0</v>
      </c>
      <c r="BD24" s="12" t="s">
        <v>598</v>
      </c>
      <c r="BE24" s="12" t="s">
        <v>976</v>
      </c>
      <c r="BF24" s="13" t="str">
        <f>HYPERLINK("http://dx.doi.org/10.1016/S0378-1127(03)00333-5","http://dx.doi.org/10.1016/S0378-1127(03)00333-5")</f>
        <v>http://dx.doi.org/10.1016/S0378-1127(03)00333-5</v>
      </c>
      <c r="BG24" s="12" t="s">
        <v>598</v>
      </c>
      <c r="BH24" s="12" t="s">
        <v>598</v>
      </c>
      <c r="BI24" s="12">
        <v>11.0</v>
      </c>
      <c r="BJ24" s="12" t="s">
        <v>617</v>
      </c>
      <c r="BK24" s="12" t="s">
        <v>618</v>
      </c>
      <c r="BL24" s="12" t="s">
        <v>617</v>
      </c>
      <c r="BM24" s="12" t="s">
        <v>977</v>
      </c>
      <c r="BN24" s="12" t="s">
        <v>598</v>
      </c>
      <c r="BO24" s="12" t="s">
        <v>598</v>
      </c>
      <c r="BP24" s="12" t="s">
        <v>598</v>
      </c>
      <c r="BQ24" s="12" t="s">
        <v>598</v>
      </c>
      <c r="BR24" s="12" t="s">
        <v>620</v>
      </c>
      <c r="BS24" s="12" t="s">
        <v>978</v>
      </c>
      <c r="BT24" s="12" t="str">
        <f>HYPERLINK("https%3A%2F%2Fwww.webofscience.com%2Fwos%2Fwoscc%2Ffull-record%2FWOS:000187914900007","View Full Record in Web of Science")</f>
        <v>View Full Record in Web of Science</v>
      </c>
    </row>
    <row r="25" ht="12.75" customHeight="1">
      <c r="A25" s="12" t="s">
        <v>596</v>
      </c>
      <c r="B25" s="12" t="s">
        <v>979</v>
      </c>
      <c r="C25" s="12" t="s">
        <v>598</v>
      </c>
      <c r="D25" s="12" t="s">
        <v>598</v>
      </c>
      <c r="E25" s="12" t="s">
        <v>598</v>
      </c>
      <c r="F25" s="12" t="s">
        <v>980</v>
      </c>
      <c r="G25" s="12" t="s">
        <v>598</v>
      </c>
      <c r="H25" s="12" t="s">
        <v>598</v>
      </c>
      <c r="I25" s="12" t="s">
        <v>155</v>
      </c>
      <c r="J25" s="12" t="s">
        <v>981</v>
      </c>
      <c r="K25" s="12" t="s">
        <v>598</v>
      </c>
      <c r="L25" s="12" t="s">
        <v>598</v>
      </c>
      <c r="M25" s="12" t="s">
        <v>600</v>
      </c>
      <c r="N25" s="12" t="s">
        <v>601</v>
      </c>
      <c r="O25" s="12" t="s">
        <v>598</v>
      </c>
      <c r="P25" s="12" t="s">
        <v>598</v>
      </c>
      <c r="Q25" s="12" t="s">
        <v>598</v>
      </c>
      <c r="R25" s="12" t="s">
        <v>598</v>
      </c>
      <c r="S25" s="12" t="s">
        <v>598</v>
      </c>
      <c r="T25" s="12" t="s">
        <v>982</v>
      </c>
      <c r="U25" s="12" t="s">
        <v>983</v>
      </c>
      <c r="V25" s="12" t="s">
        <v>984</v>
      </c>
      <c r="W25" s="12" t="s">
        <v>985</v>
      </c>
      <c r="X25" s="12" t="s">
        <v>986</v>
      </c>
      <c r="Y25" s="12" t="s">
        <v>987</v>
      </c>
      <c r="Z25" s="12" t="s">
        <v>988</v>
      </c>
      <c r="AA25" s="12" t="s">
        <v>598</v>
      </c>
      <c r="AB25" s="12" t="s">
        <v>989</v>
      </c>
      <c r="AC25" s="12" t="s">
        <v>990</v>
      </c>
      <c r="AD25" s="12" t="s">
        <v>991</v>
      </c>
      <c r="AE25" s="12" t="s">
        <v>992</v>
      </c>
      <c r="AF25" s="12" t="s">
        <v>598</v>
      </c>
      <c r="AG25" s="12">
        <v>74.0</v>
      </c>
      <c r="AH25" s="12">
        <v>10.0</v>
      </c>
      <c r="AI25" s="12">
        <v>13.0</v>
      </c>
      <c r="AJ25" s="12">
        <v>0.0</v>
      </c>
      <c r="AK25" s="12">
        <v>15.0</v>
      </c>
      <c r="AL25" s="12" t="s">
        <v>993</v>
      </c>
      <c r="AM25" s="12" t="s">
        <v>994</v>
      </c>
      <c r="AN25" s="12" t="s">
        <v>995</v>
      </c>
      <c r="AO25" s="12" t="s">
        <v>996</v>
      </c>
      <c r="AP25" s="12" t="s">
        <v>598</v>
      </c>
      <c r="AQ25" s="12" t="s">
        <v>598</v>
      </c>
      <c r="AR25" s="12" t="s">
        <v>997</v>
      </c>
      <c r="AS25" s="12" t="s">
        <v>998</v>
      </c>
      <c r="AT25" s="12" t="s">
        <v>999</v>
      </c>
      <c r="AU25" s="12">
        <v>2008.0</v>
      </c>
      <c r="AV25" s="12">
        <v>1.0</v>
      </c>
      <c r="AW25" s="12" t="s">
        <v>598</v>
      </c>
      <c r="AX25" s="12" t="s">
        <v>598</v>
      </c>
      <c r="AY25" s="12" t="s">
        <v>598</v>
      </c>
      <c r="AZ25" s="12" t="s">
        <v>598</v>
      </c>
      <c r="BA25" s="12" t="s">
        <v>598</v>
      </c>
      <c r="BB25" s="12">
        <v>145.0</v>
      </c>
      <c r="BC25" s="12">
        <v>156.0</v>
      </c>
      <c r="BD25" s="12" t="s">
        <v>598</v>
      </c>
      <c r="BE25" s="12" t="s">
        <v>1000</v>
      </c>
      <c r="BF25" s="13" t="str">
        <f>HYPERLINK("http://dx.doi.org/10.3832/ifor0470-0010145","http://dx.doi.org/10.3832/ifor0470-0010145")</f>
        <v>http://dx.doi.org/10.3832/ifor0470-0010145</v>
      </c>
      <c r="BG25" s="12" t="s">
        <v>598</v>
      </c>
      <c r="BH25" s="12" t="s">
        <v>598</v>
      </c>
      <c r="BI25" s="12">
        <v>12.0</v>
      </c>
      <c r="BJ25" s="12" t="s">
        <v>617</v>
      </c>
      <c r="BK25" s="12" t="s">
        <v>618</v>
      </c>
      <c r="BL25" s="12" t="s">
        <v>617</v>
      </c>
      <c r="BM25" s="12" t="s">
        <v>1001</v>
      </c>
      <c r="BN25" s="12" t="s">
        <v>598</v>
      </c>
      <c r="BO25" s="12" t="s">
        <v>1002</v>
      </c>
      <c r="BP25" s="12" t="s">
        <v>598</v>
      </c>
      <c r="BQ25" s="12" t="s">
        <v>598</v>
      </c>
      <c r="BR25" s="12" t="s">
        <v>620</v>
      </c>
      <c r="BS25" s="12" t="s">
        <v>1003</v>
      </c>
      <c r="BT25" s="12" t="str">
        <f>HYPERLINK("https%3A%2F%2Fwww.webofscience.com%2Fwos%2Fwoscc%2Ffull-record%2FWOS:000207917400003","View Full Record in Web of Science")</f>
        <v>View Full Record in Web of Science</v>
      </c>
    </row>
    <row r="26" ht="12.75" customHeight="1">
      <c r="A26" s="12" t="s">
        <v>596</v>
      </c>
      <c r="B26" s="12" t="s">
        <v>1004</v>
      </c>
      <c r="C26" s="12" t="s">
        <v>598</v>
      </c>
      <c r="D26" s="12" t="s">
        <v>598</v>
      </c>
      <c r="E26" s="12" t="s">
        <v>598</v>
      </c>
      <c r="F26" s="12" t="s">
        <v>1004</v>
      </c>
      <c r="G26" s="12" t="s">
        <v>598</v>
      </c>
      <c r="H26" s="12" t="s">
        <v>598</v>
      </c>
      <c r="I26" s="12" t="s">
        <v>177</v>
      </c>
      <c r="J26" s="12" t="s">
        <v>757</v>
      </c>
      <c r="K26" s="12" t="s">
        <v>598</v>
      </c>
      <c r="L26" s="12" t="s">
        <v>598</v>
      </c>
      <c r="M26" s="12" t="s">
        <v>600</v>
      </c>
      <c r="N26" s="12" t="s">
        <v>601</v>
      </c>
      <c r="O26" s="12" t="s">
        <v>598</v>
      </c>
      <c r="P26" s="12" t="s">
        <v>598</v>
      </c>
      <c r="Q26" s="12" t="s">
        <v>598</v>
      </c>
      <c r="R26" s="12" t="s">
        <v>598</v>
      </c>
      <c r="S26" s="12" t="s">
        <v>598</v>
      </c>
      <c r="T26" s="12" t="s">
        <v>1005</v>
      </c>
      <c r="U26" s="12" t="s">
        <v>1006</v>
      </c>
      <c r="V26" s="12" t="s">
        <v>1007</v>
      </c>
      <c r="W26" s="12" t="s">
        <v>1008</v>
      </c>
      <c r="X26" s="12" t="s">
        <v>1009</v>
      </c>
      <c r="Y26" s="12" t="s">
        <v>1010</v>
      </c>
      <c r="Z26" s="12" t="s">
        <v>1011</v>
      </c>
      <c r="AA26" s="12" t="s">
        <v>1012</v>
      </c>
      <c r="AB26" s="12" t="s">
        <v>598</v>
      </c>
      <c r="AC26" s="12" t="s">
        <v>598</v>
      </c>
      <c r="AD26" s="12" t="s">
        <v>598</v>
      </c>
      <c r="AE26" s="12" t="s">
        <v>598</v>
      </c>
      <c r="AF26" s="12" t="s">
        <v>598</v>
      </c>
      <c r="AG26" s="12">
        <v>54.0</v>
      </c>
      <c r="AH26" s="12">
        <v>222.0</v>
      </c>
      <c r="AI26" s="12">
        <v>239.0</v>
      </c>
      <c r="AJ26" s="12">
        <v>0.0</v>
      </c>
      <c r="AK26" s="12">
        <v>52.0</v>
      </c>
      <c r="AL26" s="12" t="s">
        <v>765</v>
      </c>
      <c r="AM26" s="12" t="s">
        <v>652</v>
      </c>
      <c r="AN26" s="12" t="s">
        <v>766</v>
      </c>
      <c r="AO26" s="12" t="s">
        <v>767</v>
      </c>
      <c r="AP26" s="12" t="s">
        <v>598</v>
      </c>
      <c r="AQ26" s="12" t="s">
        <v>598</v>
      </c>
      <c r="AR26" s="12" t="s">
        <v>768</v>
      </c>
      <c r="AS26" s="12" t="s">
        <v>769</v>
      </c>
      <c r="AT26" s="12" t="s">
        <v>634</v>
      </c>
      <c r="AU26" s="12">
        <v>2004.0</v>
      </c>
      <c r="AV26" s="12">
        <v>117.0</v>
      </c>
      <c r="AW26" s="12">
        <v>3.0</v>
      </c>
      <c r="AX26" s="12" t="s">
        <v>598</v>
      </c>
      <c r="AY26" s="12" t="s">
        <v>598</v>
      </c>
      <c r="AZ26" s="12" t="s">
        <v>598</v>
      </c>
      <c r="BA26" s="12" t="s">
        <v>598</v>
      </c>
      <c r="BB26" s="12">
        <v>271.0</v>
      </c>
      <c r="BC26" s="12">
        <v>283.0</v>
      </c>
      <c r="BD26" s="12" t="s">
        <v>598</v>
      </c>
      <c r="BE26" s="12" t="s">
        <v>1013</v>
      </c>
      <c r="BF26" s="13" t="str">
        <f>HYPERLINK("http://dx.doi.org/10.1016/j.biocon.2003.12.007","http://dx.doi.org/10.1016/j.biocon.2003.12.007")</f>
        <v>http://dx.doi.org/10.1016/j.biocon.2003.12.007</v>
      </c>
      <c r="BG26" s="12" t="s">
        <v>598</v>
      </c>
      <c r="BH26" s="12" t="s">
        <v>598</v>
      </c>
      <c r="BI26" s="12">
        <v>13.0</v>
      </c>
      <c r="BJ26" s="12" t="s">
        <v>678</v>
      </c>
      <c r="BK26" s="12" t="s">
        <v>618</v>
      </c>
      <c r="BL26" s="12" t="s">
        <v>679</v>
      </c>
      <c r="BM26" s="12" t="s">
        <v>1014</v>
      </c>
      <c r="BN26" s="12" t="s">
        <v>598</v>
      </c>
      <c r="BO26" s="12" t="s">
        <v>598</v>
      </c>
      <c r="BP26" s="12" t="s">
        <v>598</v>
      </c>
      <c r="BQ26" s="12" t="s">
        <v>598</v>
      </c>
      <c r="BR26" s="12" t="s">
        <v>620</v>
      </c>
      <c r="BS26" s="12" t="s">
        <v>1015</v>
      </c>
      <c r="BT26" s="12" t="str">
        <f>HYPERLINK("https%3A%2F%2Fwww.webofscience.com%2Fwos%2Fwoscc%2Ffull-record%2FWOS:000220702900006","View Full Record in Web of Science")</f>
        <v>View Full Record in Web of Science</v>
      </c>
    </row>
    <row r="27" ht="12.75" customHeight="1">
      <c r="A27" s="12" t="s">
        <v>596</v>
      </c>
      <c r="B27" s="12" t="s">
        <v>1016</v>
      </c>
      <c r="C27" s="12" t="s">
        <v>598</v>
      </c>
      <c r="D27" s="12" t="s">
        <v>598</v>
      </c>
      <c r="E27" s="12" t="s">
        <v>598</v>
      </c>
      <c r="F27" s="12" t="s">
        <v>1016</v>
      </c>
      <c r="G27" s="12" t="s">
        <v>598</v>
      </c>
      <c r="H27" s="12" t="s">
        <v>598</v>
      </c>
      <c r="I27" s="12" t="s">
        <v>74</v>
      </c>
      <c r="J27" s="12" t="s">
        <v>683</v>
      </c>
      <c r="K27" s="12" t="s">
        <v>598</v>
      </c>
      <c r="L27" s="12" t="s">
        <v>598</v>
      </c>
      <c r="M27" s="12" t="s">
        <v>600</v>
      </c>
      <c r="N27" s="12" t="s">
        <v>601</v>
      </c>
      <c r="O27" s="12" t="s">
        <v>598</v>
      </c>
      <c r="P27" s="12" t="s">
        <v>598</v>
      </c>
      <c r="Q27" s="12" t="s">
        <v>598</v>
      </c>
      <c r="R27" s="12" t="s">
        <v>598</v>
      </c>
      <c r="S27" s="12" t="s">
        <v>598</v>
      </c>
      <c r="T27" s="12" t="s">
        <v>1017</v>
      </c>
      <c r="U27" s="12" t="s">
        <v>1018</v>
      </c>
      <c r="V27" s="12" t="s">
        <v>1019</v>
      </c>
      <c r="W27" s="12" t="s">
        <v>1020</v>
      </c>
      <c r="X27" s="12" t="s">
        <v>1021</v>
      </c>
      <c r="Y27" s="12" t="s">
        <v>1022</v>
      </c>
      <c r="Z27" s="12" t="s">
        <v>1023</v>
      </c>
      <c r="AA27" s="12" t="s">
        <v>1024</v>
      </c>
      <c r="AB27" s="12" t="s">
        <v>1025</v>
      </c>
      <c r="AC27" s="12" t="s">
        <v>598</v>
      </c>
      <c r="AD27" s="12" t="s">
        <v>598</v>
      </c>
      <c r="AE27" s="12" t="s">
        <v>598</v>
      </c>
      <c r="AF27" s="12" t="s">
        <v>598</v>
      </c>
      <c r="AG27" s="12">
        <v>64.0</v>
      </c>
      <c r="AH27" s="12">
        <v>49.0</v>
      </c>
      <c r="AI27" s="12">
        <v>53.0</v>
      </c>
      <c r="AJ27" s="12">
        <v>0.0</v>
      </c>
      <c r="AK27" s="12">
        <v>38.0</v>
      </c>
      <c r="AL27" s="12" t="s">
        <v>731</v>
      </c>
      <c r="AM27" s="12" t="s">
        <v>609</v>
      </c>
      <c r="AN27" s="12" t="s">
        <v>732</v>
      </c>
      <c r="AO27" s="12" t="s">
        <v>690</v>
      </c>
      <c r="AP27" s="12" t="s">
        <v>936</v>
      </c>
      <c r="AQ27" s="12" t="s">
        <v>598</v>
      </c>
      <c r="AR27" s="12" t="s">
        <v>691</v>
      </c>
      <c r="AS27" s="12" t="s">
        <v>692</v>
      </c>
      <c r="AT27" s="12" t="s">
        <v>634</v>
      </c>
      <c r="AU27" s="12">
        <v>2004.0</v>
      </c>
      <c r="AV27" s="12">
        <v>102.0</v>
      </c>
      <c r="AW27" s="12">
        <v>3.0</v>
      </c>
      <c r="AX27" s="12" t="s">
        <v>598</v>
      </c>
      <c r="AY27" s="12" t="s">
        <v>598</v>
      </c>
      <c r="AZ27" s="12" t="s">
        <v>598</v>
      </c>
      <c r="BA27" s="12" t="s">
        <v>598</v>
      </c>
      <c r="BB27" s="12">
        <v>263.0</v>
      </c>
      <c r="BC27" s="12">
        <v>277.0</v>
      </c>
      <c r="BD27" s="12" t="s">
        <v>598</v>
      </c>
      <c r="BE27" s="12" t="s">
        <v>1026</v>
      </c>
      <c r="BF27" s="13" t="str">
        <f>HYPERLINK("http://dx.doi.org/10.1016/j.agee.2003.09.014","http://dx.doi.org/10.1016/j.agee.2003.09.014")</f>
        <v>http://dx.doi.org/10.1016/j.agee.2003.09.014</v>
      </c>
      <c r="BG27" s="12" t="s">
        <v>598</v>
      </c>
      <c r="BH27" s="12" t="s">
        <v>598</v>
      </c>
      <c r="BI27" s="12">
        <v>15.0</v>
      </c>
      <c r="BJ27" s="12" t="s">
        <v>695</v>
      </c>
      <c r="BK27" s="12" t="s">
        <v>618</v>
      </c>
      <c r="BL27" s="12" t="s">
        <v>696</v>
      </c>
      <c r="BM27" s="12" t="s">
        <v>1027</v>
      </c>
      <c r="BN27" s="12" t="s">
        <v>598</v>
      </c>
      <c r="BO27" s="12" t="s">
        <v>598</v>
      </c>
      <c r="BP27" s="12" t="s">
        <v>598</v>
      </c>
      <c r="BQ27" s="12" t="s">
        <v>598</v>
      </c>
      <c r="BR27" s="12" t="s">
        <v>620</v>
      </c>
      <c r="BS27" s="12" t="s">
        <v>1028</v>
      </c>
      <c r="BT27" s="12" t="str">
        <f>HYPERLINK("https%3A%2F%2Fwww.webofscience.com%2Fwos%2Fwoscc%2Ffull-record%2FWOS:000220873500003","View Full Record in Web of Science")</f>
        <v>View Full Record in Web of Science</v>
      </c>
    </row>
    <row r="28" ht="12.75" customHeight="1">
      <c r="A28" s="12" t="s">
        <v>596</v>
      </c>
      <c r="B28" s="12" t="s">
        <v>1029</v>
      </c>
      <c r="C28" s="12" t="s">
        <v>598</v>
      </c>
      <c r="D28" s="12" t="s">
        <v>598</v>
      </c>
      <c r="E28" s="12" t="s">
        <v>598</v>
      </c>
      <c r="F28" s="12" t="s">
        <v>1029</v>
      </c>
      <c r="G28" s="12" t="s">
        <v>598</v>
      </c>
      <c r="H28" s="12" t="s">
        <v>598</v>
      </c>
      <c r="I28" s="12" t="s">
        <v>78</v>
      </c>
      <c r="J28" s="12" t="s">
        <v>1030</v>
      </c>
      <c r="K28" s="12" t="s">
        <v>598</v>
      </c>
      <c r="L28" s="12" t="s">
        <v>598</v>
      </c>
      <c r="M28" s="12" t="s">
        <v>600</v>
      </c>
      <c r="N28" s="12" t="s">
        <v>601</v>
      </c>
      <c r="O28" s="12" t="s">
        <v>598</v>
      </c>
      <c r="P28" s="12" t="s">
        <v>598</v>
      </c>
      <c r="Q28" s="12" t="s">
        <v>598</v>
      </c>
      <c r="R28" s="12" t="s">
        <v>598</v>
      </c>
      <c r="S28" s="12" t="s">
        <v>598</v>
      </c>
      <c r="T28" s="12" t="s">
        <v>1031</v>
      </c>
      <c r="U28" s="12" t="s">
        <v>1032</v>
      </c>
      <c r="V28" s="12" t="s">
        <v>1033</v>
      </c>
      <c r="W28" s="12" t="s">
        <v>1034</v>
      </c>
      <c r="X28" s="12" t="s">
        <v>1035</v>
      </c>
      <c r="Y28" s="12" t="s">
        <v>1036</v>
      </c>
      <c r="Z28" s="12" t="s">
        <v>1037</v>
      </c>
      <c r="AA28" s="12" t="s">
        <v>1038</v>
      </c>
      <c r="AB28" s="12" t="s">
        <v>598</v>
      </c>
      <c r="AC28" s="12" t="s">
        <v>598</v>
      </c>
      <c r="AD28" s="12" t="s">
        <v>598</v>
      </c>
      <c r="AE28" s="12" t="s">
        <v>598</v>
      </c>
      <c r="AF28" s="12" t="s">
        <v>598</v>
      </c>
      <c r="AG28" s="12">
        <v>54.0</v>
      </c>
      <c r="AH28" s="12">
        <v>58.0</v>
      </c>
      <c r="AI28" s="12">
        <v>64.0</v>
      </c>
      <c r="AJ28" s="12">
        <v>2.0</v>
      </c>
      <c r="AK28" s="12">
        <v>43.0</v>
      </c>
      <c r="AL28" s="12" t="s">
        <v>708</v>
      </c>
      <c r="AM28" s="12" t="s">
        <v>709</v>
      </c>
      <c r="AN28" s="12" t="s">
        <v>710</v>
      </c>
      <c r="AO28" s="12" t="s">
        <v>1039</v>
      </c>
      <c r="AP28" s="12" t="s">
        <v>1040</v>
      </c>
      <c r="AQ28" s="12" t="s">
        <v>598</v>
      </c>
      <c r="AR28" s="12" t="s">
        <v>1041</v>
      </c>
      <c r="AS28" s="12" t="s">
        <v>1042</v>
      </c>
      <c r="AT28" s="12" t="s">
        <v>750</v>
      </c>
      <c r="AU28" s="12">
        <v>2004.0</v>
      </c>
      <c r="AV28" s="12">
        <v>18.0</v>
      </c>
      <c r="AW28" s="12">
        <v>4.0</v>
      </c>
      <c r="AX28" s="12" t="s">
        <v>598</v>
      </c>
      <c r="AY28" s="12" t="s">
        <v>598</v>
      </c>
      <c r="AZ28" s="12" t="s">
        <v>598</v>
      </c>
      <c r="BA28" s="12" t="s">
        <v>598</v>
      </c>
      <c r="BB28" s="12">
        <v>1052.0</v>
      </c>
      <c r="BC28" s="12">
        <v>1062.0</v>
      </c>
      <c r="BD28" s="12" t="s">
        <v>598</v>
      </c>
      <c r="BE28" s="12" t="s">
        <v>1043</v>
      </c>
      <c r="BF28" s="13" t="str">
        <f>HYPERLINK("http://dx.doi.org/10.1111/j.1523-1739.2004.00199.x","http://dx.doi.org/10.1111/j.1523-1739.2004.00199.x")</f>
        <v>http://dx.doi.org/10.1111/j.1523-1739.2004.00199.x</v>
      </c>
      <c r="BG28" s="12" t="s">
        <v>598</v>
      </c>
      <c r="BH28" s="12" t="s">
        <v>598</v>
      </c>
      <c r="BI28" s="12">
        <v>11.0</v>
      </c>
      <c r="BJ28" s="12" t="s">
        <v>678</v>
      </c>
      <c r="BK28" s="12" t="s">
        <v>618</v>
      </c>
      <c r="BL28" s="12" t="s">
        <v>679</v>
      </c>
      <c r="BM28" s="12" t="s">
        <v>1044</v>
      </c>
      <c r="BN28" s="12" t="s">
        <v>598</v>
      </c>
      <c r="BO28" s="12" t="s">
        <v>598</v>
      </c>
      <c r="BP28" s="12" t="s">
        <v>598</v>
      </c>
      <c r="BQ28" s="12" t="s">
        <v>598</v>
      </c>
      <c r="BR28" s="12" t="s">
        <v>620</v>
      </c>
      <c r="BS28" s="12" t="s">
        <v>1045</v>
      </c>
      <c r="BT28" s="12" t="str">
        <f>HYPERLINK("https%3A%2F%2Fwww.webofscience.com%2Fwos%2Fwoscc%2Ffull-record%2FWOS:000222979400026","View Full Record in Web of Science")</f>
        <v>View Full Record in Web of Science</v>
      </c>
    </row>
    <row r="29" ht="12.75" customHeight="1">
      <c r="A29" s="12" t="s">
        <v>596</v>
      </c>
      <c r="B29" s="12" t="s">
        <v>1046</v>
      </c>
      <c r="C29" s="12" t="s">
        <v>598</v>
      </c>
      <c r="D29" s="12" t="s">
        <v>598</v>
      </c>
      <c r="E29" s="12" t="s">
        <v>598</v>
      </c>
      <c r="F29" s="12" t="s">
        <v>1046</v>
      </c>
      <c r="G29" s="12" t="s">
        <v>598</v>
      </c>
      <c r="H29" s="12" t="s">
        <v>598</v>
      </c>
      <c r="I29" s="12" t="s">
        <v>173</v>
      </c>
      <c r="J29" s="12" t="s">
        <v>700</v>
      </c>
      <c r="K29" s="12" t="s">
        <v>598</v>
      </c>
      <c r="L29" s="12" t="s">
        <v>598</v>
      </c>
      <c r="M29" s="12" t="s">
        <v>600</v>
      </c>
      <c r="N29" s="12" t="s">
        <v>601</v>
      </c>
      <c r="O29" s="12" t="s">
        <v>598</v>
      </c>
      <c r="P29" s="12" t="s">
        <v>598</v>
      </c>
      <c r="Q29" s="12" t="s">
        <v>598</v>
      </c>
      <c r="R29" s="12" t="s">
        <v>598</v>
      </c>
      <c r="S29" s="12" t="s">
        <v>598</v>
      </c>
      <c r="T29" s="12" t="s">
        <v>1047</v>
      </c>
      <c r="U29" s="12" t="s">
        <v>1048</v>
      </c>
      <c r="V29" s="12" t="s">
        <v>1049</v>
      </c>
      <c r="W29" s="12" t="s">
        <v>1050</v>
      </c>
      <c r="X29" s="12" t="s">
        <v>1051</v>
      </c>
      <c r="Y29" s="12" t="s">
        <v>1052</v>
      </c>
      <c r="Z29" s="12" t="s">
        <v>1053</v>
      </c>
      <c r="AA29" s="12" t="s">
        <v>1054</v>
      </c>
      <c r="AB29" s="12" t="s">
        <v>1055</v>
      </c>
      <c r="AC29" s="12" t="s">
        <v>598</v>
      </c>
      <c r="AD29" s="12" t="s">
        <v>598</v>
      </c>
      <c r="AE29" s="12" t="s">
        <v>598</v>
      </c>
      <c r="AF29" s="12" t="s">
        <v>598</v>
      </c>
      <c r="AG29" s="12">
        <v>85.0</v>
      </c>
      <c r="AH29" s="12">
        <v>251.0</v>
      </c>
      <c r="AI29" s="12">
        <v>277.0</v>
      </c>
      <c r="AJ29" s="12">
        <v>3.0</v>
      </c>
      <c r="AK29" s="12">
        <v>172.0</v>
      </c>
      <c r="AL29" s="12" t="s">
        <v>708</v>
      </c>
      <c r="AM29" s="12" t="s">
        <v>709</v>
      </c>
      <c r="AN29" s="12" t="s">
        <v>710</v>
      </c>
      <c r="AO29" s="12" t="s">
        <v>711</v>
      </c>
      <c r="AP29" s="12" t="s">
        <v>712</v>
      </c>
      <c r="AQ29" s="12" t="s">
        <v>598</v>
      </c>
      <c r="AR29" s="12" t="s">
        <v>713</v>
      </c>
      <c r="AS29" s="12" t="s">
        <v>714</v>
      </c>
      <c r="AT29" s="12" t="s">
        <v>715</v>
      </c>
      <c r="AU29" s="12">
        <v>2004.0</v>
      </c>
      <c r="AV29" s="12">
        <v>41.0</v>
      </c>
      <c r="AW29" s="12">
        <v>6.0</v>
      </c>
      <c r="AX29" s="12" t="s">
        <v>598</v>
      </c>
      <c r="AY29" s="12" t="s">
        <v>598</v>
      </c>
      <c r="AZ29" s="12" t="s">
        <v>598</v>
      </c>
      <c r="BA29" s="12" t="s">
        <v>598</v>
      </c>
      <c r="BB29" s="12">
        <v>1065.0</v>
      </c>
      <c r="BC29" s="12">
        <v>1079.0</v>
      </c>
      <c r="BD29" s="12" t="s">
        <v>598</v>
      </c>
      <c r="BE29" s="12" t="s">
        <v>1056</v>
      </c>
      <c r="BF29" s="13" t="str">
        <f>HYPERLINK("http://dx.doi.org/10.1111/j.0021-8901.2004.00960.x","http://dx.doi.org/10.1111/j.0021-8901.2004.00960.x")</f>
        <v>http://dx.doi.org/10.1111/j.0021-8901.2004.00960.x</v>
      </c>
      <c r="BG29" s="12" t="s">
        <v>598</v>
      </c>
      <c r="BH29" s="12" t="s">
        <v>598</v>
      </c>
      <c r="BI29" s="12">
        <v>15.0</v>
      </c>
      <c r="BJ29" s="12" t="s">
        <v>717</v>
      </c>
      <c r="BK29" s="12" t="s">
        <v>618</v>
      </c>
      <c r="BL29" s="12" t="s">
        <v>679</v>
      </c>
      <c r="BM29" s="12" t="s">
        <v>1057</v>
      </c>
      <c r="BN29" s="12" t="s">
        <v>598</v>
      </c>
      <c r="BO29" s="12" t="s">
        <v>719</v>
      </c>
      <c r="BP29" s="12" t="s">
        <v>598</v>
      </c>
      <c r="BQ29" s="12" t="s">
        <v>598</v>
      </c>
      <c r="BR29" s="12" t="s">
        <v>620</v>
      </c>
      <c r="BS29" s="12" t="s">
        <v>1058</v>
      </c>
      <c r="BT29" s="12" t="str">
        <f>HYPERLINK("https%3A%2F%2Fwww.webofscience.com%2Fwos%2Fwoscc%2Ffull-record%2FWOS:000225632800006","View Full Record in Web of Science")</f>
        <v>View Full Record in Web of Science</v>
      </c>
    </row>
    <row r="30" ht="12.75" customHeight="1">
      <c r="A30" s="12" t="s">
        <v>596</v>
      </c>
      <c r="B30" s="12" t="s">
        <v>1059</v>
      </c>
      <c r="C30" s="12" t="s">
        <v>598</v>
      </c>
      <c r="D30" s="12" t="s">
        <v>598</v>
      </c>
      <c r="E30" s="12" t="s">
        <v>598</v>
      </c>
      <c r="F30" s="12" t="s">
        <v>1059</v>
      </c>
      <c r="G30" s="12" t="s">
        <v>598</v>
      </c>
      <c r="H30" s="12" t="s">
        <v>598</v>
      </c>
      <c r="I30" s="12" t="s">
        <v>42</v>
      </c>
      <c r="J30" s="12" t="s">
        <v>1030</v>
      </c>
      <c r="K30" s="12" t="s">
        <v>598</v>
      </c>
      <c r="L30" s="12" t="s">
        <v>598</v>
      </c>
      <c r="M30" s="12" t="s">
        <v>600</v>
      </c>
      <c r="N30" s="12" t="s">
        <v>601</v>
      </c>
      <c r="O30" s="12" t="s">
        <v>598</v>
      </c>
      <c r="P30" s="12" t="s">
        <v>598</v>
      </c>
      <c r="Q30" s="12" t="s">
        <v>598</v>
      </c>
      <c r="R30" s="12" t="s">
        <v>598</v>
      </c>
      <c r="S30" s="12" t="s">
        <v>598</v>
      </c>
      <c r="T30" s="12" t="s">
        <v>1060</v>
      </c>
      <c r="U30" s="12" t="s">
        <v>1061</v>
      </c>
      <c r="V30" s="12" t="s">
        <v>1062</v>
      </c>
      <c r="W30" s="12" t="s">
        <v>1063</v>
      </c>
      <c r="X30" s="12" t="s">
        <v>1064</v>
      </c>
      <c r="Y30" s="12" t="s">
        <v>1065</v>
      </c>
      <c r="Z30" s="12" t="s">
        <v>1066</v>
      </c>
      <c r="AA30" s="12" t="s">
        <v>1067</v>
      </c>
      <c r="AB30" s="12" t="s">
        <v>598</v>
      </c>
      <c r="AC30" s="12" t="s">
        <v>598</v>
      </c>
      <c r="AD30" s="12" t="s">
        <v>598</v>
      </c>
      <c r="AE30" s="12" t="s">
        <v>598</v>
      </c>
      <c r="AF30" s="12" t="s">
        <v>598</v>
      </c>
      <c r="AG30" s="12">
        <v>53.0</v>
      </c>
      <c r="AH30" s="12">
        <v>67.0</v>
      </c>
      <c r="AI30" s="12">
        <v>89.0</v>
      </c>
      <c r="AJ30" s="12">
        <v>0.0</v>
      </c>
      <c r="AK30" s="12">
        <v>36.0</v>
      </c>
      <c r="AL30" s="12" t="s">
        <v>708</v>
      </c>
      <c r="AM30" s="12" t="s">
        <v>709</v>
      </c>
      <c r="AN30" s="12" t="s">
        <v>710</v>
      </c>
      <c r="AO30" s="12" t="s">
        <v>1039</v>
      </c>
      <c r="AP30" s="12" t="s">
        <v>1040</v>
      </c>
      <c r="AQ30" s="12" t="s">
        <v>598</v>
      </c>
      <c r="AR30" s="12" t="s">
        <v>1041</v>
      </c>
      <c r="AS30" s="12" t="s">
        <v>1042</v>
      </c>
      <c r="AT30" s="12" t="s">
        <v>750</v>
      </c>
      <c r="AU30" s="12">
        <v>2005.0</v>
      </c>
      <c r="AV30" s="12">
        <v>19.0</v>
      </c>
      <c r="AW30" s="12">
        <v>4.0</v>
      </c>
      <c r="AX30" s="12" t="s">
        <v>598</v>
      </c>
      <c r="AY30" s="12" t="s">
        <v>598</v>
      </c>
      <c r="AZ30" s="12" t="s">
        <v>598</v>
      </c>
      <c r="BA30" s="12" t="s">
        <v>598</v>
      </c>
      <c r="BB30" s="12">
        <v>1194.0</v>
      </c>
      <c r="BC30" s="12">
        <v>1204.0</v>
      </c>
      <c r="BD30" s="12" t="s">
        <v>598</v>
      </c>
      <c r="BE30" s="12" t="s">
        <v>1068</v>
      </c>
      <c r="BF30" s="13" t="str">
        <f>HYPERLINK("http://dx.doi.org/10.1111/j.1523-1739.2005.00170.x","http://dx.doi.org/10.1111/j.1523-1739.2005.00170.x")</f>
        <v>http://dx.doi.org/10.1111/j.1523-1739.2005.00170.x</v>
      </c>
      <c r="BG30" s="12" t="s">
        <v>598</v>
      </c>
      <c r="BH30" s="12" t="s">
        <v>598</v>
      </c>
      <c r="BI30" s="12">
        <v>11.0</v>
      </c>
      <c r="BJ30" s="12" t="s">
        <v>678</v>
      </c>
      <c r="BK30" s="12" t="s">
        <v>618</v>
      </c>
      <c r="BL30" s="12" t="s">
        <v>679</v>
      </c>
      <c r="BM30" s="12" t="s">
        <v>1069</v>
      </c>
      <c r="BN30" s="12" t="s">
        <v>598</v>
      </c>
      <c r="BO30" s="12" t="s">
        <v>598</v>
      </c>
      <c r="BP30" s="12" t="s">
        <v>598</v>
      </c>
      <c r="BQ30" s="12" t="s">
        <v>598</v>
      </c>
      <c r="BR30" s="12" t="s">
        <v>620</v>
      </c>
      <c r="BS30" s="12" t="s">
        <v>1070</v>
      </c>
      <c r="BT30" s="12" t="str">
        <f>HYPERLINK("https%3A%2F%2Fwww.webofscience.com%2Fwos%2Fwoscc%2Ffull-record%2FWOS:000231118600025","View Full Record in Web of Science")</f>
        <v>View Full Record in Web of Science</v>
      </c>
    </row>
    <row r="31" ht="12.75" customHeight="1">
      <c r="A31" s="12" t="s">
        <v>596</v>
      </c>
      <c r="B31" s="12" t="s">
        <v>1071</v>
      </c>
      <c r="C31" s="12" t="s">
        <v>598</v>
      </c>
      <c r="D31" s="12" t="s">
        <v>598</v>
      </c>
      <c r="E31" s="12" t="s">
        <v>598</v>
      </c>
      <c r="F31" s="12" t="s">
        <v>1071</v>
      </c>
      <c r="G31" s="12" t="s">
        <v>598</v>
      </c>
      <c r="H31" s="12" t="s">
        <v>598</v>
      </c>
      <c r="I31" s="12" t="s">
        <v>44</v>
      </c>
      <c r="J31" s="12" t="s">
        <v>1072</v>
      </c>
      <c r="K31" s="12" t="s">
        <v>598</v>
      </c>
      <c r="L31" s="12" t="s">
        <v>598</v>
      </c>
      <c r="M31" s="12" t="s">
        <v>600</v>
      </c>
      <c r="N31" s="12" t="s">
        <v>601</v>
      </c>
      <c r="O31" s="12" t="s">
        <v>598</v>
      </c>
      <c r="P31" s="12" t="s">
        <v>598</v>
      </c>
      <c r="Q31" s="12" t="s">
        <v>598</v>
      </c>
      <c r="R31" s="12" t="s">
        <v>598</v>
      </c>
      <c r="S31" s="12" t="s">
        <v>598</v>
      </c>
      <c r="T31" s="12" t="s">
        <v>598</v>
      </c>
      <c r="U31" s="12" t="s">
        <v>1073</v>
      </c>
      <c r="V31" s="12" t="s">
        <v>1074</v>
      </c>
      <c r="W31" s="12" t="s">
        <v>1075</v>
      </c>
      <c r="X31" s="12" t="s">
        <v>598</v>
      </c>
      <c r="Y31" s="12" t="s">
        <v>1076</v>
      </c>
      <c r="Z31" s="12" t="s">
        <v>1077</v>
      </c>
      <c r="AA31" s="12" t="s">
        <v>598</v>
      </c>
      <c r="AB31" s="12" t="s">
        <v>598</v>
      </c>
      <c r="AC31" s="12" t="s">
        <v>598</v>
      </c>
      <c r="AD31" s="12" t="s">
        <v>598</v>
      </c>
      <c r="AE31" s="12" t="s">
        <v>598</v>
      </c>
      <c r="AF31" s="12" t="s">
        <v>598</v>
      </c>
      <c r="AG31" s="12">
        <v>61.0</v>
      </c>
      <c r="AH31" s="12">
        <v>20.0</v>
      </c>
      <c r="AI31" s="12">
        <v>34.0</v>
      </c>
      <c r="AJ31" s="12">
        <v>0.0</v>
      </c>
      <c r="AK31" s="12">
        <v>15.0</v>
      </c>
      <c r="AL31" s="12" t="s">
        <v>1078</v>
      </c>
      <c r="AM31" s="12" t="s">
        <v>1079</v>
      </c>
      <c r="AN31" s="12" t="s">
        <v>1080</v>
      </c>
      <c r="AO31" s="12" t="s">
        <v>1081</v>
      </c>
      <c r="AP31" s="12" t="s">
        <v>1082</v>
      </c>
      <c r="AQ31" s="12" t="s">
        <v>598</v>
      </c>
      <c r="AR31" s="12" t="s">
        <v>1083</v>
      </c>
      <c r="AS31" s="12" t="s">
        <v>1084</v>
      </c>
      <c r="AT31" s="12" t="s">
        <v>750</v>
      </c>
      <c r="AU31" s="12">
        <v>2005.0</v>
      </c>
      <c r="AV31" s="12">
        <v>35.0</v>
      </c>
      <c r="AW31" s="12">
        <v>8.0</v>
      </c>
      <c r="AX31" s="12" t="s">
        <v>598</v>
      </c>
      <c r="AY31" s="12" t="s">
        <v>598</v>
      </c>
      <c r="AZ31" s="12" t="s">
        <v>598</v>
      </c>
      <c r="BA31" s="12" t="s">
        <v>598</v>
      </c>
      <c r="BB31" s="12">
        <v>2030.0</v>
      </c>
      <c r="BC31" s="12">
        <v>2044.0</v>
      </c>
      <c r="BD31" s="12" t="s">
        <v>598</v>
      </c>
      <c r="BE31" s="12" t="s">
        <v>1085</v>
      </c>
      <c r="BF31" s="13" t="str">
        <f>HYPERLINK("http://dx.doi.org/10.1139/X05-133","http://dx.doi.org/10.1139/X05-133")</f>
        <v>http://dx.doi.org/10.1139/X05-133</v>
      </c>
      <c r="BG31" s="12" t="s">
        <v>598</v>
      </c>
      <c r="BH31" s="12" t="s">
        <v>598</v>
      </c>
      <c r="BI31" s="12">
        <v>15.0</v>
      </c>
      <c r="BJ31" s="12" t="s">
        <v>617</v>
      </c>
      <c r="BK31" s="12" t="s">
        <v>618</v>
      </c>
      <c r="BL31" s="12" t="s">
        <v>617</v>
      </c>
      <c r="BM31" s="12" t="s">
        <v>1086</v>
      </c>
      <c r="BN31" s="12" t="s">
        <v>598</v>
      </c>
      <c r="BO31" s="12" t="s">
        <v>598</v>
      </c>
      <c r="BP31" s="12" t="s">
        <v>598</v>
      </c>
      <c r="BQ31" s="12" t="s">
        <v>598</v>
      </c>
      <c r="BR31" s="12" t="s">
        <v>620</v>
      </c>
      <c r="BS31" s="12" t="s">
        <v>1087</v>
      </c>
      <c r="BT31" s="12" t="str">
        <f>HYPERLINK("https%3A%2F%2Fwww.webofscience.com%2Fwos%2Fwoscc%2Ffull-record%2FWOS:000232856400022","View Full Record in Web of Science")</f>
        <v>View Full Record in Web of Science</v>
      </c>
    </row>
    <row r="32" ht="12.75" customHeight="1">
      <c r="A32" s="12" t="s">
        <v>596</v>
      </c>
      <c r="B32" s="12" t="s">
        <v>1088</v>
      </c>
      <c r="C32" s="12" t="s">
        <v>598</v>
      </c>
      <c r="D32" s="12" t="s">
        <v>598</v>
      </c>
      <c r="E32" s="12" t="s">
        <v>598</v>
      </c>
      <c r="F32" s="12" t="s">
        <v>1088</v>
      </c>
      <c r="G32" s="12" t="s">
        <v>598</v>
      </c>
      <c r="H32" s="12" t="s">
        <v>598</v>
      </c>
      <c r="I32" s="12" t="s">
        <v>167</v>
      </c>
      <c r="J32" s="12" t="s">
        <v>1089</v>
      </c>
      <c r="K32" s="12" t="s">
        <v>598</v>
      </c>
      <c r="L32" s="12" t="s">
        <v>598</v>
      </c>
      <c r="M32" s="12" t="s">
        <v>600</v>
      </c>
      <c r="N32" s="12" t="s">
        <v>601</v>
      </c>
      <c r="O32" s="12" t="s">
        <v>598</v>
      </c>
      <c r="P32" s="12" t="s">
        <v>598</v>
      </c>
      <c r="Q32" s="12" t="s">
        <v>598</v>
      </c>
      <c r="R32" s="12" t="s">
        <v>598</v>
      </c>
      <c r="S32" s="12" t="s">
        <v>598</v>
      </c>
      <c r="T32" s="12" t="s">
        <v>1090</v>
      </c>
      <c r="U32" s="12" t="s">
        <v>1091</v>
      </c>
      <c r="V32" s="12" t="s">
        <v>1092</v>
      </c>
      <c r="W32" s="12" t="s">
        <v>1093</v>
      </c>
      <c r="X32" s="12" t="s">
        <v>1094</v>
      </c>
      <c r="Y32" s="12" t="s">
        <v>1095</v>
      </c>
      <c r="Z32" s="12" t="s">
        <v>1096</v>
      </c>
      <c r="AA32" s="12" t="s">
        <v>1097</v>
      </c>
      <c r="AB32" s="12" t="s">
        <v>1098</v>
      </c>
      <c r="AC32" s="12" t="s">
        <v>598</v>
      </c>
      <c r="AD32" s="12" t="s">
        <v>598</v>
      </c>
      <c r="AE32" s="12" t="s">
        <v>598</v>
      </c>
      <c r="AF32" s="12" t="s">
        <v>598</v>
      </c>
      <c r="AG32" s="12">
        <v>31.0</v>
      </c>
      <c r="AH32" s="12">
        <v>10.0</v>
      </c>
      <c r="AI32" s="12">
        <v>12.0</v>
      </c>
      <c r="AJ32" s="12">
        <v>0.0</v>
      </c>
      <c r="AK32" s="12">
        <v>11.0</v>
      </c>
      <c r="AL32" s="12" t="s">
        <v>1099</v>
      </c>
      <c r="AM32" s="12" t="s">
        <v>1100</v>
      </c>
      <c r="AN32" s="12" t="s">
        <v>1101</v>
      </c>
      <c r="AO32" s="12" t="s">
        <v>1102</v>
      </c>
      <c r="AP32" s="12" t="s">
        <v>1103</v>
      </c>
      <c r="AQ32" s="12" t="s">
        <v>598</v>
      </c>
      <c r="AR32" s="12" t="s">
        <v>1104</v>
      </c>
      <c r="AS32" s="12" t="s">
        <v>1105</v>
      </c>
      <c r="AT32" s="12" t="s">
        <v>598</v>
      </c>
      <c r="AU32" s="12">
        <v>2005.0</v>
      </c>
      <c r="AV32" s="12">
        <v>27.0</v>
      </c>
      <c r="AW32" s="12">
        <v>2.0</v>
      </c>
      <c r="AX32" s="12" t="s">
        <v>598</v>
      </c>
      <c r="AY32" s="12" t="s">
        <v>598</v>
      </c>
      <c r="AZ32" s="12" t="s">
        <v>598</v>
      </c>
      <c r="BA32" s="12" t="s">
        <v>598</v>
      </c>
      <c r="BB32" s="12">
        <v>143.0</v>
      </c>
      <c r="BC32" s="12">
        <v>149.0</v>
      </c>
      <c r="BD32" s="12" t="s">
        <v>598</v>
      </c>
      <c r="BE32" s="12" t="s">
        <v>1106</v>
      </c>
      <c r="BF32" s="13" t="str">
        <f>HYPERLINK("http://dx.doi.org/10.1071/RJ05012","http://dx.doi.org/10.1071/RJ05012")</f>
        <v>http://dx.doi.org/10.1071/RJ05012</v>
      </c>
      <c r="BG32" s="12" t="s">
        <v>598</v>
      </c>
      <c r="BH32" s="12" t="s">
        <v>598</v>
      </c>
      <c r="BI32" s="12">
        <v>7.0</v>
      </c>
      <c r="BJ32" s="12" t="s">
        <v>1107</v>
      </c>
      <c r="BK32" s="12" t="s">
        <v>618</v>
      </c>
      <c r="BL32" s="12" t="s">
        <v>753</v>
      </c>
      <c r="BM32" s="12" t="s">
        <v>1108</v>
      </c>
      <c r="BN32" s="12" t="s">
        <v>598</v>
      </c>
      <c r="BO32" s="12" t="s">
        <v>719</v>
      </c>
      <c r="BP32" s="12" t="s">
        <v>598</v>
      </c>
      <c r="BQ32" s="12" t="s">
        <v>598</v>
      </c>
      <c r="BR32" s="12" t="s">
        <v>620</v>
      </c>
      <c r="BS32" s="12" t="s">
        <v>1109</v>
      </c>
      <c r="BT32" s="12" t="str">
        <f>HYPERLINK("https%3A%2F%2Fwww.webofscience.com%2Fwos%2Fwoscc%2Ffull-record%2FWOS:000233430700007","View Full Record in Web of Science")</f>
        <v>View Full Record in Web of Science</v>
      </c>
    </row>
    <row r="33" ht="12.75" customHeight="1">
      <c r="A33" s="12" t="s">
        <v>596</v>
      </c>
      <c r="B33" s="12" t="s">
        <v>1110</v>
      </c>
      <c r="C33" s="12" t="s">
        <v>598</v>
      </c>
      <c r="D33" s="12" t="s">
        <v>598</v>
      </c>
      <c r="E33" s="12" t="s">
        <v>598</v>
      </c>
      <c r="F33" s="12" t="s">
        <v>1110</v>
      </c>
      <c r="G33" s="12" t="s">
        <v>598</v>
      </c>
      <c r="H33" s="12" t="s">
        <v>598</v>
      </c>
      <c r="I33" s="12" t="s">
        <v>187</v>
      </c>
      <c r="J33" s="12" t="s">
        <v>1111</v>
      </c>
      <c r="K33" s="12" t="s">
        <v>598</v>
      </c>
      <c r="L33" s="12" t="s">
        <v>598</v>
      </c>
      <c r="M33" s="12" t="s">
        <v>600</v>
      </c>
      <c r="N33" s="12" t="s">
        <v>601</v>
      </c>
      <c r="O33" s="12" t="s">
        <v>598</v>
      </c>
      <c r="P33" s="12" t="s">
        <v>598</v>
      </c>
      <c r="Q33" s="12" t="s">
        <v>598</v>
      </c>
      <c r="R33" s="12" t="s">
        <v>598</v>
      </c>
      <c r="S33" s="12" t="s">
        <v>598</v>
      </c>
      <c r="T33" s="12" t="s">
        <v>598</v>
      </c>
      <c r="U33" s="12" t="s">
        <v>1112</v>
      </c>
      <c r="V33" s="12" t="s">
        <v>1113</v>
      </c>
      <c r="W33" s="12" t="s">
        <v>1114</v>
      </c>
      <c r="X33" s="12" t="s">
        <v>1115</v>
      </c>
      <c r="Y33" s="12" t="s">
        <v>1116</v>
      </c>
      <c r="Z33" s="12" t="s">
        <v>1117</v>
      </c>
      <c r="AA33" s="12" t="s">
        <v>598</v>
      </c>
      <c r="AB33" s="12" t="s">
        <v>598</v>
      </c>
      <c r="AC33" s="12" t="s">
        <v>598</v>
      </c>
      <c r="AD33" s="12" t="s">
        <v>598</v>
      </c>
      <c r="AE33" s="12" t="s">
        <v>598</v>
      </c>
      <c r="AF33" s="12" t="s">
        <v>598</v>
      </c>
      <c r="AG33" s="12">
        <v>55.0</v>
      </c>
      <c r="AH33" s="12">
        <v>34.0</v>
      </c>
      <c r="AI33" s="12">
        <v>43.0</v>
      </c>
      <c r="AJ33" s="12">
        <v>0.0</v>
      </c>
      <c r="AK33" s="12">
        <v>33.0</v>
      </c>
      <c r="AL33" s="12" t="s">
        <v>1118</v>
      </c>
      <c r="AM33" s="12" t="s">
        <v>1079</v>
      </c>
      <c r="AN33" s="12" t="s">
        <v>1119</v>
      </c>
      <c r="AO33" s="12" t="s">
        <v>1081</v>
      </c>
      <c r="AP33" s="12" t="s">
        <v>598</v>
      </c>
      <c r="AQ33" s="12" t="s">
        <v>598</v>
      </c>
      <c r="AR33" s="12" t="s">
        <v>1083</v>
      </c>
      <c r="AS33" s="12" t="s">
        <v>1120</v>
      </c>
      <c r="AT33" s="12" t="s">
        <v>715</v>
      </c>
      <c r="AU33" s="12">
        <v>2005.0</v>
      </c>
      <c r="AV33" s="12">
        <v>35.0</v>
      </c>
      <c r="AW33" s="12">
        <v>12.0</v>
      </c>
      <c r="AX33" s="12" t="s">
        <v>598</v>
      </c>
      <c r="AY33" s="12" t="s">
        <v>598</v>
      </c>
      <c r="AZ33" s="12" t="s">
        <v>598</v>
      </c>
      <c r="BA33" s="12" t="s">
        <v>598</v>
      </c>
      <c r="BB33" s="12">
        <v>2813.0</v>
      </c>
      <c r="BC33" s="12">
        <v>2822.0</v>
      </c>
      <c r="BD33" s="12" t="s">
        <v>598</v>
      </c>
      <c r="BE33" s="12" t="s">
        <v>1121</v>
      </c>
      <c r="BF33" s="13" t="str">
        <f>HYPERLINK("http://dx.doi.org/10.1139/X05-208","http://dx.doi.org/10.1139/X05-208")</f>
        <v>http://dx.doi.org/10.1139/X05-208</v>
      </c>
      <c r="BG33" s="12" t="s">
        <v>598</v>
      </c>
      <c r="BH33" s="12" t="s">
        <v>598</v>
      </c>
      <c r="BI33" s="12">
        <v>10.0</v>
      </c>
      <c r="BJ33" s="12" t="s">
        <v>617</v>
      </c>
      <c r="BK33" s="12" t="s">
        <v>618</v>
      </c>
      <c r="BL33" s="12" t="s">
        <v>617</v>
      </c>
      <c r="BM33" s="12" t="s">
        <v>1122</v>
      </c>
      <c r="BN33" s="12" t="s">
        <v>598</v>
      </c>
      <c r="BO33" s="12" t="s">
        <v>598</v>
      </c>
      <c r="BP33" s="12" t="s">
        <v>598</v>
      </c>
      <c r="BQ33" s="12" t="s">
        <v>598</v>
      </c>
      <c r="BR33" s="12" t="s">
        <v>620</v>
      </c>
      <c r="BS33" s="12" t="s">
        <v>1123</v>
      </c>
      <c r="BT33" s="12" t="str">
        <f>HYPERLINK("https%3A%2F%2Fwww.webofscience.com%2Fwos%2Fwoscc%2Ffull-record%2FWOS:000235231000006","View Full Record in Web of Science")</f>
        <v>View Full Record in Web of Science</v>
      </c>
    </row>
    <row r="34" ht="12.75" customHeight="1">
      <c r="A34" s="12" t="s">
        <v>596</v>
      </c>
      <c r="B34" s="12" t="s">
        <v>1124</v>
      </c>
      <c r="C34" s="12" t="s">
        <v>598</v>
      </c>
      <c r="D34" s="12" t="s">
        <v>598</v>
      </c>
      <c r="E34" s="12" t="s">
        <v>598</v>
      </c>
      <c r="F34" s="12" t="s">
        <v>1124</v>
      </c>
      <c r="G34" s="12" t="s">
        <v>598</v>
      </c>
      <c r="H34" s="12" t="s">
        <v>598</v>
      </c>
      <c r="I34" s="12" t="s">
        <v>80</v>
      </c>
      <c r="J34" s="12" t="s">
        <v>1072</v>
      </c>
      <c r="K34" s="12" t="s">
        <v>598</v>
      </c>
      <c r="L34" s="12" t="s">
        <v>598</v>
      </c>
      <c r="M34" s="12" t="s">
        <v>600</v>
      </c>
      <c r="N34" s="12" t="s">
        <v>601</v>
      </c>
      <c r="O34" s="12" t="s">
        <v>598</v>
      </c>
      <c r="P34" s="12" t="s">
        <v>598</v>
      </c>
      <c r="Q34" s="12" t="s">
        <v>598</v>
      </c>
      <c r="R34" s="12" t="s">
        <v>598</v>
      </c>
      <c r="S34" s="12" t="s">
        <v>598</v>
      </c>
      <c r="T34" s="12" t="s">
        <v>598</v>
      </c>
      <c r="U34" s="12" t="s">
        <v>1125</v>
      </c>
      <c r="V34" s="12" t="s">
        <v>1126</v>
      </c>
      <c r="W34" s="12" t="s">
        <v>1127</v>
      </c>
      <c r="X34" s="12" t="s">
        <v>1128</v>
      </c>
      <c r="Y34" s="12" t="s">
        <v>1129</v>
      </c>
      <c r="Z34" s="12" t="s">
        <v>1130</v>
      </c>
      <c r="AA34" s="12" t="s">
        <v>1131</v>
      </c>
      <c r="AB34" s="12" t="s">
        <v>1132</v>
      </c>
      <c r="AC34" s="12" t="s">
        <v>598</v>
      </c>
      <c r="AD34" s="12" t="s">
        <v>598</v>
      </c>
      <c r="AE34" s="12" t="s">
        <v>598</v>
      </c>
      <c r="AF34" s="12" t="s">
        <v>598</v>
      </c>
      <c r="AG34" s="12">
        <v>72.0</v>
      </c>
      <c r="AH34" s="12">
        <v>30.0</v>
      </c>
      <c r="AI34" s="12">
        <v>39.0</v>
      </c>
      <c r="AJ34" s="12">
        <v>0.0</v>
      </c>
      <c r="AK34" s="12">
        <v>29.0</v>
      </c>
      <c r="AL34" s="12" t="s">
        <v>1078</v>
      </c>
      <c r="AM34" s="12" t="s">
        <v>1079</v>
      </c>
      <c r="AN34" s="12" t="s">
        <v>1080</v>
      </c>
      <c r="AO34" s="12" t="s">
        <v>1081</v>
      </c>
      <c r="AP34" s="12" t="s">
        <v>1082</v>
      </c>
      <c r="AQ34" s="12" t="s">
        <v>598</v>
      </c>
      <c r="AR34" s="12" t="s">
        <v>1083</v>
      </c>
      <c r="AS34" s="12" t="s">
        <v>1084</v>
      </c>
      <c r="AT34" s="12" t="s">
        <v>715</v>
      </c>
      <c r="AU34" s="12">
        <v>2005.0</v>
      </c>
      <c r="AV34" s="12">
        <v>35.0</v>
      </c>
      <c r="AW34" s="12">
        <v>12.0</v>
      </c>
      <c r="AX34" s="12" t="s">
        <v>598</v>
      </c>
      <c r="AY34" s="12" t="s">
        <v>598</v>
      </c>
      <c r="AZ34" s="12" t="s">
        <v>598</v>
      </c>
      <c r="BA34" s="12" t="s">
        <v>598</v>
      </c>
      <c r="BB34" s="12">
        <v>2832.0</v>
      </c>
      <c r="BC34" s="12">
        <v>2840.0</v>
      </c>
      <c r="BD34" s="12" t="s">
        <v>598</v>
      </c>
      <c r="BE34" s="12" t="s">
        <v>1133</v>
      </c>
      <c r="BF34" s="13" t="str">
        <f>HYPERLINK("http://dx.doi.org/10.1139/X05-200","http://dx.doi.org/10.1139/X05-200")</f>
        <v>http://dx.doi.org/10.1139/X05-200</v>
      </c>
      <c r="BG34" s="12" t="s">
        <v>598</v>
      </c>
      <c r="BH34" s="12" t="s">
        <v>598</v>
      </c>
      <c r="BI34" s="12">
        <v>9.0</v>
      </c>
      <c r="BJ34" s="12" t="s">
        <v>617</v>
      </c>
      <c r="BK34" s="12" t="s">
        <v>618</v>
      </c>
      <c r="BL34" s="12" t="s">
        <v>617</v>
      </c>
      <c r="BM34" s="12" t="s">
        <v>1122</v>
      </c>
      <c r="BN34" s="12" t="s">
        <v>598</v>
      </c>
      <c r="BO34" s="12" t="s">
        <v>598</v>
      </c>
      <c r="BP34" s="12" t="s">
        <v>598</v>
      </c>
      <c r="BQ34" s="12" t="s">
        <v>598</v>
      </c>
      <c r="BR34" s="12" t="s">
        <v>620</v>
      </c>
      <c r="BS34" s="12" t="s">
        <v>1134</v>
      </c>
      <c r="BT34" s="12" t="str">
        <f>HYPERLINK("https%3A%2F%2Fwww.webofscience.com%2Fwos%2Fwoscc%2Ffull-record%2FWOS:000235231000008","View Full Record in Web of Science")</f>
        <v>View Full Record in Web of Science</v>
      </c>
    </row>
    <row r="35" ht="12.75" customHeight="1">
      <c r="A35" s="12" t="s">
        <v>596</v>
      </c>
      <c r="B35" s="12" t="s">
        <v>1135</v>
      </c>
      <c r="C35" s="12" t="s">
        <v>598</v>
      </c>
      <c r="D35" s="12" t="s">
        <v>598</v>
      </c>
      <c r="E35" s="12" t="s">
        <v>598</v>
      </c>
      <c r="F35" s="12" t="s">
        <v>1136</v>
      </c>
      <c r="G35" s="12" t="s">
        <v>598</v>
      </c>
      <c r="H35" s="12" t="s">
        <v>598</v>
      </c>
      <c r="I35" s="12" t="s">
        <v>122</v>
      </c>
      <c r="J35" s="12" t="s">
        <v>599</v>
      </c>
      <c r="K35" s="12" t="s">
        <v>598</v>
      </c>
      <c r="L35" s="12" t="s">
        <v>598</v>
      </c>
      <c r="M35" s="12" t="s">
        <v>600</v>
      </c>
      <c r="N35" s="12" t="s">
        <v>601</v>
      </c>
      <c r="O35" s="12" t="s">
        <v>598</v>
      </c>
      <c r="P35" s="12" t="s">
        <v>598</v>
      </c>
      <c r="Q35" s="12" t="s">
        <v>598</v>
      </c>
      <c r="R35" s="12" t="s">
        <v>598</v>
      </c>
      <c r="S35" s="12" t="s">
        <v>598</v>
      </c>
      <c r="T35" s="12" t="s">
        <v>1137</v>
      </c>
      <c r="U35" s="12" t="s">
        <v>1138</v>
      </c>
      <c r="V35" s="12" t="s">
        <v>1139</v>
      </c>
      <c r="W35" s="12" t="s">
        <v>1140</v>
      </c>
      <c r="X35" s="12" t="s">
        <v>878</v>
      </c>
      <c r="Y35" s="12" t="s">
        <v>1141</v>
      </c>
      <c r="Z35" s="12" t="s">
        <v>1142</v>
      </c>
      <c r="AA35" s="12" t="s">
        <v>1143</v>
      </c>
      <c r="AB35" s="12" t="s">
        <v>1144</v>
      </c>
      <c r="AC35" s="12" t="s">
        <v>598</v>
      </c>
      <c r="AD35" s="12" t="s">
        <v>598</v>
      </c>
      <c r="AE35" s="12" t="s">
        <v>598</v>
      </c>
      <c r="AF35" s="12" t="s">
        <v>598</v>
      </c>
      <c r="AG35" s="12">
        <v>38.0</v>
      </c>
      <c r="AH35" s="12">
        <v>40.0</v>
      </c>
      <c r="AI35" s="12">
        <v>63.0</v>
      </c>
      <c r="AJ35" s="12">
        <v>0.0</v>
      </c>
      <c r="AK35" s="12">
        <v>32.0</v>
      </c>
      <c r="AL35" s="12" t="s">
        <v>608</v>
      </c>
      <c r="AM35" s="12" t="s">
        <v>609</v>
      </c>
      <c r="AN35" s="12" t="s">
        <v>610</v>
      </c>
      <c r="AO35" s="12" t="s">
        <v>611</v>
      </c>
      <c r="AP35" s="12" t="s">
        <v>598</v>
      </c>
      <c r="AQ35" s="12" t="s">
        <v>598</v>
      </c>
      <c r="AR35" s="12" t="s">
        <v>612</v>
      </c>
      <c r="AS35" s="12" t="s">
        <v>613</v>
      </c>
      <c r="AT35" s="12" t="s">
        <v>1145</v>
      </c>
      <c r="AU35" s="12">
        <v>2006.0</v>
      </c>
      <c r="AV35" s="12">
        <v>230.0</v>
      </c>
      <c r="AW35" s="12" t="s">
        <v>615</v>
      </c>
      <c r="AX35" s="12" t="s">
        <v>598</v>
      </c>
      <c r="AY35" s="12" t="s">
        <v>598</v>
      </c>
      <c r="AZ35" s="12" t="s">
        <v>598</v>
      </c>
      <c r="BA35" s="12" t="s">
        <v>598</v>
      </c>
      <c r="BB35" s="12">
        <v>162.0</v>
      </c>
      <c r="BC35" s="12">
        <v>170.0</v>
      </c>
      <c r="BD35" s="12" t="s">
        <v>598</v>
      </c>
      <c r="BE35" s="12" t="s">
        <v>1146</v>
      </c>
      <c r="BF35" s="13" t="str">
        <f>HYPERLINK("http://dx.doi.org/10.1016/j.foreco.2006.03.034","http://dx.doi.org/10.1016/j.foreco.2006.03.034")</f>
        <v>http://dx.doi.org/10.1016/j.foreco.2006.03.034</v>
      </c>
      <c r="BG35" s="12" t="s">
        <v>598</v>
      </c>
      <c r="BH35" s="12" t="s">
        <v>598</v>
      </c>
      <c r="BI35" s="12">
        <v>9.0</v>
      </c>
      <c r="BJ35" s="12" t="s">
        <v>617</v>
      </c>
      <c r="BK35" s="12" t="s">
        <v>618</v>
      </c>
      <c r="BL35" s="12" t="s">
        <v>617</v>
      </c>
      <c r="BM35" s="12" t="s">
        <v>1147</v>
      </c>
      <c r="BN35" s="12" t="s">
        <v>598</v>
      </c>
      <c r="BO35" s="12" t="s">
        <v>598</v>
      </c>
      <c r="BP35" s="12" t="s">
        <v>598</v>
      </c>
      <c r="BQ35" s="12" t="s">
        <v>598</v>
      </c>
      <c r="BR35" s="12" t="s">
        <v>620</v>
      </c>
      <c r="BS35" s="12" t="s">
        <v>1148</v>
      </c>
      <c r="BT35" s="12" t="str">
        <f>HYPERLINK("https%3A%2F%2Fwww.webofscience.com%2Fwos%2Fwoscc%2Ffull-record%2FWOS:000238863300014","View Full Record in Web of Science")</f>
        <v>View Full Record in Web of Science</v>
      </c>
    </row>
    <row r="36" ht="12.75" customHeight="1">
      <c r="A36" s="12" t="s">
        <v>596</v>
      </c>
      <c r="B36" s="12" t="s">
        <v>1149</v>
      </c>
      <c r="C36" s="12" t="s">
        <v>598</v>
      </c>
      <c r="D36" s="12" t="s">
        <v>598</v>
      </c>
      <c r="E36" s="12" t="s">
        <v>598</v>
      </c>
      <c r="F36" s="12" t="s">
        <v>1150</v>
      </c>
      <c r="G36" s="12" t="s">
        <v>598</v>
      </c>
      <c r="H36" s="12" t="s">
        <v>598</v>
      </c>
      <c r="I36" s="12" t="s">
        <v>60</v>
      </c>
      <c r="J36" s="12" t="s">
        <v>642</v>
      </c>
      <c r="K36" s="12" t="s">
        <v>598</v>
      </c>
      <c r="L36" s="12" t="s">
        <v>598</v>
      </c>
      <c r="M36" s="12" t="s">
        <v>600</v>
      </c>
      <c r="N36" s="12" t="s">
        <v>601</v>
      </c>
      <c r="O36" s="12" t="s">
        <v>598</v>
      </c>
      <c r="P36" s="12" t="s">
        <v>598</v>
      </c>
      <c r="Q36" s="12" t="s">
        <v>598</v>
      </c>
      <c r="R36" s="12" t="s">
        <v>598</v>
      </c>
      <c r="S36" s="12" t="s">
        <v>598</v>
      </c>
      <c r="T36" s="12" t="s">
        <v>1151</v>
      </c>
      <c r="U36" s="12" t="s">
        <v>1152</v>
      </c>
      <c r="V36" s="12" t="s">
        <v>1153</v>
      </c>
      <c r="W36" s="12" t="s">
        <v>1154</v>
      </c>
      <c r="X36" s="12" t="s">
        <v>1155</v>
      </c>
      <c r="Y36" s="12" t="s">
        <v>1156</v>
      </c>
      <c r="Z36" s="12" t="s">
        <v>1157</v>
      </c>
      <c r="AA36" s="12" t="s">
        <v>1158</v>
      </c>
      <c r="AB36" s="12" t="s">
        <v>1159</v>
      </c>
      <c r="AC36" s="12" t="s">
        <v>598</v>
      </c>
      <c r="AD36" s="12" t="s">
        <v>598</v>
      </c>
      <c r="AE36" s="12" t="s">
        <v>598</v>
      </c>
      <c r="AF36" s="12" t="s">
        <v>598</v>
      </c>
      <c r="AG36" s="12">
        <v>54.0</v>
      </c>
      <c r="AH36" s="12">
        <v>75.0</v>
      </c>
      <c r="AI36" s="12">
        <v>114.0</v>
      </c>
      <c r="AJ36" s="12">
        <v>5.0</v>
      </c>
      <c r="AK36" s="12">
        <v>113.0</v>
      </c>
      <c r="AL36" s="12" t="s">
        <v>651</v>
      </c>
      <c r="AM36" s="12" t="s">
        <v>652</v>
      </c>
      <c r="AN36" s="12" t="s">
        <v>653</v>
      </c>
      <c r="AO36" s="12" t="s">
        <v>654</v>
      </c>
      <c r="AP36" s="12" t="s">
        <v>598</v>
      </c>
      <c r="AQ36" s="12" t="s">
        <v>598</v>
      </c>
      <c r="AR36" s="12" t="s">
        <v>655</v>
      </c>
      <c r="AS36" s="12" t="s">
        <v>656</v>
      </c>
      <c r="AT36" s="12" t="s">
        <v>1160</v>
      </c>
      <c r="AU36" s="12">
        <v>2006.0</v>
      </c>
      <c r="AV36" s="12">
        <v>38.0</v>
      </c>
      <c r="AW36" s="12">
        <v>7.0</v>
      </c>
      <c r="AX36" s="12" t="s">
        <v>598</v>
      </c>
      <c r="AY36" s="12" t="s">
        <v>598</v>
      </c>
      <c r="AZ36" s="12" t="s">
        <v>598</v>
      </c>
      <c r="BA36" s="12" t="s">
        <v>598</v>
      </c>
      <c r="BB36" s="12">
        <v>1956.0</v>
      </c>
      <c r="BC36" s="12">
        <v>1965.0</v>
      </c>
      <c r="BD36" s="12" t="s">
        <v>598</v>
      </c>
      <c r="BE36" s="12" t="s">
        <v>1161</v>
      </c>
      <c r="BF36" s="13" t="str">
        <f>HYPERLINK("http://dx.doi.org/10.1016/j.soilbio.2005.12.019","http://dx.doi.org/10.1016/j.soilbio.2005.12.019")</f>
        <v>http://dx.doi.org/10.1016/j.soilbio.2005.12.019</v>
      </c>
      <c r="BG36" s="12" t="s">
        <v>598</v>
      </c>
      <c r="BH36" s="12" t="s">
        <v>598</v>
      </c>
      <c r="BI36" s="12">
        <v>10.0</v>
      </c>
      <c r="BJ36" s="12" t="s">
        <v>637</v>
      </c>
      <c r="BK36" s="12" t="s">
        <v>618</v>
      </c>
      <c r="BL36" s="12" t="s">
        <v>638</v>
      </c>
      <c r="BM36" s="12" t="s">
        <v>1162</v>
      </c>
      <c r="BN36" s="12" t="s">
        <v>598</v>
      </c>
      <c r="BO36" s="12" t="s">
        <v>598</v>
      </c>
      <c r="BP36" s="12" t="s">
        <v>598</v>
      </c>
      <c r="BQ36" s="12" t="s">
        <v>598</v>
      </c>
      <c r="BR36" s="12" t="s">
        <v>620</v>
      </c>
      <c r="BS36" s="12" t="s">
        <v>1163</v>
      </c>
      <c r="BT36" s="12" t="str">
        <f>HYPERLINK("https%3A%2F%2Fwww.webofscience.com%2Fwos%2Fwoscc%2Ffull-record%2FWOS:000239946100045","View Full Record in Web of Science")</f>
        <v>View Full Record in Web of Science</v>
      </c>
    </row>
    <row r="37" ht="12.75" customHeight="1">
      <c r="A37" s="12" t="s">
        <v>596</v>
      </c>
      <c r="B37" s="12" t="s">
        <v>1164</v>
      </c>
      <c r="C37" s="12" t="s">
        <v>598</v>
      </c>
      <c r="D37" s="12" t="s">
        <v>598</v>
      </c>
      <c r="E37" s="12" t="s">
        <v>598</v>
      </c>
      <c r="F37" s="12" t="s">
        <v>1165</v>
      </c>
      <c r="G37" s="12" t="s">
        <v>598</v>
      </c>
      <c r="H37" s="12" t="s">
        <v>598</v>
      </c>
      <c r="I37" s="12" t="s">
        <v>100</v>
      </c>
      <c r="J37" s="12" t="s">
        <v>1166</v>
      </c>
      <c r="K37" s="12" t="s">
        <v>598</v>
      </c>
      <c r="L37" s="12" t="s">
        <v>598</v>
      </c>
      <c r="M37" s="12" t="s">
        <v>600</v>
      </c>
      <c r="N37" s="12" t="s">
        <v>601</v>
      </c>
      <c r="O37" s="12" t="s">
        <v>598</v>
      </c>
      <c r="P37" s="12" t="s">
        <v>598</v>
      </c>
      <c r="Q37" s="12" t="s">
        <v>598</v>
      </c>
      <c r="R37" s="12" t="s">
        <v>598</v>
      </c>
      <c r="S37" s="12" t="s">
        <v>598</v>
      </c>
      <c r="T37" s="12" t="s">
        <v>1167</v>
      </c>
      <c r="U37" s="12" t="s">
        <v>1168</v>
      </c>
      <c r="V37" s="12" t="s">
        <v>1169</v>
      </c>
      <c r="W37" s="12" t="s">
        <v>1170</v>
      </c>
      <c r="X37" s="12" t="s">
        <v>1171</v>
      </c>
      <c r="Y37" s="12" t="s">
        <v>1172</v>
      </c>
      <c r="Z37" s="12" t="s">
        <v>1173</v>
      </c>
      <c r="AA37" s="12" t="s">
        <v>598</v>
      </c>
      <c r="AB37" s="12" t="s">
        <v>598</v>
      </c>
      <c r="AC37" s="12" t="s">
        <v>598</v>
      </c>
      <c r="AD37" s="12" t="s">
        <v>598</v>
      </c>
      <c r="AE37" s="12" t="s">
        <v>598</v>
      </c>
      <c r="AF37" s="12" t="s">
        <v>598</v>
      </c>
      <c r="AG37" s="12">
        <v>52.0</v>
      </c>
      <c r="AH37" s="12">
        <v>57.0</v>
      </c>
      <c r="AI37" s="12">
        <v>71.0</v>
      </c>
      <c r="AJ37" s="12">
        <v>0.0</v>
      </c>
      <c r="AK37" s="12">
        <v>19.0</v>
      </c>
      <c r="AL37" s="12" t="s">
        <v>1174</v>
      </c>
      <c r="AM37" s="12" t="s">
        <v>1175</v>
      </c>
      <c r="AN37" s="12" t="s">
        <v>1176</v>
      </c>
      <c r="AO37" s="12" t="s">
        <v>1177</v>
      </c>
      <c r="AP37" s="12" t="s">
        <v>1178</v>
      </c>
      <c r="AQ37" s="12" t="s">
        <v>598</v>
      </c>
      <c r="AR37" s="12" t="s">
        <v>1179</v>
      </c>
      <c r="AS37" s="12" t="s">
        <v>1180</v>
      </c>
      <c r="AT37" s="12" t="s">
        <v>1181</v>
      </c>
      <c r="AU37" s="12">
        <v>2007.0</v>
      </c>
      <c r="AV37" s="12">
        <v>64.0</v>
      </c>
      <c r="AW37" s="12">
        <v>1.0</v>
      </c>
      <c r="AX37" s="12" t="s">
        <v>598</v>
      </c>
      <c r="AY37" s="12" t="s">
        <v>598</v>
      </c>
      <c r="AZ37" s="12" t="s">
        <v>598</v>
      </c>
      <c r="BA37" s="12" t="s">
        <v>598</v>
      </c>
      <c r="BB37" s="12">
        <v>47.0</v>
      </c>
      <c r="BC37" s="12">
        <v>57.0</v>
      </c>
      <c r="BD37" s="12" t="s">
        <v>598</v>
      </c>
      <c r="BE37" s="12" t="s">
        <v>1182</v>
      </c>
      <c r="BF37" s="13" t="str">
        <f>HYPERLINK("http://dx.doi.org/10.1051/forest:2006087","http://dx.doi.org/10.1051/forest:2006087")</f>
        <v>http://dx.doi.org/10.1051/forest:2006087</v>
      </c>
      <c r="BG37" s="12" t="s">
        <v>598</v>
      </c>
      <c r="BH37" s="12" t="s">
        <v>598</v>
      </c>
      <c r="BI37" s="12">
        <v>11.0</v>
      </c>
      <c r="BJ37" s="12" t="s">
        <v>617</v>
      </c>
      <c r="BK37" s="12" t="s">
        <v>618</v>
      </c>
      <c r="BL37" s="12" t="s">
        <v>617</v>
      </c>
      <c r="BM37" s="12" t="s">
        <v>1183</v>
      </c>
      <c r="BN37" s="12" t="s">
        <v>598</v>
      </c>
      <c r="BO37" s="12" t="s">
        <v>719</v>
      </c>
      <c r="BP37" s="12" t="s">
        <v>598</v>
      </c>
      <c r="BQ37" s="12" t="s">
        <v>598</v>
      </c>
      <c r="BR37" s="12" t="s">
        <v>620</v>
      </c>
      <c r="BS37" s="12" t="s">
        <v>1184</v>
      </c>
      <c r="BT37" s="12" t="str">
        <f>HYPERLINK("https%3A%2F%2Fwww.webofscience.com%2Fwos%2Fwoscc%2Ffull-record%2FWOS:000243521300006","View Full Record in Web of Science")</f>
        <v>View Full Record in Web of Science</v>
      </c>
    </row>
    <row r="38" ht="12.75" customHeight="1">
      <c r="A38" s="12" t="s">
        <v>596</v>
      </c>
      <c r="B38" s="12" t="s">
        <v>1185</v>
      </c>
      <c r="C38" s="12" t="s">
        <v>598</v>
      </c>
      <c r="D38" s="12" t="s">
        <v>598</v>
      </c>
      <c r="E38" s="12" t="s">
        <v>598</v>
      </c>
      <c r="F38" s="12" t="s">
        <v>1186</v>
      </c>
      <c r="G38" s="12" t="s">
        <v>598</v>
      </c>
      <c r="H38" s="12" t="s">
        <v>598</v>
      </c>
      <c r="I38" s="12" t="s">
        <v>1187</v>
      </c>
      <c r="J38" s="12" t="s">
        <v>683</v>
      </c>
      <c r="K38" s="12" t="s">
        <v>598</v>
      </c>
      <c r="L38" s="12" t="s">
        <v>598</v>
      </c>
      <c r="M38" s="12" t="s">
        <v>600</v>
      </c>
      <c r="N38" s="12" t="s">
        <v>601</v>
      </c>
      <c r="O38" s="12" t="s">
        <v>598</v>
      </c>
      <c r="P38" s="12" t="s">
        <v>598</v>
      </c>
      <c r="Q38" s="12" t="s">
        <v>598</v>
      </c>
      <c r="R38" s="12" t="s">
        <v>598</v>
      </c>
      <c r="S38" s="12" t="s">
        <v>598</v>
      </c>
      <c r="T38" s="12" t="s">
        <v>1188</v>
      </c>
      <c r="U38" s="12" t="s">
        <v>1189</v>
      </c>
      <c r="V38" s="12" t="s">
        <v>1190</v>
      </c>
      <c r="W38" s="12" t="s">
        <v>1191</v>
      </c>
      <c r="X38" s="12" t="s">
        <v>1192</v>
      </c>
      <c r="Y38" s="12" t="s">
        <v>1193</v>
      </c>
      <c r="Z38" s="12" t="s">
        <v>1194</v>
      </c>
      <c r="AA38" s="12" t="s">
        <v>1195</v>
      </c>
      <c r="AB38" s="12" t="s">
        <v>1196</v>
      </c>
      <c r="AC38" s="12" t="s">
        <v>598</v>
      </c>
      <c r="AD38" s="12" t="s">
        <v>598</v>
      </c>
      <c r="AE38" s="12" t="s">
        <v>598</v>
      </c>
      <c r="AF38" s="12" t="s">
        <v>598</v>
      </c>
      <c r="AG38" s="12">
        <v>39.0</v>
      </c>
      <c r="AH38" s="12">
        <v>71.0</v>
      </c>
      <c r="AI38" s="12">
        <v>90.0</v>
      </c>
      <c r="AJ38" s="12">
        <v>0.0</v>
      </c>
      <c r="AK38" s="12">
        <v>46.0</v>
      </c>
      <c r="AL38" s="12" t="s">
        <v>731</v>
      </c>
      <c r="AM38" s="12" t="s">
        <v>609</v>
      </c>
      <c r="AN38" s="12" t="s">
        <v>732</v>
      </c>
      <c r="AO38" s="12" t="s">
        <v>690</v>
      </c>
      <c r="AP38" s="12" t="s">
        <v>936</v>
      </c>
      <c r="AQ38" s="12" t="s">
        <v>598</v>
      </c>
      <c r="AR38" s="12" t="s">
        <v>691</v>
      </c>
      <c r="AS38" s="12" t="s">
        <v>692</v>
      </c>
      <c r="AT38" s="12" t="s">
        <v>1197</v>
      </c>
      <c r="AU38" s="12">
        <v>2007.0</v>
      </c>
      <c r="AV38" s="12">
        <v>118.0</v>
      </c>
      <c r="AW38" s="12" t="s">
        <v>1198</v>
      </c>
      <c r="AX38" s="12" t="s">
        <v>598</v>
      </c>
      <c r="AY38" s="12" t="s">
        <v>598</v>
      </c>
      <c r="AZ38" s="12" t="s">
        <v>598</v>
      </c>
      <c r="BA38" s="12" t="s">
        <v>598</v>
      </c>
      <c r="BB38" s="12">
        <v>285.0</v>
      </c>
      <c r="BC38" s="12">
        <v>290.0</v>
      </c>
      <c r="BD38" s="12" t="s">
        <v>598</v>
      </c>
      <c r="BE38" s="12" t="s">
        <v>1199</v>
      </c>
      <c r="BF38" s="13" t="str">
        <f>HYPERLINK("http://dx.doi.org/10.1016/j.agee.2006.05.028","http://dx.doi.org/10.1016/j.agee.2006.05.028")</f>
        <v>http://dx.doi.org/10.1016/j.agee.2006.05.028</v>
      </c>
      <c r="BG38" s="12" t="s">
        <v>598</v>
      </c>
      <c r="BH38" s="12" t="s">
        <v>598</v>
      </c>
      <c r="BI38" s="12">
        <v>6.0</v>
      </c>
      <c r="BJ38" s="12" t="s">
        <v>695</v>
      </c>
      <c r="BK38" s="12" t="s">
        <v>618</v>
      </c>
      <c r="BL38" s="12" t="s">
        <v>696</v>
      </c>
      <c r="BM38" s="12" t="s">
        <v>1200</v>
      </c>
      <c r="BN38" s="12" t="s">
        <v>598</v>
      </c>
      <c r="BO38" s="12" t="s">
        <v>1201</v>
      </c>
      <c r="BP38" s="12" t="s">
        <v>598</v>
      </c>
      <c r="BQ38" s="12" t="s">
        <v>598</v>
      </c>
      <c r="BR38" s="12" t="s">
        <v>620</v>
      </c>
      <c r="BS38" s="12" t="s">
        <v>1202</v>
      </c>
      <c r="BT38" s="12" t="str">
        <f>HYPERLINK("https%3A%2F%2Fwww.webofscience.com%2Fwos%2Fwoscc%2Ffull-record%2FWOS:000243609800029","View Full Record in Web of Science")</f>
        <v>View Full Record in Web of Science</v>
      </c>
    </row>
    <row r="39" ht="12.75" customHeight="1">
      <c r="A39" s="12" t="s">
        <v>596</v>
      </c>
      <c r="B39" s="12" t="s">
        <v>1203</v>
      </c>
      <c r="C39" s="12" t="s">
        <v>598</v>
      </c>
      <c r="D39" s="12" t="s">
        <v>598</v>
      </c>
      <c r="E39" s="12" t="s">
        <v>598</v>
      </c>
      <c r="F39" s="12" t="s">
        <v>1204</v>
      </c>
      <c r="G39" s="12" t="s">
        <v>598</v>
      </c>
      <c r="H39" s="12" t="s">
        <v>598</v>
      </c>
      <c r="I39" s="12" t="s">
        <v>1205</v>
      </c>
      <c r="J39" s="12" t="s">
        <v>599</v>
      </c>
      <c r="K39" s="12" t="s">
        <v>598</v>
      </c>
      <c r="L39" s="12" t="s">
        <v>598</v>
      </c>
      <c r="M39" s="12" t="s">
        <v>600</v>
      </c>
      <c r="N39" s="12" t="s">
        <v>601</v>
      </c>
      <c r="O39" s="12" t="s">
        <v>598</v>
      </c>
      <c r="P39" s="12" t="s">
        <v>598</v>
      </c>
      <c r="Q39" s="12" t="s">
        <v>598</v>
      </c>
      <c r="R39" s="12" t="s">
        <v>598</v>
      </c>
      <c r="S39" s="12" t="s">
        <v>598</v>
      </c>
      <c r="T39" s="12" t="s">
        <v>1206</v>
      </c>
      <c r="U39" s="12" t="s">
        <v>1207</v>
      </c>
      <c r="V39" s="12" t="s">
        <v>1208</v>
      </c>
      <c r="W39" s="12" t="s">
        <v>1209</v>
      </c>
      <c r="X39" s="12" t="s">
        <v>1210</v>
      </c>
      <c r="Y39" s="12" t="s">
        <v>1211</v>
      </c>
      <c r="Z39" s="12" t="s">
        <v>1212</v>
      </c>
      <c r="AA39" s="12" t="s">
        <v>1213</v>
      </c>
      <c r="AB39" s="12" t="s">
        <v>598</v>
      </c>
      <c r="AC39" s="12" t="s">
        <v>598</v>
      </c>
      <c r="AD39" s="12" t="s">
        <v>598</v>
      </c>
      <c r="AE39" s="12" t="s">
        <v>598</v>
      </c>
      <c r="AF39" s="12" t="s">
        <v>598</v>
      </c>
      <c r="AG39" s="12">
        <v>78.0</v>
      </c>
      <c r="AH39" s="12">
        <v>40.0</v>
      </c>
      <c r="AI39" s="12">
        <v>62.0</v>
      </c>
      <c r="AJ39" s="12">
        <v>2.0</v>
      </c>
      <c r="AK39" s="12">
        <v>77.0</v>
      </c>
      <c r="AL39" s="12" t="s">
        <v>731</v>
      </c>
      <c r="AM39" s="12" t="s">
        <v>609</v>
      </c>
      <c r="AN39" s="12" t="s">
        <v>732</v>
      </c>
      <c r="AO39" s="12" t="s">
        <v>611</v>
      </c>
      <c r="AP39" s="12" t="s">
        <v>733</v>
      </c>
      <c r="AQ39" s="12" t="s">
        <v>598</v>
      </c>
      <c r="AR39" s="12" t="s">
        <v>612</v>
      </c>
      <c r="AS39" s="12" t="s">
        <v>613</v>
      </c>
      <c r="AT39" s="12" t="s">
        <v>1214</v>
      </c>
      <c r="AU39" s="12">
        <v>2007.0</v>
      </c>
      <c r="AV39" s="12">
        <v>240.0</v>
      </c>
      <c r="AW39" s="12" t="s">
        <v>615</v>
      </c>
      <c r="AX39" s="12" t="s">
        <v>598</v>
      </c>
      <c r="AY39" s="12" t="s">
        <v>598</v>
      </c>
      <c r="AZ39" s="12" t="s">
        <v>598</v>
      </c>
      <c r="BA39" s="12" t="s">
        <v>598</v>
      </c>
      <c r="BB39" s="12">
        <v>165.0</v>
      </c>
      <c r="BC39" s="12">
        <v>177.0</v>
      </c>
      <c r="BD39" s="12" t="s">
        <v>598</v>
      </c>
      <c r="BE39" s="12" t="s">
        <v>1215</v>
      </c>
      <c r="BF39" s="13" t="str">
        <f>HYPERLINK("http://dx.doi.org/10.1016/j.foreco.2006.12.019","http://dx.doi.org/10.1016/j.foreco.2006.12.019")</f>
        <v>http://dx.doi.org/10.1016/j.foreco.2006.12.019</v>
      </c>
      <c r="BG39" s="12" t="s">
        <v>598</v>
      </c>
      <c r="BH39" s="12" t="s">
        <v>598</v>
      </c>
      <c r="BI39" s="12">
        <v>13.0</v>
      </c>
      <c r="BJ39" s="12" t="s">
        <v>617</v>
      </c>
      <c r="BK39" s="12" t="s">
        <v>618</v>
      </c>
      <c r="BL39" s="12" t="s">
        <v>617</v>
      </c>
      <c r="BM39" s="12" t="s">
        <v>1216</v>
      </c>
      <c r="BN39" s="12" t="s">
        <v>598</v>
      </c>
      <c r="BO39" s="12" t="s">
        <v>598</v>
      </c>
      <c r="BP39" s="12" t="s">
        <v>598</v>
      </c>
      <c r="BQ39" s="12" t="s">
        <v>598</v>
      </c>
      <c r="BR39" s="12" t="s">
        <v>620</v>
      </c>
      <c r="BS39" s="12" t="s">
        <v>1217</v>
      </c>
      <c r="BT39" s="12" t="str">
        <f>HYPERLINK("https%3A%2F%2Fwww.webofscience.com%2Fwos%2Fwoscc%2Ffull-record%2FWOS:000244795600017","View Full Record in Web of Science")</f>
        <v>View Full Record in Web of Science</v>
      </c>
    </row>
    <row r="40" ht="12.75" customHeight="1">
      <c r="A40" s="12" t="s">
        <v>596</v>
      </c>
      <c r="B40" s="12" t="s">
        <v>1218</v>
      </c>
      <c r="C40" s="12" t="s">
        <v>598</v>
      </c>
      <c r="D40" s="12" t="s">
        <v>598</v>
      </c>
      <c r="E40" s="12" t="s">
        <v>598</v>
      </c>
      <c r="F40" s="12" t="s">
        <v>1219</v>
      </c>
      <c r="G40" s="12" t="s">
        <v>598</v>
      </c>
      <c r="H40" s="12" t="s">
        <v>598</v>
      </c>
      <c r="I40" s="12" t="s">
        <v>189</v>
      </c>
      <c r="J40" s="12" t="s">
        <v>662</v>
      </c>
      <c r="K40" s="12" t="s">
        <v>598</v>
      </c>
      <c r="L40" s="12" t="s">
        <v>598</v>
      </c>
      <c r="M40" s="12" t="s">
        <v>600</v>
      </c>
      <c r="N40" s="12" t="s">
        <v>601</v>
      </c>
      <c r="O40" s="12" t="s">
        <v>598</v>
      </c>
      <c r="P40" s="12" t="s">
        <v>598</v>
      </c>
      <c r="Q40" s="12" t="s">
        <v>598</v>
      </c>
      <c r="R40" s="12" t="s">
        <v>598</v>
      </c>
      <c r="S40" s="12" t="s">
        <v>598</v>
      </c>
      <c r="T40" s="12" t="s">
        <v>1220</v>
      </c>
      <c r="U40" s="12" t="s">
        <v>1221</v>
      </c>
      <c r="V40" s="12" t="s">
        <v>1222</v>
      </c>
      <c r="W40" s="12" t="s">
        <v>1223</v>
      </c>
      <c r="X40" s="12" t="s">
        <v>1224</v>
      </c>
      <c r="Y40" s="12" t="s">
        <v>1225</v>
      </c>
      <c r="Z40" s="12" t="s">
        <v>1226</v>
      </c>
      <c r="AA40" s="12" t="s">
        <v>1227</v>
      </c>
      <c r="AB40" s="12" t="s">
        <v>1228</v>
      </c>
      <c r="AC40" s="12" t="s">
        <v>598</v>
      </c>
      <c r="AD40" s="12" t="s">
        <v>598</v>
      </c>
      <c r="AE40" s="12" t="s">
        <v>598</v>
      </c>
      <c r="AF40" s="12" t="s">
        <v>598</v>
      </c>
      <c r="AG40" s="12">
        <v>66.0</v>
      </c>
      <c r="AH40" s="12">
        <v>22.0</v>
      </c>
      <c r="AI40" s="12">
        <v>29.0</v>
      </c>
      <c r="AJ40" s="12">
        <v>3.0</v>
      </c>
      <c r="AK40" s="12">
        <v>46.0</v>
      </c>
      <c r="AL40" s="12" t="s">
        <v>670</v>
      </c>
      <c r="AM40" s="12" t="s">
        <v>671</v>
      </c>
      <c r="AN40" s="12" t="s">
        <v>672</v>
      </c>
      <c r="AO40" s="12" t="s">
        <v>673</v>
      </c>
      <c r="AP40" s="12" t="s">
        <v>674</v>
      </c>
      <c r="AQ40" s="12" t="s">
        <v>598</v>
      </c>
      <c r="AR40" s="12" t="s">
        <v>675</v>
      </c>
      <c r="AS40" s="12" t="s">
        <v>676</v>
      </c>
      <c r="AT40" s="12" t="s">
        <v>852</v>
      </c>
      <c r="AU40" s="12">
        <v>2007.0</v>
      </c>
      <c r="AV40" s="12">
        <v>16.0</v>
      </c>
      <c r="AW40" s="12">
        <v>7.0</v>
      </c>
      <c r="AX40" s="12" t="s">
        <v>598</v>
      </c>
      <c r="AY40" s="12" t="s">
        <v>598</v>
      </c>
      <c r="AZ40" s="12" t="s">
        <v>598</v>
      </c>
      <c r="BA40" s="12" t="s">
        <v>598</v>
      </c>
      <c r="BB40" s="12">
        <v>2167.0</v>
      </c>
      <c r="BC40" s="12">
        <v>2184.0</v>
      </c>
      <c r="BD40" s="12" t="s">
        <v>598</v>
      </c>
      <c r="BE40" s="12" t="s">
        <v>1229</v>
      </c>
      <c r="BF40" s="13" t="str">
        <f>HYPERLINK("http://dx.doi.org/10.1007/s10531-006-9146-2","http://dx.doi.org/10.1007/s10531-006-9146-2")</f>
        <v>http://dx.doi.org/10.1007/s10531-006-9146-2</v>
      </c>
      <c r="BG40" s="12" t="s">
        <v>598</v>
      </c>
      <c r="BH40" s="12" t="s">
        <v>598</v>
      </c>
      <c r="BI40" s="12">
        <v>18.0</v>
      </c>
      <c r="BJ40" s="12" t="s">
        <v>678</v>
      </c>
      <c r="BK40" s="12" t="s">
        <v>618</v>
      </c>
      <c r="BL40" s="12" t="s">
        <v>679</v>
      </c>
      <c r="BM40" s="12" t="s">
        <v>1230</v>
      </c>
      <c r="BN40" s="12" t="s">
        <v>598</v>
      </c>
      <c r="BO40" s="12" t="s">
        <v>954</v>
      </c>
      <c r="BP40" s="12" t="s">
        <v>598</v>
      </c>
      <c r="BQ40" s="12" t="s">
        <v>598</v>
      </c>
      <c r="BR40" s="12" t="s">
        <v>620</v>
      </c>
      <c r="BS40" s="12" t="s">
        <v>1231</v>
      </c>
      <c r="BT40" s="12" t="str">
        <f>HYPERLINK("https%3A%2F%2Fwww.webofscience.com%2Fwos%2Fwoscc%2Ffull-record%2FWOS:000247153100012","View Full Record in Web of Science")</f>
        <v>View Full Record in Web of Science</v>
      </c>
    </row>
    <row r="41" ht="12.75" customHeight="1">
      <c r="A41" s="12" t="s">
        <v>596</v>
      </c>
      <c r="B41" s="12" t="s">
        <v>1232</v>
      </c>
      <c r="C41" s="12" t="s">
        <v>598</v>
      </c>
      <c r="D41" s="12" t="s">
        <v>598</v>
      </c>
      <c r="E41" s="12" t="s">
        <v>598</v>
      </c>
      <c r="F41" s="12" t="s">
        <v>1233</v>
      </c>
      <c r="G41" s="12" t="s">
        <v>598</v>
      </c>
      <c r="H41" s="12" t="s">
        <v>598</v>
      </c>
      <c r="I41" s="12" t="s">
        <v>110</v>
      </c>
      <c r="J41" s="12" t="s">
        <v>1234</v>
      </c>
      <c r="K41" s="12" t="s">
        <v>598</v>
      </c>
      <c r="L41" s="12" t="s">
        <v>598</v>
      </c>
      <c r="M41" s="12" t="s">
        <v>600</v>
      </c>
      <c r="N41" s="12" t="s">
        <v>601</v>
      </c>
      <c r="O41" s="12" t="s">
        <v>598</v>
      </c>
      <c r="P41" s="12" t="s">
        <v>598</v>
      </c>
      <c r="Q41" s="12" t="s">
        <v>598</v>
      </c>
      <c r="R41" s="12" t="s">
        <v>598</v>
      </c>
      <c r="S41" s="12" t="s">
        <v>598</v>
      </c>
      <c r="T41" s="12" t="s">
        <v>1235</v>
      </c>
      <c r="U41" s="12" t="s">
        <v>1236</v>
      </c>
      <c r="V41" s="12" t="s">
        <v>1237</v>
      </c>
      <c r="W41" s="12" t="s">
        <v>1238</v>
      </c>
      <c r="X41" s="12" t="s">
        <v>1239</v>
      </c>
      <c r="Y41" s="12" t="s">
        <v>1240</v>
      </c>
      <c r="Z41" s="12" t="s">
        <v>1241</v>
      </c>
      <c r="AA41" s="12" t="s">
        <v>598</v>
      </c>
      <c r="AB41" s="12" t="s">
        <v>598</v>
      </c>
      <c r="AC41" s="12" t="s">
        <v>598</v>
      </c>
      <c r="AD41" s="12" t="s">
        <v>598</v>
      </c>
      <c r="AE41" s="12" t="s">
        <v>598</v>
      </c>
      <c r="AF41" s="12" t="s">
        <v>598</v>
      </c>
      <c r="AG41" s="12">
        <v>48.0</v>
      </c>
      <c r="AH41" s="12">
        <v>44.0</v>
      </c>
      <c r="AI41" s="12">
        <v>47.0</v>
      </c>
      <c r="AJ41" s="12">
        <v>3.0</v>
      </c>
      <c r="AK41" s="12">
        <v>43.0</v>
      </c>
      <c r="AL41" s="12" t="s">
        <v>708</v>
      </c>
      <c r="AM41" s="12" t="s">
        <v>709</v>
      </c>
      <c r="AN41" s="12" t="s">
        <v>710</v>
      </c>
      <c r="AO41" s="12" t="s">
        <v>1242</v>
      </c>
      <c r="AP41" s="12" t="s">
        <v>1243</v>
      </c>
      <c r="AQ41" s="12" t="s">
        <v>598</v>
      </c>
      <c r="AR41" s="12" t="s">
        <v>1244</v>
      </c>
      <c r="AS41" s="12" t="s">
        <v>1245</v>
      </c>
      <c r="AT41" s="12" t="s">
        <v>657</v>
      </c>
      <c r="AU41" s="12">
        <v>2007.0</v>
      </c>
      <c r="AV41" s="12">
        <v>18.0</v>
      </c>
      <c r="AW41" s="12">
        <v>5.0</v>
      </c>
      <c r="AX41" s="12" t="s">
        <v>598</v>
      </c>
      <c r="AY41" s="12" t="s">
        <v>598</v>
      </c>
      <c r="AZ41" s="12" t="s">
        <v>598</v>
      </c>
      <c r="BA41" s="12" t="s">
        <v>598</v>
      </c>
      <c r="BB41" s="12">
        <v>625.0</v>
      </c>
      <c r="BC41" s="12">
        <v>634.0</v>
      </c>
      <c r="BD41" s="12" t="s">
        <v>598</v>
      </c>
      <c r="BE41" s="12" t="s">
        <v>1246</v>
      </c>
      <c r="BF41" s="13" t="str">
        <f>HYPERLINK("http://dx.doi.org/10.1658/1100-9233(2007)18[625:FEOFEO]2.0.CO;2","http://dx.doi.org/10.1658/1100-9233(2007)18[625:FEOFEO]2.0.CO;2")</f>
        <v>http://dx.doi.org/10.1658/1100-9233(2007)18[625:FEOFEO]2.0.CO;2</v>
      </c>
      <c r="BG41" s="12" t="s">
        <v>598</v>
      </c>
      <c r="BH41" s="12" t="s">
        <v>598</v>
      </c>
      <c r="BI41" s="12">
        <v>10.0</v>
      </c>
      <c r="BJ41" s="12" t="s">
        <v>1247</v>
      </c>
      <c r="BK41" s="12" t="s">
        <v>618</v>
      </c>
      <c r="BL41" s="12" t="s">
        <v>1248</v>
      </c>
      <c r="BM41" s="12" t="s">
        <v>1249</v>
      </c>
      <c r="BN41" s="12" t="s">
        <v>598</v>
      </c>
      <c r="BO41" s="12" t="s">
        <v>598</v>
      </c>
      <c r="BP41" s="12" t="s">
        <v>598</v>
      </c>
      <c r="BQ41" s="12" t="s">
        <v>598</v>
      </c>
      <c r="BR41" s="12" t="s">
        <v>620</v>
      </c>
      <c r="BS41" s="12" t="s">
        <v>1250</v>
      </c>
      <c r="BT41" s="12" t="str">
        <f>HYPERLINK("https%3A%2F%2Fwww.webofscience.com%2Fwos%2Fwoscc%2Ffull-record%2FWOS:000248293400002","View Full Record in Web of Science")</f>
        <v>View Full Record in Web of Science</v>
      </c>
    </row>
    <row r="42" ht="12.75" customHeight="1">
      <c r="A42" s="12" t="s">
        <v>596</v>
      </c>
      <c r="B42" s="12" t="s">
        <v>1251</v>
      </c>
      <c r="C42" s="12" t="s">
        <v>598</v>
      </c>
      <c r="D42" s="12" t="s">
        <v>598</v>
      </c>
      <c r="E42" s="12" t="s">
        <v>598</v>
      </c>
      <c r="F42" s="12" t="s">
        <v>1252</v>
      </c>
      <c r="G42" s="12" t="s">
        <v>598</v>
      </c>
      <c r="H42" s="12" t="s">
        <v>598</v>
      </c>
      <c r="I42" s="12" t="s">
        <v>46</v>
      </c>
      <c r="J42" s="12" t="s">
        <v>1253</v>
      </c>
      <c r="K42" s="12" t="s">
        <v>598</v>
      </c>
      <c r="L42" s="12" t="s">
        <v>598</v>
      </c>
      <c r="M42" s="12" t="s">
        <v>600</v>
      </c>
      <c r="N42" s="12" t="s">
        <v>601</v>
      </c>
      <c r="O42" s="12" t="s">
        <v>598</v>
      </c>
      <c r="P42" s="12" t="s">
        <v>598</v>
      </c>
      <c r="Q42" s="12" t="s">
        <v>598</v>
      </c>
      <c r="R42" s="12" t="s">
        <v>598</v>
      </c>
      <c r="S42" s="12" t="s">
        <v>598</v>
      </c>
      <c r="T42" s="12" t="s">
        <v>1254</v>
      </c>
      <c r="U42" s="12" t="s">
        <v>1255</v>
      </c>
      <c r="V42" s="12" t="s">
        <v>1256</v>
      </c>
      <c r="W42" s="12" t="s">
        <v>1257</v>
      </c>
      <c r="X42" s="12" t="s">
        <v>598</v>
      </c>
      <c r="Y42" s="12" t="s">
        <v>1258</v>
      </c>
      <c r="Z42" s="12" t="s">
        <v>1259</v>
      </c>
      <c r="AA42" s="12" t="s">
        <v>598</v>
      </c>
      <c r="AB42" s="12" t="s">
        <v>1260</v>
      </c>
      <c r="AC42" s="12" t="s">
        <v>598</v>
      </c>
      <c r="AD42" s="12" t="s">
        <v>598</v>
      </c>
      <c r="AE42" s="12" t="s">
        <v>598</v>
      </c>
      <c r="AF42" s="12" t="s">
        <v>598</v>
      </c>
      <c r="AG42" s="12">
        <v>49.0</v>
      </c>
      <c r="AH42" s="12">
        <v>85.0</v>
      </c>
      <c r="AI42" s="12">
        <v>95.0</v>
      </c>
      <c r="AJ42" s="12">
        <v>0.0</v>
      </c>
      <c r="AK42" s="12">
        <v>27.0</v>
      </c>
      <c r="AL42" s="12" t="s">
        <v>670</v>
      </c>
      <c r="AM42" s="12" t="s">
        <v>1261</v>
      </c>
      <c r="AN42" s="12" t="s">
        <v>1262</v>
      </c>
      <c r="AO42" s="12" t="s">
        <v>1263</v>
      </c>
      <c r="AP42" s="12" t="s">
        <v>1264</v>
      </c>
      <c r="AQ42" s="12" t="s">
        <v>598</v>
      </c>
      <c r="AR42" s="12" t="s">
        <v>1265</v>
      </c>
      <c r="AS42" s="12" t="s">
        <v>1266</v>
      </c>
      <c r="AT42" s="12" t="s">
        <v>657</v>
      </c>
      <c r="AU42" s="12">
        <v>2007.0</v>
      </c>
      <c r="AV42" s="12">
        <v>126.0</v>
      </c>
      <c r="AW42" s="12">
        <v>4.0</v>
      </c>
      <c r="AX42" s="12" t="s">
        <v>598</v>
      </c>
      <c r="AY42" s="12" t="s">
        <v>598</v>
      </c>
      <c r="AZ42" s="12" t="s">
        <v>598</v>
      </c>
      <c r="BA42" s="12" t="s">
        <v>598</v>
      </c>
      <c r="BB42" s="12">
        <v>513.0</v>
      </c>
      <c r="BC42" s="12">
        <v>527.0</v>
      </c>
      <c r="BD42" s="12" t="s">
        <v>598</v>
      </c>
      <c r="BE42" s="12" t="s">
        <v>1267</v>
      </c>
      <c r="BF42" s="13" t="str">
        <f>HYPERLINK("http://dx.doi.org/10.1007/s10342-007-0173-7","http://dx.doi.org/10.1007/s10342-007-0173-7")</f>
        <v>http://dx.doi.org/10.1007/s10342-007-0173-7</v>
      </c>
      <c r="BG42" s="12" t="s">
        <v>598</v>
      </c>
      <c r="BH42" s="12" t="s">
        <v>598</v>
      </c>
      <c r="BI42" s="12">
        <v>15.0</v>
      </c>
      <c r="BJ42" s="12" t="s">
        <v>617</v>
      </c>
      <c r="BK42" s="12" t="s">
        <v>618</v>
      </c>
      <c r="BL42" s="12" t="s">
        <v>617</v>
      </c>
      <c r="BM42" s="12" t="s">
        <v>1268</v>
      </c>
      <c r="BN42" s="12" t="s">
        <v>598</v>
      </c>
      <c r="BO42" s="12" t="s">
        <v>598</v>
      </c>
      <c r="BP42" s="12" t="s">
        <v>598</v>
      </c>
      <c r="BQ42" s="12" t="s">
        <v>598</v>
      </c>
      <c r="BR42" s="12" t="s">
        <v>620</v>
      </c>
      <c r="BS42" s="12" t="s">
        <v>1269</v>
      </c>
      <c r="BT42" s="12" t="str">
        <f>HYPERLINK("https%3A%2F%2Fwww.webofscience.com%2Fwos%2Fwoscc%2Ffull-record%2FWOS:000249576100005","View Full Record in Web of Science")</f>
        <v>View Full Record in Web of Science</v>
      </c>
    </row>
    <row r="43" ht="12.75" customHeight="1">
      <c r="A43" s="12" t="s">
        <v>596</v>
      </c>
      <c r="B43" s="12" t="s">
        <v>738</v>
      </c>
      <c r="C43" s="12" t="s">
        <v>598</v>
      </c>
      <c r="D43" s="12" t="s">
        <v>598</v>
      </c>
      <c r="E43" s="12" t="s">
        <v>598</v>
      </c>
      <c r="F43" s="12" t="s">
        <v>1270</v>
      </c>
      <c r="G43" s="12" t="s">
        <v>598</v>
      </c>
      <c r="H43" s="12" t="s">
        <v>598</v>
      </c>
      <c r="I43" s="12" t="s">
        <v>1271</v>
      </c>
      <c r="J43" s="12" t="s">
        <v>599</v>
      </c>
      <c r="K43" s="12" t="s">
        <v>598</v>
      </c>
      <c r="L43" s="12" t="s">
        <v>598</v>
      </c>
      <c r="M43" s="12" t="s">
        <v>600</v>
      </c>
      <c r="N43" s="12" t="s">
        <v>601</v>
      </c>
      <c r="O43" s="12" t="s">
        <v>598</v>
      </c>
      <c r="P43" s="12" t="s">
        <v>598</v>
      </c>
      <c r="Q43" s="12" t="s">
        <v>598</v>
      </c>
      <c r="R43" s="12" t="s">
        <v>598</v>
      </c>
      <c r="S43" s="12" t="s">
        <v>598</v>
      </c>
      <c r="T43" s="12" t="s">
        <v>1272</v>
      </c>
      <c r="U43" s="12" t="s">
        <v>1273</v>
      </c>
      <c r="V43" s="12" t="s">
        <v>1274</v>
      </c>
      <c r="W43" s="12" t="s">
        <v>1275</v>
      </c>
      <c r="X43" s="12" t="s">
        <v>1276</v>
      </c>
      <c r="Y43" s="12" t="s">
        <v>1277</v>
      </c>
      <c r="Z43" s="12" t="s">
        <v>1278</v>
      </c>
      <c r="AA43" s="12" t="s">
        <v>598</v>
      </c>
      <c r="AB43" s="12" t="s">
        <v>598</v>
      </c>
      <c r="AC43" s="12" t="s">
        <v>598</v>
      </c>
      <c r="AD43" s="12" t="s">
        <v>598</v>
      </c>
      <c r="AE43" s="12" t="s">
        <v>598</v>
      </c>
      <c r="AF43" s="12" t="s">
        <v>598</v>
      </c>
      <c r="AG43" s="12">
        <v>84.0</v>
      </c>
      <c r="AH43" s="12">
        <v>43.0</v>
      </c>
      <c r="AI43" s="12">
        <v>59.0</v>
      </c>
      <c r="AJ43" s="12">
        <v>0.0</v>
      </c>
      <c r="AK43" s="12">
        <v>68.0</v>
      </c>
      <c r="AL43" s="12" t="s">
        <v>731</v>
      </c>
      <c r="AM43" s="12" t="s">
        <v>609</v>
      </c>
      <c r="AN43" s="12" t="s">
        <v>732</v>
      </c>
      <c r="AO43" s="12" t="s">
        <v>611</v>
      </c>
      <c r="AP43" s="12" t="s">
        <v>733</v>
      </c>
      <c r="AQ43" s="12" t="s">
        <v>598</v>
      </c>
      <c r="AR43" s="12" t="s">
        <v>612</v>
      </c>
      <c r="AS43" s="12" t="s">
        <v>613</v>
      </c>
      <c r="AT43" s="12" t="s">
        <v>1279</v>
      </c>
      <c r="AU43" s="12">
        <v>2008.0</v>
      </c>
      <c r="AV43" s="12">
        <v>254.0</v>
      </c>
      <c r="AW43" s="12">
        <v>2.0</v>
      </c>
      <c r="AX43" s="12" t="s">
        <v>598</v>
      </c>
      <c r="AY43" s="12" t="s">
        <v>598</v>
      </c>
      <c r="AZ43" s="12" t="s">
        <v>598</v>
      </c>
      <c r="BA43" s="12" t="s">
        <v>598</v>
      </c>
      <c r="BB43" s="12">
        <v>239.0</v>
      </c>
      <c r="BC43" s="12">
        <v>254.0</v>
      </c>
      <c r="BD43" s="12" t="s">
        <v>598</v>
      </c>
      <c r="BE43" s="12" t="s">
        <v>1280</v>
      </c>
      <c r="BF43" s="13" t="str">
        <f>HYPERLINK("http://dx.doi.org/10.1016/j.foreco.2007.08.005","http://dx.doi.org/10.1016/j.foreco.2007.08.005")</f>
        <v>http://dx.doi.org/10.1016/j.foreco.2007.08.005</v>
      </c>
      <c r="BG43" s="12" t="s">
        <v>598</v>
      </c>
      <c r="BH43" s="12" t="s">
        <v>598</v>
      </c>
      <c r="BI43" s="12">
        <v>16.0</v>
      </c>
      <c r="BJ43" s="12" t="s">
        <v>617</v>
      </c>
      <c r="BK43" s="12" t="s">
        <v>618</v>
      </c>
      <c r="BL43" s="12" t="s">
        <v>617</v>
      </c>
      <c r="BM43" s="12" t="s">
        <v>1281</v>
      </c>
      <c r="BN43" s="12" t="s">
        <v>598</v>
      </c>
      <c r="BO43" s="12" t="s">
        <v>598</v>
      </c>
      <c r="BP43" s="12" t="s">
        <v>598</v>
      </c>
      <c r="BQ43" s="12" t="s">
        <v>598</v>
      </c>
      <c r="BR43" s="12" t="s">
        <v>620</v>
      </c>
      <c r="BS43" s="12" t="s">
        <v>1282</v>
      </c>
      <c r="BT43" s="12" t="str">
        <f>HYPERLINK("https%3A%2F%2Fwww.webofscience.com%2Fwos%2Fwoscc%2Ffull-record%2FWOS:000252763100014","View Full Record in Web of Science")</f>
        <v>View Full Record in Web of Science</v>
      </c>
    </row>
    <row r="44" ht="12.75" customHeight="1">
      <c r="A44" s="12" t="s">
        <v>596</v>
      </c>
      <c r="B44" s="12" t="s">
        <v>1283</v>
      </c>
      <c r="C44" s="12" t="s">
        <v>598</v>
      </c>
      <c r="D44" s="12" t="s">
        <v>598</v>
      </c>
      <c r="E44" s="12" t="s">
        <v>598</v>
      </c>
      <c r="F44" s="12" t="s">
        <v>1284</v>
      </c>
      <c r="G44" s="12" t="s">
        <v>598</v>
      </c>
      <c r="H44" s="12" t="s">
        <v>598</v>
      </c>
      <c r="I44" s="12" t="s">
        <v>196</v>
      </c>
      <c r="J44" s="12" t="s">
        <v>1285</v>
      </c>
      <c r="K44" s="12" t="s">
        <v>598</v>
      </c>
      <c r="L44" s="12" t="s">
        <v>598</v>
      </c>
      <c r="M44" s="12" t="s">
        <v>600</v>
      </c>
      <c r="N44" s="12" t="s">
        <v>601</v>
      </c>
      <c r="O44" s="12" t="s">
        <v>598</v>
      </c>
      <c r="P44" s="12" t="s">
        <v>598</v>
      </c>
      <c r="Q44" s="12" t="s">
        <v>598</v>
      </c>
      <c r="R44" s="12" t="s">
        <v>598</v>
      </c>
      <c r="S44" s="12" t="s">
        <v>598</v>
      </c>
      <c r="T44" s="12" t="s">
        <v>1286</v>
      </c>
      <c r="U44" s="12" t="s">
        <v>1287</v>
      </c>
      <c r="V44" s="12" t="s">
        <v>1288</v>
      </c>
      <c r="W44" s="12" t="s">
        <v>1289</v>
      </c>
      <c r="X44" s="12" t="s">
        <v>1290</v>
      </c>
      <c r="Y44" s="12" t="s">
        <v>1258</v>
      </c>
      <c r="Z44" s="12" t="s">
        <v>1291</v>
      </c>
      <c r="AA44" s="12" t="s">
        <v>598</v>
      </c>
      <c r="AB44" s="12" t="s">
        <v>1292</v>
      </c>
      <c r="AC44" s="12" t="s">
        <v>598</v>
      </c>
      <c r="AD44" s="12" t="s">
        <v>598</v>
      </c>
      <c r="AE44" s="12" t="s">
        <v>598</v>
      </c>
      <c r="AF44" s="12" t="s">
        <v>598</v>
      </c>
      <c r="AG44" s="12">
        <v>61.0</v>
      </c>
      <c r="AH44" s="12">
        <v>111.0</v>
      </c>
      <c r="AI44" s="12">
        <v>128.0</v>
      </c>
      <c r="AJ44" s="12">
        <v>0.0</v>
      </c>
      <c r="AK44" s="12">
        <v>75.0</v>
      </c>
      <c r="AL44" s="12" t="s">
        <v>670</v>
      </c>
      <c r="AM44" s="12" t="s">
        <v>671</v>
      </c>
      <c r="AN44" s="12" t="s">
        <v>672</v>
      </c>
      <c r="AO44" s="12" t="s">
        <v>1293</v>
      </c>
      <c r="AP44" s="12" t="s">
        <v>1294</v>
      </c>
      <c r="AQ44" s="12" t="s">
        <v>598</v>
      </c>
      <c r="AR44" s="12" t="s">
        <v>1295</v>
      </c>
      <c r="AS44" s="12" t="s">
        <v>1296</v>
      </c>
      <c r="AT44" s="12" t="s">
        <v>924</v>
      </c>
      <c r="AU44" s="12">
        <v>2008.0</v>
      </c>
      <c r="AV44" s="12">
        <v>12.0</v>
      </c>
      <c r="AW44" s="12">
        <v>2.0</v>
      </c>
      <c r="AX44" s="12" t="s">
        <v>598</v>
      </c>
      <c r="AY44" s="12" t="s">
        <v>598</v>
      </c>
      <c r="AZ44" s="12" t="s">
        <v>598</v>
      </c>
      <c r="BA44" s="12" t="s">
        <v>598</v>
      </c>
      <c r="BB44" s="12">
        <v>107.0</v>
      </c>
      <c r="BC44" s="12">
        <v>124.0</v>
      </c>
      <c r="BD44" s="12" t="s">
        <v>598</v>
      </c>
      <c r="BE44" s="12" t="s">
        <v>1297</v>
      </c>
      <c r="BF44" s="13" t="str">
        <f>HYPERLINK("http://dx.doi.org/10.1007/s10841-006-9065-2","http://dx.doi.org/10.1007/s10841-006-9065-2")</f>
        <v>http://dx.doi.org/10.1007/s10841-006-9065-2</v>
      </c>
      <c r="BG44" s="12" t="s">
        <v>598</v>
      </c>
      <c r="BH44" s="12" t="s">
        <v>598</v>
      </c>
      <c r="BI44" s="12">
        <v>18.0</v>
      </c>
      <c r="BJ44" s="12" t="s">
        <v>1298</v>
      </c>
      <c r="BK44" s="12" t="s">
        <v>618</v>
      </c>
      <c r="BL44" s="12" t="s">
        <v>1299</v>
      </c>
      <c r="BM44" s="12" t="s">
        <v>1300</v>
      </c>
      <c r="BN44" s="12" t="s">
        <v>598</v>
      </c>
      <c r="BO44" s="12" t="s">
        <v>598</v>
      </c>
      <c r="BP44" s="12" t="s">
        <v>598</v>
      </c>
      <c r="BQ44" s="12" t="s">
        <v>598</v>
      </c>
      <c r="BR44" s="12" t="s">
        <v>620</v>
      </c>
      <c r="BS44" s="12" t="s">
        <v>1301</v>
      </c>
      <c r="BT44" s="12" t="str">
        <f>HYPERLINK("https%3A%2F%2Fwww.webofscience.com%2Fwos%2Fwoscc%2Ffull-record%2FWOS:000253572400003","View Full Record in Web of Science")</f>
        <v>View Full Record in Web of Science</v>
      </c>
    </row>
    <row r="45" ht="12.75" customHeight="1">
      <c r="A45" s="12" t="s">
        <v>596</v>
      </c>
      <c r="B45" s="12" t="s">
        <v>1302</v>
      </c>
      <c r="C45" s="12" t="s">
        <v>598</v>
      </c>
      <c r="D45" s="12" t="s">
        <v>598</v>
      </c>
      <c r="E45" s="12" t="s">
        <v>598</v>
      </c>
      <c r="F45" s="12" t="s">
        <v>1303</v>
      </c>
      <c r="G45" s="12" t="s">
        <v>598</v>
      </c>
      <c r="H45" s="12" t="s">
        <v>598</v>
      </c>
      <c r="I45" s="12" t="s">
        <v>1304</v>
      </c>
      <c r="J45" s="12" t="s">
        <v>1305</v>
      </c>
      <c r="K45" s="12" t="s">
        <v>598</v>
      </c>
      <c r="L45" s="12" t="s">
        <v>598</v>
      </c>
      <c r="M45" s="12" t="s">
        <v>600</v>
      </c>
      <c r="N45" s="12" t="s">
        <v>601</v>
      </c>
      <c r="O45" s="12" t="s">
        <v>598</v>
      </c>
      <c r="P45" s="12" t="s">
        <v>598</v>
      </c>
      <c r="Q45" s="12" t="s">
        <v>598</v>
      </c>
      <c r="R45" s="12" t="s">
        <v>598</v>
      </c>
      <c r="S45" s="12" t="s">
        <v>598</v>
      </c>
      <c r="T45" s="12" t="s">
        <v>1306</v>
      </c>
      <c r="U45" s="12" t="s">
        <v>1307</v>
      </c>
      <c r="V45" s="12" t="s">
        <v>1308</v>
      </c>
      <c r="W45" s="12" t="s">
        <v>1309</v>
      </c>
      <c r="X45" s="12" t="s">
        <v>1310</v>
      </c>
      <c r="Y45" s="12" t="s">
        <v>1311</v>
      </c>
      <c r="Z45" s="12" t="s">
        <v>1312</v>
      </c>
      <c r="AA45" s="12" t="s">
        <v>1313</v>
      </c>
      <c r="AB45" s="12" t="s">
        <v>1314</v>
      </c>
      <c r="AC45" s="12" t="s">
        <v>598</v>
      </c>
      <c r="AD45" s="12" t="s">
        <v>598</v>
      </c>
      <c r="AE45" s="12" t="s">
        <v>598</v>
      </c>
      <c r="AF45" s="12" t="s">
        <v>598</v>
      </c>
      <c r="AG45" s="12">
        <v>37.0</v>
      </c>
      <c r="AH45" s="12">
        <v>20.0</v>
      </c>
      <c r="AI45" s="12">
        <v>21.0</v>
      </c>
      <c r="AJ45" s="12">
        <v>0.0</v>
      </c>
      <c r="AK45" s="12">
        <v>11.0</v>
      </c>
      <c r="AL45" s="12" t="s">
        <v>1315</v>
      </c>
      <c r="AM45" s="12" t="s">
        <v>1316</v>
      </c>
      <c r="AN45" s="12" t="s">
        <v>1317</v>
      </c>
      <c r="AO45" s="12" t="s">
        <v>1318</v>
      </c>
      <c r="AP45" s="12" t="s">
        <v>598</v>
      </c>
      <c r="AQ45" s="12" t="s">
        <v>598</v>
      </c>
      <c r="AR45" s="12" t="s">
        <v>1319</v>
      </c>
      <c r="AS45" s="12" t="s">
        <v>1320</v>
      </c>
      <c r="AT45" s="12" t="s">
        <v>598</v>
      </c>
      <c r="AU45" s="12">
        <v>2008.0</v>
      </c>
      <c r="AV45" s="12">
        <v>56.0</v>
      </c>
      <c r="AW45" s="12">
        <v>1.0</v>
      </c>
      <c r="AX45" s="12" t="s">
        <v>598</v>
      </c>
      <c r="AY45" s="12" t="s">
        <v>598</v>
      </c>
      <c r="AZ45" s="12" t="s">
        <v>598</v>
      </c>
      <c r="BA45" s="12" t="s">
        <v>598</v>
      </c>
      <c r="BB45" s="12">
        <v>33.0</v>
      </c>
      <c r="BC45" s="12">
        <v>43.0</v>
      </c>
      <c r="BD45" s="12" t="s">
        <v>598</v>
      </c>
      <c r="BE45" s="12" t="s">
        <v>598</v>
      </c>
      <c r="BF45" s="12" t="s">
        <v>598</v>
      </c>
      <c r="BG45" s="12" t="s">
        <v>598</v>
      </c>
      <c r="BH45" s="12" t="s">
        <v>598</v>
      </c>
      <c r="BI45" s="12">
        <v>11.0</v>
      </c>
      <c r="BJ45" s="12" t="s">
        <v>1107</v>
      </c>
      <c r="BK45" s="12" t="s">
        <v>618</v>
      </c>
      <c r="BL45" s="12" t="s">
        <v>753</v>
      </c>
      <c r="BM45" s="12" t="s">
        <v>1321</v>
      </c>
      <c r="BN45" s="12" t="s">
        <v>598</v>
      </c>
      <c r="BO45" s="12" t="s">
        <v>598</v>
      </c>
      <c r="BP45" s="12" t="s">
        <v>598</v>
      </c>
      <c r="BQ45" s="12" t="s">
        <v>598</v>
      </c>
      <c r="BR45" s="12" t="s">
        <v>620</v>
      </c>
      <c r="BS45" s="12" t="s">
        <v>1322</v>
      </c>
      <c r="BT45" s="12" t="str">
        <f>HYPERLINK("https%3A%2F%2Fwww.webofscience.com%2Fwos%2Fwoscc%2Ffull-record%2FWOS:000254107400003","View Full Record in Web of Science")</f>
        <v>View Full Record in Web of Science</v>
      </c>
    </row>
    <row r="46" ht="12.75" customHeight="1">
      <c r="A46" s="12" t="s">
        <v>596</v>
      </c>
      <c r="B46" s="12" t="s">
        <v>1323</v>
      </c>
      <c r="C46" s="12" t="s">
        <v>598</v>
      </c>
      <c r="D46" s="12" t="s">
        <v>598</v>
      </c>
      <c r="E46" s="12" t="s">
        <v>598</v>
      </c>
      <c r="F46" s="12" t="s">
        <v>1324</v>
      </c>
      <c r="G46" s="12" t="s">
        <v>598</v>
      </c>
      <c r="H46" s="12" t="s">
        <v>598</v>
      </c>
      <c r="I46" s="12" t="s">
        <v>137</v>
      </c>
      <c r="J46" s="12" t="s">
        <v>683</v>
      </c>
      <c r="K46" s="12" t="s">
        <v>598</v>
      </c>
      <c r="L46" s="12" t="s">
        <v>598</v>
      </c>
      <c r="M46" s="12" t="s">
        <v>600</v>
      </c>
      <c r="N46" s="12" t="s">
        <v>601</v>
      </c>
      <c r="O46" s="12" t="s">
        <v>598</v>
      </c>
      <c r="P46" s="12" t="s">
        <v>598</v>
      </c>
      <c r="Q46" s="12" t="s">
        <v>598</v>
      </c>
      <c r="R46" s="12" t="s">
        <v>598</v>
      </c>
      <c r="S46" s="12" t="s">
        <v>598</v>
      </c>
      <c r="T46" s="12" t="s">
        <v>1325</v>
      </c>
      <c r="U46" s="12" t="s">
        <v>1326</v>
      </c>
      <c r="V46" s="12" t="s">
        <v>1327</v>
      </c>
      <c r="W46" s="12" t="s">
        <v>1328</v>
      </c>
      <c r="X46" s="12" t="s">
        <v>1329</v>
      </c>
      <c r="Y46" s="12" t="s">
        <v>1330</v>
      </c>
      <c r="Z46" s="12" t="s">
        <v>1331</v>
      </c>
      <c r="AA46" s="12" t="s">
        <v>1332</v>
      </c>
      <c r="AB46" s="12" t="s">
        <v>1333</v>
      </c>
      <c r="AC46" s="12" t="s">
        <v>598</v>
      </c>
      <c r="AD46" s="12" t="s">
        <v>598</v>
      </c>
      <c r="AE46" s="12" t="s">
        <v>598</v>
      </c>
      <c r="AF46" s="12" t="s">
        <v>598</v>
      </c>
      <c r="AG46" s="12">
        <v>25.0</v>
      </c>
      <c r="AH46" s="12">
        <v>34.0</v>
      </c>
      <c r="AI46" s="12">
        <v>44.0</v>
      </c>
      <c r="AJ46" s="12">
        <v>0.0</v>
      </c>
      <c r="AK46" s="12">
        <v>63.0</v>
      </c>
      <c r="AL46" s="12" t="s">
        <v>608</v>
      </c>
      <c r="AM46" s="12" t="s">
        <v>609</v>
      </c>
      <c r="AN46" s="12" t="s">
        <v>610</v>
      </c>
      <c r="AO46" s="12" t="s">
        <v>690</v>
      </c>
      <c r="AP46" s="12" t="s">
        <v>598</v>
      </c>
      <c r="AQ46" s="12" t="s">
        <v>598</v>
      </c>
      <c r="AR46" s="12" t="s">
        <v>691</v>
      </c>
      <c r="AS46" s="12" t="s">
        <v>692</v>
      </c>
      <c r="AT46" s="12" t="s">
        <v>634</v>
      </c>
      <c r="AU46" s="12">
        <v>2008.0</v>
      </c>
      <c r="AV46" s="12">
        <v>125.0</v>
      </c>
      <c r="AW46" s="12" t="s">
        <v>1198</v>
      </c>
      <c r="AX46" s="12" t="s">
        <v>598</v>
      </c>
      <c r="AY46" s="12" t="s">
        <v>598</v>
      </c>
      <c r="AZ46" s="12" t="s">
        <v>598</v>
      </c>
      <c r="BA46" s="12" t="s">
        <v>598</v>
      </c>
      <c r="BB46" s="12">
        <v>239.0</v>
      </c>
      <c r="BC46" s="12">
        <v>245.0</v>
      </c>
      <c r="BD46" s="12" t="s">
        <v>598</v>
      </c>
      <c r="BE46" s="12" t="s">
        <v>1334</v>
      </c>
      <c r="BF46" s="13" t="str">
        <f>HYPERLINK("http://dx.doi.org/10.1016/j.agee.2008.01.005","http://dx.doi.org/10.1016/j.agee.2008.01.005")</f>
        <v>http://dx.doi.org/10.1016/j.agee.2008.01.005</v>
      </c>
      <c r="BG46" s="12" t="s">
        <v>598</v>
      </c>
      <c r="BH46" s="12" t="s">
        <v>598</v>
      </c>
      <c r="BI46" s="12">
        <v>7.0</v>
      </c>
      <c r="BJ46" s="12" t="s">
        <v>695</v>
      </c>
      <c r="BK46" s="12" t="s">
        <v>618</v>
      </c>
      <c r="BL46" s="12" t="s">
        <v>696</v>
      </c>
      <c r="BM46" s="12" t="s">
        <v>1335</v>
      </c>
      <c r="BN46" s="12" t="s">
        <v>598</v>
      </c>
      <c r="BO46" s="12" t="s">
        <v>598</v>
      </c>
      <c r="BP46" s="12" t="s">
        <v>598</v>
      </c>
      <c r="BQ46" s="12" t="s">
        <v>598</v>
      </c>
      <c r="BR46" s="12" t="s">
        <v>620</v>
      </c>
      <c r="BS46" s="12" t="s">
        <v>1336</v>
      </c>
      <c r="BT46" s="12" t="str">
        <f>HYPERLINK("https%3A%2F%2Fwww.webofscience.com%2Fwos%2Fwoscc%2Ffull-record%2FWOS:000255134500025","View Full Record in Web of Science")</f>
        <v>View Full Record in Web of Science</v>
      </c>
    </row>
    <row r="47" ht="12.75" customHeight="1">
      <c r="A47" s="12" t="s">
        <v>596</v>
      </c>
      <c r="B47" s="12" t="s">
        <v>1337</v>
      </c>
      <c r="C47" s="12" t="s">
        <v>598</v>
      </c>
      <c r="D47" s="12" t="s">
        <v>598</v>
      </c>
      <c r="E47" s="12" t="s">
        <v>598</v>
      </c>
      <c r="F47" s="12" t="s">
        <v>1338</v>
      </c>
      <c r="G47" s="12" t="s">
        <v>598</v>
      </c>
      <c r="H47" s="12" t="s">
        <v>598</v>
      </c>
      <c r="I47" s="12" t="s">
        <v>1339</v>
      </c>
      <c r="J47" s="12" t="s">
        <v>599</v>
      </c>
      <c r="K47" s="12" t="s">
        <v>598</v>
      </c>
      <c r="L47" s="12" t="s">
        <v>598</v>
      </c>
      <c r="M47" s="12" t="s">
        <v>600</v>
      </c>
      <c r="N47" s="12" t="s">
        <v>601</v>
      </c>
      <c r="O47" s="12" t="s">
        <v>598</v>
      </c>
      <c r="P47" s="12" t="s">
        <v>598</v>
      </c>
      <c r="Q47" s="12" t="s">
        <v>598</v>
      </c>
      <c r="R47" s="12" t="s">
        <v>598</v>
      </c>
      <c r="S47" s="12" t="s">
        <v>598</v>
      </c>
      <c r="T47" s="12" t="s">
        <v>1340</v>
      </c>
      <c r="U47" s="12" t="s">
        <v>1341</v>
      </c>
      <c r="V47" s="12" t="s">
        <v>1342</v>
      </c>
      <c r="W47" s="12" t="s">
        <v>1343</v>
      </c>
      <c r="X47" s="12" t="s">
        <v>1344</v>
      </c>
      <c r="Y47" s="12" t="s">
        <v>1345</v>
      </c>
      <c r="Z47" s="12" t="s">
        <v>1346</v>
      </c>
      <c r="AA47" s="12" t="s">
        <v>1347</v>
      </c>
      <c r="AB47" s="12" t="s">
        <v>1348</v>
      </c>
      <c r="AC47" s="12" t="s">
        <v>598</v>
      </c>
      <c r="AD47" s="12" t="s">
        <v>598</v>
      </c>
      <c r="AE47" s="12" t="s">
        <v>598</v>
      </c>
      <c r="AF47" s="12" t="s">
        <v>598</v>
      </c>
      <c r="AG47" s="12">
        <v>56.0</v>
      </c>
      <c r="AH47" s="12">
        <v>50.0</v>
      </c>
      <c r="AI47" s="12">
        <v>56.0</v>
      </c>
      <c r="AJ47" s="12">
        <v>0.0</v>
      </c>
      <c r="AK47" s="12">
        <v>44.0</v>
      </c>
      <c r="AL47" s="12" t="s">
        <v>731</v>
      </c>
      <c r="AM47" s="12" t="s">
        <v>609</v>
      </c>
      <c r="AN47" s="12" t="s">
        <v>732</v>
      </c>
      <c r="AO47" s="12" t="s">
        <v>611</v>
      </c>
      <c r="AP47" s="12" t="s">
        <v>733</v>
      </c>
      <c r="AQ47" s="12" t="s">
        <v>598</v>
      </c>
      <c r="AR47" s="12" t="s">
        <v>612</v>
      </c>
      <c r="AS47" s="12" t="s">
        <v>613</v>
      </c>
      <c r="AT47" s="12" t="s">
        <v>1349</v>
      </c>
      <c r="AU47" s="12">
        <v>2008.0</v>
      </c>
      <c r="AV47" s="12">
        <v>255.0</v>
      </c>
      <c r="AW47" s="12" t="s">
        <v>1350</v>
      </c>
      <c r="AX47" s="12" t="s">
        <v>598</v>
      </c>
      <c r="AY47" s="12" t="s">
        <v>598</v>
      </c>
      <c r="AZ47" s="12" t="s">
        <v>598</v>
      </c>
      <c r="BA47" s="12" t="s">
        <v>598</v>
      </c>
      <c r="BB47" s="12">
        <v>3242.0</v>
      </c>
      <c r="BC47" s="12">
        <v>3253.0</v>
      </c>
      <c r="BD47" s="12" t="s">
        <v>598</v>
      </c>
      <c r="BE47" s="12" t="s">
        <v>1351</v>
      </c>
      <c r="BF47" s="13" t="str">
        <f>HYPERLINK("http://dx.doi.org/10.1016/j.foreco.2008.01.069","http://dx.doi.org/10.1016/j.foreco.2008.01.069")</f>
        <v>http://dx.doi.org/10.1016/j.foreco.2008.01.069</v>
      </c>
      <c r="BG47" s="12" t="s">
        <v>598</v>
      </c>
      <c r="BH47" s="12" t="s">
        <v>598</v>
      </c>
      <c r="BI47" s="12">
        <v>12.0</v>
      </c>
      <c r="BJ47" s="12" t="s">
        <v>617</v>
      </c>
      <c r="BK47" s="12" t="s">
        <v>618</v>
      </c>
      <c r="BL47" s="12" t="s">
        <v>617</v>
      </c>
      <c r="BM47" s="12" t="s">
        <v>1352</v>
      </c>
      <c r="BN47" s="12" t="s">
        <v>598</v>
      </c>
      <c r="BO47" s="12" t="s">
        <v>598</v>
      </c>
      <c r="BP47" s="12" t="s">
        <v>598</v>
      </c>
      <c r="BQ47" s="12" t="s">
        <v>598</v>
      </c>
      <c r="BR47" s="12" t="s">
        <v>620</v>
      </c>
      <c r="BS47" s="12" t="s">
        <v>1353</v>
      </c>
      <c r="BT47" s="12" t="str">
        <f>HYPERLINK("https%3A%2F%2Fwww.webofscience.com%2Fwos%2Fwoscc%2Ffull-record%2FWOS:000256288800015","View Full Record in Web of Science")</f>
        <v>View Full Record in Web of Science</v>
      </c>
    </row>
    <row r="48" ht="12.75" customHeight="1">
      <c r="A48" s="12" t="s">
        <v>596</v>
      </c>
      <c r="B48" s="12" t="s">
        <v>1354</v>
      </c>
      <c r="C48" s="12" t="s">
        <v>598</v>
      </c>
      <c r="D48" s="12" t="s">
        <v>598</v>
      </c>
      <c r="E48" s="12" t="s">
        <v>598</v>
      </c>
      <c r="F48" s="12" t="s">
        <v>1355</v>
      </c>
      <c r="G48" s="12" t="s">
        <v>598</v>
      </c>
      <c r="H48" s="12" t="s">
        <v>598</v>
      </c>
      <c r="I48" s="12" t="s">
        <v>54</v>
      </c>
      <c r="J48" s="12" t="s">
        <v>662</v>
      </c>
      <c r="K48" s="12" t="s">
        <v>598</v>
      </c>
      <c r="L48" s="12" t="s">
        <v>598</v>
      </c>
      <c r="M48" s="12" t="s">
        <v>600</v>
      </c>
      <c r="N48" s="12" t="s">
        <v>601</v>
      </c>
      <c r="O48" s="12" t="s">
        <v>598</v>
      </c>
      <c r="P48" s="12" t="s">
        <v>598</v>
      </c>
      <c r="Q48" s="12" t="s">
        <v>598</v>
      </c>
      <c r="R48" s="12" t="s">
        <v>598</v>
      </c>
      <c r="S48" s="12" t="s">
        <v>598</v>
      </c>
      <c r="T48" s="12" t="s">
        <v>1356</v>
      </c>
      <c r="U48" s="12" t="s">
        <v>1357</v>
      </c>
      <c r="V48" s="12" t="s">
        <v>1358</v>
      </c>
      <c r="W48" s="12" t="s">
        <v>1359</v>
      </c>
      <c r="X48" s="12" t="s">
        <v>1360</v>
      </c>
      <c r="Y48" s="12" t="s">
        <v>1361</v>
      </c>
      <c r="Z48" s="12" t="s">
        <v>1362</v>
      </c>
      <c r="AA48" s="12" t="s">
        <v>1363</v>
      </c>
      <c r="AB48" s="12" t="s">
        <v>1364</v>
      </c>
      <c r="AC48" s="12" t="s">
        <v>598</v>
      </c>
      <c r="AD48" s="12" t="s">
        <v>598</v>
      </c>
      <c r="AE48" s="12" t="s">
        <v>598</v>
      </c>
      <c r="AF48" s="12" t="s">
        <v>598</v>
      </c>
      <c r="AG48" s="12">
        <v>44.0</v>
      </c>
      <c r="AH48" s="12">
        <v>47.0</v>
      </c>
      <c r="AI48" s="12">
        <v>54.0</v>
      </c>
      <c r="AJ48" s="12">
        <v>1.0</v>
      </c>
      <c r="AK48" s="12">
        <v>86.0</v>
      </c>
      <c r="AL48" s="12" t="s">
        <v>670</v>
      </c>
      <c r="AM48" s="12" t="s">
        <v>671</v>
      </c>
      <c r="AN48" s="12" t="s">
        <v>672</v>
      </c>
      <c r="AO48" s="12" t="s">
        <v>673</v>
      </c>
      <c r="AP48" s="12" t="s">
        <v>674</v>
      </c>
      <c r="AQ48" s="12" t="s">
        <v>598</v>
      </c>
      <c r="AR48" s="12" t="s">
        <v>675</v>
      </c>
      <c r="AS48" s="12" t="s">
        <v>676</v>
      </c>
      <c r="AT48" s="12" t="s">
        <v>1160</v>
      </c>
      <c r="AU48" s="12">
        <v>2008.0</v>
      </c>
      <c r="AV48" s="12">
        <v>17.0</v>
      </c>
      <c r="AW48" s="12">
        <v>8.0</v>
      </c>
      <c r="AX48" s="12" t="s">
        <v>598</v>
      </c>
      <c r="AY48" s="12" t="s">
        <v>598</v>
      </c>
      <c r="AZ48" s="12" t="s">
        <v>598</v>
      </c>
      <c r="BA48" s="12" t="s">
        <v>598</v>
      </c>
      <c r="BB48" s="12">
        <v>1805.0</v>
      </c>
      <c r="BC48" s="12">
        <v>1820.0</v>
      </c>
      <c r="BD48" s="12" t="s">
        <v>598</v>
      </c>
      <c r="BE48" s="12" t="s">
        <v>1365</v>
      </c>
      <c r="BF48" s="13" t="str">
        <f>HYPERLINK("http://dx.doi.org/10.1007/s10531-007-9267-2","http://dx.doi.org/10.1007/s10531-007-9267-2")</f>
        <v>http://dx.doi.org/10.1007/s10531-007-9267-2</v>
      </c>
      <c r="BG48" s="12" t="s">
        <v>598</v>
      </c>
      <c r="BH48" s="12" t="s">
        <v>598</v>
      </c>
      <c r="BI48" s="12">
        <v>16.0</v>
      </c>
      <c r="BJ48" s="12" t="s">
        <v>678</v>
      </c>
      <c r="BK48" s="12" t="s">
        <v>618</v>
      </c>
      <c r="BL48" s="12" t="s">
        <v>679</v>
      </c>
      <c r="BM48" s="12" t="s">
        <v>1366</v>
      </c>
      <c r="BN48" s="12" t="s">
        <v>598</v>
      </c>
      <c r="BO48" s="12" t="s">
        <v>598</v>
      </c>
      <c r="BP48" s="12" t="s">
        <v>598</v>
      </c>
      <c r="BQ48" s="12" t="s">
        <v>598</v>
      </c>
      <c r="BR48" s="12" t="s">
        <v>620</v>
      </c>
      <c r="BS48" s="12" t="s">
        <v>1367</v>
      </c>
      <c r="BT48" s="12" t="str">
        <f>HYPERLINK("https%3A%2F%2Fwww.webofscience.com%2Fwos%2Fwoscc%2Ffull-record%2FWOS:000257367300002","View Full Record in Web of Science")</f>
        <v>View Full Record in Web of Science</v>
      </c>
    </row>
    <row r="49" ht="12.75" customHeight="1">
      <c r="A49" s="12" t="s">
        <v>596</v>
      </c>
      <c r="B49" s="12" t="s">
        <v>1368</v>
      </c>
      <c r="C49" s="12" t="s">
        <v>598</v>
      </c>
      <c r="D49" s="12" t="s">
        <v>598</v>
      </c>
      <c r="E49" s="12" t="s">
        <v>598</v>
      </c>
      <c r="F49" s="12" t="s">
        <v>1369</v>
      </c>
      <c r="G49" s="12" t="s">
        <v>598</v>
      </c>
      <c r="H49" s="12" t="s">
        <v>598</v>
      </c>
      <c r="I49" s="12" t="s">
        <v>169</v>
      </c>
      <c r="J49" s="12" t="s">
        <v>662</v>
      </c>
      <c r="K49" s="12" t="s">
        <v>598</v>
      </c>
      <c r="L49" s="12" t="s">
        <v>598</v>
      </c>
      <c r="M49" s="12" t="s">
        <v>600</v>
      </c>
      <c r="N49" s="12" t="s">
        <v>601</v>
      </c>
      <c r="O49" s="12" t="s">
        <v>598</v>
      </c>
      <c r="P49" s="12" t="s">
        <v>598</v>
      </c>
      <c r="Q49" s="12" t="s">
        <v>598</v>
      </c>
      <c r="R49" s="12" t="s">
        <v>598</v>
      </c>
      <c r="S49" s="12" t="s">
        <v>598</v>
      </c>
      <c r="T49" s="12" t="s">
        <v>1370</v>
      </c>
      <c r="U49" s="12" t="s">
        <v>1371</v>
      </c>
      <c r="V49" s="12" t="s">
        <v>1372</v>
      </c>
      <c r="W49" s="12" t="s">
        <v>1373</v>
      </c>
      <c r="X49" s="12" t="s">
        <v>1192</v>
      </c>
      <c r="Y49" s="12" t="s">
        <v>1374</v>
      </c>
      <c r="Z49" s="12" t="s">
        <v>1375</v>
      </c>
      <c r="AA49" s="12" t="s">
        <v>1376</v>
      </c>
      <c r="AB49" s="12" t="s">
        <v>598</v>
      </c>
      <c r="AC49" s="12" t="s">
        <v>598</v>
      </c>
      <c r="AD49" s="12" t="s">
        <v>598</v>
      </c>
      <c r="AE49" s="12" t="s">
        <v>598</v>
      </c>
      <c r="AF49" s="12" t="s">
        <v>598</v>
      </c>
      <c r="AG49" s="12">
        <v>38.0</v>
      </c>
      <c r="AH49" s="12">
        <v>66.0</v>
      </c>
      <c r="AI49" s="12">
        <v>81.0</v>
      </c>
      <c r="AJ49" s="12">
        <v>0.0</v>
      </c>
      <c r="AK49" s="12">
        <v>80.0</v>
      </c>
      <c r="AL49" s="12" t="s">
        <v>670</v>
      </c>
      <c r="AM49" s="12" t="s">
        <v>671</v>
      </c>
      <c r="AN49" s="12" t="s">
        <v>672</v>
      </c>
      <c r="AO49" s="12" t="s">
        <v>673</v>
      </c>
      <c r="AP49" s="12" t="s">
        <v>674</v>
      </c>
      <c r="AQ49" s="12" t="s">
        <v>598</v>
      </c>
      <c r="AR49" s="12" t="s">
        <v>675</v>
      </c>
      <c r="AS49" s="12" t="s">
        <v>676</v>
      </c>
      <c r="AT49" s="12" t="s">
        <v>1160</v>
      </c>
      <c r="AU49" s="12">
        <v>2008.0</v>
      </c>
      <c r="AV49" s="12">
        <v>17.0</v>
      </c>
      <c r="AW49" s="12">
        <v>8.0</v>
      </c>
      <c r="AX49" s="12" t="s">
        <v>598</v>
      </c>
      <c r="AY49" s="12" t="s">
        <v>598</v>
      </c>
      <c r="AZ49" s="12" t="s">
        <v>598</v>
      </c>
      <c r="BA49" s="12" t="s">
        <v>598</v>
      </c>
      <c r="BB49" s="12">
        <v>1821.0</v>
      </c>
      <c r="BC49" s="12">
        <v>1835.0</v>
      </c>
      <c r="BD49" s="12" t="s">
        <v>598</v>
      </c>
      <c r="BE49" s="12" t="s">
        <v>1377</v>
      </c>
      <c r="BF49" s="13" t="str">
        <f>HYPERLINK("http://dx.doi.org/10.1007/s10531-007-9276-1","http://dx.doi.org/10.1007/s10531-007-9276-1")</f>
        <v>http://dx.doi.org/10.1007/s10531-007-9276-1</v>
      </c>
      <c r="BG49" s="12" t="s">
        <v>598</v>
      </c>
      <c r="BH49" s="12" t="s">
        <v>598</v>
      </c>
      <c r="BI49" s="12">
        <v>15.0</v>
      </c>
      <c r="BJ49" s="12" t="s">
        <v>678</v>
      </c>
      <c r="BK49" s="12" t="s">
        <v>618</v>
      </c>
      <c r="BL49" s="12" t="s">
        <v>679</v>
      </c>
      <c r="BM49" s="12" t="s">
        <v>1366</v>
      </c>
      <c r="BN49" s="12" t="s">
        <v>598</v>
      </c>
      <c r="BO49" s="12" t="s">
        <v>1378</v>
      </c>
      <c r="BP49" s="12" t="s">
        <v>598</v>
      </c>
      <c r="BQ49" s="12" t="s">
        <v>598</v>
      </c>
      <c r="BR49" s="12" t="s">
        <v>620</v>
      </c>
      <c r="BS49" s="12" t="s">
        <v>1379</v>
      </c>
      <c r="BT49" s="12" t="str">
        <f>HYPERLINK("https%3A%2F%2Fwww.webofscience.com%2Fwos%2Fwoscc%2Ffull-record%2FWOS:000257367300003","View Full Record in Web of Science")</f>
        <v>View Full Record in Web of Science</v>
      </c>
    </row>
    <row r="50" ht="12.75" customHeight="1">
      <c r="A50" s="12" t="s">
        <v>596</v>
      </c>
      <c r="B50" s="12" t="s">
        <v>1380</v>
      </c>
      <c r="C50" s="12" t="s">
        <v>598</v>
      </c>
      <c r="D50" s="12" t="s">
        <v>598</v>
      </c>
      <c r="E50" s="12" t="s">
        <v>598</v>
      </c>
      <c r="F50" s="12" t="s">
        <v>1381</v>
      </c>
      <c r="G50" s="12" t="s">
        <v>598</v>
      </c>
      <c r="H50" s="12" t="s">
        <v>598</v>
      </c>
      <c r="I50" s="12" t="s">
        <v>204</v>
      </c>
      <c r="J50" s="12" t="s">
        <v>1382</v>
      </c>
      <c r="K50" s="12" t="s">
        <v>598</v>
      </c>
      <c r="L50" s="12" t="s">
        <v>598</v>
      </c>
      <c r="M50" s="12" t="s">
        <v>600</v>
      </c>
      <c r="N50" s="12" t="s">
        <v>601</v>
      </c>
      <c r="O50" s="12" t="s">
        <v>598</v>
      </c>
      <c r="P50" s="12" t="s">
        <v>598</v>
      </c>
      <c r="Q50" s="12" t="s">
        <v>598</v>
      </c>
      <c r="R50" s="12" t="s">
        <v>598</v>
      </c>
      <c r="S50" s="12" t="s">
        <v>598</v>
      </c>
      <c r="T50" s="12" t="s">
        <v>1383</v>
      </c>
      <c r="U50" s="12" t="s">
        <v>1384</v>
      </c>
      <c r="V50" s="12" t="s">
        <v>1385</v>
      </c>
      <c r="W50" s="12" t="s">
        <v>1386</v>
      </c>
      <c r="X50" s="12" t="s">
        <v>1387</v>
      </c>
      <c r="Y50" s="12" t="s">
        <v>1388</v>
      </c>
      <c r="Z50" s="12" t="s">
        <v>1389</v>
      </c>
      <c r="AA50" s="12" t="s">
        <v>1390</v>
      </c>
      <c r="AB50" s="12" t="s">
        <v>1391</v>
      </c>
      <c r="AC50" s="12" t="s">
        <v>598</v>
      </c>
      <c r="AD50" s="12" t="s">
        <v>598</v>
      </c>
      <c r="AE50" s="12" t="s">
        <v>598</v>
      </c>
      <c r="AF50" s="12" t="s">
        <v>598</v>
      </c>
      <c r="AG50" s="12">
        <v>44.0</v>
      </c>
      <c r="AH50" s="12">
        <v>49.0</v>
      </c>
      <c r="AI50" s="12">
        <v>57.0</v>
      </c>
      <c r="AJ50" s="12">
        <v>3.0</v>
      </c>
      <c r="AK50" s="12">
        <v>51.0</v>
      </c>
      <c r="AL50" s="12" t="s">
        <v>1392</v>
      </c>
      <c r="AM50" s="12" t="s">
        <v>1393</v>
      </c>
      <c r="AN50" s="12" t="s">
        <v>1394</v>
      </c>
      <c r="AO50" s="12" t="s">
        <v>1395</v>
      </c>
      <c r="AP50" s="12" t="s">
        <v>598</v>
      </c>
      <c r="AQ50" s="12" t="s">
        <v>598</v>
      </c>
      <c r="AR50" s="12" t="s">
        <v>1396</v>
      </c>
      <c r="AS50" s="12" t="s">
        <v>1397</v>
      </c>
      <c r="AT50" s="12" t="s">
        <v>1160</v>
      </c>
      <c r="AU50" s="12">
        <v>2008.0</v>
      </c>
      <c r="AV50" s="12">
        <v>23.0</v>
      </c>
      <c r="AW50" s="12">
        <v>4.0</v>
      </c>
      <c r="AX50" s="12" t="s">
        <v>598</v>
      </c>
      <c r="AY50" s="12" t="s">
        <v>598</v>
      </c>
      <c r="AZ50" s="12" t="s">
        <v>598</v>
      </c>
      <c r="BA50" s="12" t="s">
        <v>598</v>
      </c>
      <c r="BB50" s="12">
        <v>657.0</v>
      </c>
      <c r="BC50" s="12">
        <v>663.0</v>
      </c>
      <c r="BD50" s="12" t="s">
        <v>598</v>
      </c>
      <c r="BE50" s="12" t="s">
        <v>1398</v>
      </c>
      <c r="BF50" s="13" t="str">
        <f>HYPERLINK("http://dx.doi.org/10.1007/s11284-007-0423-7","http://dx.doi.org/10.1007/s11284-007-0423-7")</f>
        <v>http://dx.doi.org/10.1007/s11284-007-0423-7</v>
      </c>
      <c r="BG50" s="12" t="s">
        <v>598</v>
      </c>
      <c r="BH50" s="12" t="s">
        <v>598</v>
      </c>
      <c r="BI50" s="12">
        <v>7.0</v>
      </c>
      <c r="BJ50" s="12" t="s">
        <v>1107</v>
      </c>
      <c r="BK50" s="12" t="s">
        <v>618</v>
      </c>
      <c r="BL50" s="12" t="s">
        <v>753</v>
      </c>
      <c r="BM50" s="12" t="s">
        <v>1399</v>
      </c>
      <c r="BN50" s="12" t="s">
        <v>598</v>
      </c>
      <c r="BO50" s="12" t="s">
        <v>598</v>
      </c>
      <c r="BP50" s="12" t="s">
        <v>598</v>
      </c>
      <c r="BQ50" s="12" t="s">
        <v>598</v>
      </c>
      <c r="BR50" s="12" t="s">
        <v>620</v>
      </c>
      <c r="BS50" s="12" t="s">
        <v>1400</v>
      </c>
      <c r="BT50" s="12" t="str">
        <f>HYPERLINK("https%3A%2F%2Fwww.webofscience.com%2Fwos%2Fwoscc%2Ffull-record%2FWOS:000257395300003","View Full Record in Web of Science")</f>
        <v>View Full Record in Web of Science</v>
      </c>
    </row>
    <row r="51" ht="12.75" customHeight="1">
      <c r="A51" s="12" t="s">
        <v>596</v>
      </c>
      <c r="B51" s="12" t="s">
        <v>1401</v>
      </c>
      <c r="C51" s="12" t="s">
        <v>598</v>
      </c>
      <c r="D51" s="12" t="s">
        <v>598</v>
      </c>
      <c r="E51" s="12" t="s">
        <v>598</v>
      </c>
      <c r="F51" s="12" t="s">
        <v>1402</v>
      </c>
      <c r="G51" s="12" t="s">
        <v>598</v>
      </c>
      <c r="H51" s="12" t="s">
        <v>598</v>
      </c>
      <c r="I51" s="12" t="s">
        <v>1403</v>
      </c>
      <c r="J51" s="12" t="s">
        <v>1404</v>
      </c>
      <c r="K51" s="12" t="s">
        <v>598</v>
      </c>
      <c r="L51" s="12" t="s">
        <v>598</v>
      </c>
      <c r="M51" s="12" t="s">
        <v>600</v>
      </c>
      <c r="N51" s="12" t="s">
        <v>601</v>
      </c>
      <c r="O51" s="12" t="s">
        <v>598</v>
      </c>
      <c r="P51" s="12" t="s">
        <v>598</v>
      </c>
      <c r="Q51" s="12" t="s">
        <v>598</v>
      </c>
      <c r="R51" s="12" t="s">
        <v>598</v>
      </c>
      <c r="S51" s="12" t="s">
        <v>598</v>
      </c>
      <c r="T51" s="12" t="s">
        <v>598</v>
      </c>
      <c r="U51" s="12" t="s">
        <v>1405</v>
      </c>
      <c r="V51" s="12" t="s">
        <v>1406</v>
      </c>
      <c r="W51" s="12" t="s">
        <v>1407</v>
      </c>
      <c r="X51" s="12" t="s">
        <v>1408</v>
      </c>
      <c r="Y51" s="12" t="s">
        <v>1409</v>
      </c>
      <c r="Z51" s="12" t="s">
        <v>1410</v>
      </c>
      <c r="AA51" s="12" t="s">
        <v>1411</v>
      </c>
      <c r="AB51" s="12" t="s">
        <v>598</v>
      </c>
      <c r="AC51" s="12" t="s">
        <v>598</v>
      </c>
      <c r="AD51" s="12" t="s">
        <v>598</v>
      </c>
      <c r="AE51" s="12" t="s">
        <v>598</v>
      </c>
      <c r="AF51" s="12" t="s">
        <v>598</v>
      </c>
      <c r="AG51" s="12">
        <v>61.0</v>
      </c>
      <c r="AH51" s="12">
        <v>7.0</v>
      </c>
      <c r="AI51" s="12">
        <v>9.0</v>
      </c>
      <c r="AJ51" s="12">
        <v>0.0</v>
      </c>
      <c r="AK51" s="12">
        <v>31.0</v>
      </c>
      <c r="AL51" s="12" t="s">
        <v>1412</v>
      </c>
      <c r="AM51" s="12" t="s">
        <v>1413</v>
      </c>
      <c r="AN51" s="12" t="s">
        <v>1414</v>
      </c>
      <c r="AO51" s="12" t="s">
        <v>1415</v>
      </c>
      <c r="AP51" s="12" t="s">
        <v>1416</v>
      </c>
      <c r="AQ51" s="12" t="s">
        <v>598</v>
      </c>
      <c r="AR51" s="12" t="s">
        <v>1417</v>
      </c>
      <c r="AS51" s="12" t="s">
        <v>1418</v>
      </c>
      <c r="AT51" s="12" t="s">
        <v>715</v>
      </c>
      <c r="AU51" s="12">
        <v>2008.0</v>
      </c>
      <c r="AV51" s="12">
        <v>53.0</v>
      </c>
      <c r="AW51" s="12">
        <v>4.0</v>
      </c>
      <c r="AX51" s="12" t="s">
        <v>598</v>
      </c>
      <c r="AY51" s="12" t="s">
        <v>598</v>
      </c>
      <c r="AZ51" s="12" t="s">
        <v>598</v>
      </c>
      <c r="BA51" s="12" t="s">
        <v>598</v>
      </c>
      <c r="BB51" s="12">
        <v>431.0</v>
      </c>
      <c r="BC51" s="12">
        <v>443.0</v>
      </c>
      <c r="BD51" s="12" t="s">
        <v>598</v>
      </c>
      <c r="BE51" s="12" t="s">
        <v>1419</v>
      </c>
      <c r="BF51" s="13" t="str">
        <f>HYPERLINK("http://dx.doi.org/10.1894/CLG-10.1","http://dx.doi.org/10.1894/CLG-10.1")</f>
        <v>http://dx.doi.org/10.1894/CLG-10.1</v>
      </c>
      <c r="BG51" s="12" t="s">
        <v>598</v>
      </c>
      <c r="BH51" s="12" t="s">
        <v>598</v>
      </c>
      <c r="BI51" s="12">
        <v>13.0</v>
      </c>
      <c r="BJ51" s="12" t="s">
        <v>717</v>
      </c>
      <c r="BK51" s="12" t="s">
        <v>618</v>
      </c>
      <c r="BL51" s="12" t="s">
        <v>679</v>
      </c>
      <c r="BM51" s="12" t="s">
        <v>1420</v>
      </c>
      <c r="BN51" s="12" t="s">
        <v>598</v>
      </c>
      <c r="BO51" s="12" t="s">
        <v>598</v>
      </c>
      <c r="BP51" s="12" t="s">
        <v>598</v>
      </c>
      <c r="BQ51" s="12" t="s">
        <v>598</v>
      </c>
      <c r="BR51" s="12" t="s">
        <v>620</v>
      </c>
      <c r="BS51" s="12" t="s">
        <v>1421</v>
      </c>
      <c r="BT51" s="12" t="str">
        <f>HYPERLINK("https%3A%2F%2Fwww.webofscience.com%2Fwos%2Fwoscc%2Ffull-record%2FWOS:000261752100002","View Full Record in Web of Science")</f>
        <v>View Full Record in Web of Science</v>
      </c>
    </row>
    <row r="52" ht="12.75" customHeight="1">
      <c r="A52" s="12" t="s">
        <v>596</v>
      </c>
      <c r="B52" s="12" t="s">
        <v>1422</v>
      </c>
      <c r="C52" s="12" t="s">
        <v>598</v>
      </c>
      <c r="D52" s="12" t="s">
        <v>598</v>
      </c>
      <c r="E52" s="12" t="s">
        <v>598</v>
      </c>
      <c r="F52" s="12" t="s">
        <v>1423</v>
      </c>
      <c r="G52" s="12" t="s">
        <v>598</v>
      </c>
      <c r="H52" s="12" t="s">
        <v>598</v>
      </c>
      <c r="I52" s="12" t="s">
        <v>1424</v>
      </c>
      <c r="J52" s="12" t="s">
        <v>1425</v>
      </c>
      <c r="K52" s="12" t="s">
        <v>598</v>
      </c>
      <c r="L52" s="12" t="s">
        <v>598</v>
      </c>
      <c r="M52" s="12" t="s">
        <v>600</v>
      </c>
      <c r="N52" s="12" t="s">
        <v>601</v>
      </c>
      <c r="O52" s="12" t="s">
        <v>598</v>
      </c>
      <c r="P52" s="12" t="s">
        <v>598</v>
      </c>
      <c r="Q52" s="12" t="s">
        <v>598</v>
      </c>
      <c r="R52" s="12" t="s">
        <v>598</v>
      </c>
      <c r="S52" s="12" t="s">
        <v>598</v>
      </c>
      <c r="T52" s="12" t="s">
        <v>598</v>
      </c>
      <c r="U52" s="12" t="s">
        <v>1426</v>
      </c>
      <c r="V52" s="12" t="s">
        <v>1427</v>
      </c>
      <c r="W52" s="12" t="s">
        <v>1428</v>
      </c>
      <c r="X52" s="12" t="s">
        <v>1429</v>
      </c>
      <c r="Y52" s="12" t="s">
        <v>1430</v>
      </c>
      <c r="Z52" s="12" t="s">
        <v>598</v>
      </c>
      <c r="AA52" s="12" t="s">
        <v>598</v>
      </c>
      <c r="AB52" s="12" t="s">
        <v>598</v>
      </c>
      <c r="AC52" s="12" t="s">
        <v>1431</v>
      </c>
      <c r="AD52" s="12" t="s">
        <v>1431</v>
      </c>
      <c r="AE52" s="12" t="s">
        <v>1432</v>
      </c>
      <c r="AF52" s="12" t="s">
        <v>598</v>
      </c>
      <c r="AG52" s="12">
        <v>33.0</v>
      </c>
      <c r="AH52" s="12">
        <v>5.0</v>
      </c>
      <c r="AI52" s="12">
        <v>7.0</v>
      </c>
      <c r="AJ52" s="12">
        <v>0.0</v>
      </c>
      <c r="AK52" s="12">
        <v>6.0</v>
      </c>
      <c r="AL52" s="12" t="s">
        <v>1433</v>
      </c>
      <c r="AM52" s="12" t="s">
        <v>1434</v>
      </c>
      <c r="AN52" s="12" t="s">
        <v>1435</v>
      </c>
      <c r="AO52" s="12" t="s">
        <v>1436</v>
      </c>
      <c r="AP52" s="12" t="s">
        <v>1437</v>
      </c>
      <c r="AQ52" s="12" t="s">
        <v>598</v>
      </c>
      <c r="AR52" s="12" t="s">
        <v>1438</v>
      </c>
      <c r="AS52" s="12" t="s">
        <v>1439</v>
      </c>
      <c r="AT52" s="12" t="s">
        <v>1440</v>
      </c>
      <c r="AU52" s="12">
        <v>2008.0</v>
      </c>
      <c r="AV52" s="12">
        <v>16.0</v>
      </c>
      <c r="AW52" s="12">
        <v>4.0</v>
      </c>
      <c r="AX52" s="12" t="s">
        <v>598</v>
      </c>
      <c r="AY52" s="12" t="s">
        <v>598</v>
      </c>
      <c r="AZ52" s="12" t="s">
        <v>598</v>
      </c>
      <c r="BA52" s="12" t="s">
        <v>598</v>
      </c>
      <c r="BB52" s="12">
        <v>220.0</v>
      </c>
      <c r="BC52" s="12">
        <v>227.0</v>
      </c>
      <c r="BD52" s="12" t="s">
        <v>598</v>
      </c>
      <c r="BE52" s="12" t="s">
        <v>598</v>
      </c>
      <c r="BF52" s="12" t="s">
        <v>598</v>
      </c>
      <c r="BG52" s="12" t="s">
        <v>598</v>
      </c>
      <c r="BH52" s="12" t="s">
        <v>598</v>
      </c>
      <c r="BI52" s="12">
        <v>8.0</v>
      </c>
      <c r="BJ52" s="12" t="s">
        <v>1441</v>
      </c>
      <c r="BK52" s="12" t="s">
        <v>618</v>
      </c>
      <c r="BL52" s="12" t="s">
        <v>1442</v>
      </c>
      <c r="BM52" s="12" t="s">
        <v>1443</v>
      </c>
      <c r="BN52" s="12" t="s">
        <v>598</v>
      </c>
      <c r="BO52" s="12" t="s">
        <v>598</v>
      </c>
      <c r="BP52" s="12" t="s">
        <v>598</v>
      </c>
      <c r="BQ52" s="12" t="s">
        <v>598</v>
      </c>
      <c r="BR52" s="12" t="s">
        <v>620</v>
      </c>
      <c r="BS52" s="12" t="s">
        <v>1444</v>
      </c>
      <c r="BT52" s="12" t="str">
        <f>HYPERLINK("https%3A%2F%2Fwww.webofscience.com%2Fwos%2Fwoscc%2Ffull-record%2FWOS:000262214800002","View Full Record in Web of Science")</f>
        <v>View Full Record in Web of Science</v>
      </c>
    </row>
    <row r="53" ht="12.75" customHeight="1">
      <c r="A53" s="12" t="s">
        <v>596</v>
      </c>
      <c r="B53" s="12" t="s">
        <v>1445</v>
      </c>
      <c r="C53" s="12" t="s">
        <v>598</v>
      </c>
      <c r="D53" s="12" t="s">
        <v>598</v>
      </c>
      <c r="E53" s="12" t="s">
        <v>598</v>
      </c>
      <c r="F53" s="12" t="s">
        <v>1446</v>
      </c>
      <c r="G53" s="12" t="s">
        <v>598</v>
      </c>
      <c r="H53" s="12" t="s">
        <v>598</v>
      </c>
      <c r="I53" s="12" t="s">
        <v>1447</v>
      </c>
      <c r="J53" s="12" t="s">
        <v>1448</v>
      </c>
      <c r="K53" s="12" t="s">
        <v>598</v>
      </c>
      <c r="L53" s="12" t="s">
        <v>598</v>
      </c>
      <c r="M53" s="12" t="s">
        <v>600</v>
      </c>
      <c r="N53" s="12" t="s">
        <v>601</v>
      </c>
      <c r="O53" s="12" t="s">
        <v>598</v>
      </c>
      <c r="P53" s="12" t="s">
        <v>598</v>
      </c>
      <c r="Q53" s="12" t="s">
        <v>598</v>
      </c>
      <c r="R53" s="12" t="s">
        <v>598</v>
      </c>
      <c r="S53" s="12" t="s">
        <v>598</v>
      </c>
      <c r="T53" s="12" t="s">
        <v>1449</v>
      </c>
      <c r="U53" s="12" t="s">
        <v>1450</v>
      </c>
      <c r="V53" s="12" t="s">
        <v>1451</v>
      </c>
      <c r="W53" s="12" t="s">
        <v>1452</v>
      </c>
      <c r="X53" s="12" t="s">
        <v>1453</v>
      </c>
      <c r="Y53" s="12" t="s">
        <v>1454</v>
      </c>
      <c r="Z53" s="12" t="s">
        <v>1455</v>
      </c>
      <c r="AA53" s="12" t="s">
        <v>1456</v>
      </c>
      <c r="AB53" s="12" t="s">
        <v>1457</v>
      </c>
      <c r="AC53" s="12" t="s">
        <v>1458</v>
      </c>
      <c r="AD53" s="12" t="s">
        <v>1459</v>
      </c>
      <c r="AE53" s="12" t="s">
        <v>1460</v>
      </c>
      <c r="AF53" s="12" t="s">
        <v>598</v>
      </c>
      <c r="AG53" s="12">
        <v>50.0</v>
      </c>
      <c r="AH53" s="12">
        <v>38.0</v>
      </c>
      <c r="AI53" s="12">
        <v>40.0</v>
      </c>
      <c r="AJ53" s="12">
        <v>0.0</v>
      </c>
      <c r="AK53" s="12">
        <v>25.0</v>
      </c>
      <c r="AL53" s="12" t="s">
        <v>670</v>
      </c>
      <c r="AM53" s="12" t="s">
        <v>671</v>
      </c>
      <c r="AN53" s="12" t="s">
        <v>672</v>
      </c>
      <c r="AO53" s="12" t="s">
        <v>1461</v>
      </c>
      <c r="AP53" s="12" t="s">
        <v>1462</v>
      </c>
      <c r="AQ53" s="12" t="s">
        <v>598</v>
      </c>
      <c r="AR53" s="12" t="s">
        <v>1463</v>
      </c>
      <c r="AS53" s="12" t="s">
        <v>1464</v>
      </c>
      <c r="AT53" s="12" t="s">
        <v>821</v>
      </c>
      <c r="AU53" s="12">
        <v>2009.0</v>
      </c>
      <c r="AV53" s="12">
        <v>201.0</v>
      </c>
      <c r="AW53" s="12">
        <v>1.0</v>
      </c>
      <c r="AX53" s="12" t="s">
        <v>598</v>
      </c>
      <c r="AY53" s="12" t="s">
        <v>598</v>
      </c>
      <c r="AZ53" s="12" t="s">
        <v>598</v>
      </c>
      <c r="BA53" s="12" t="s">
        <v>598</v>
      </c>
      <c r="BB53" s="12">
        <v>211.0</v>
      </c>
      <c r="BC53" s="12">
        <v>220.0</v>
      </c>
      <c r="BD53" s="12" t="s">
        <v>598</v>
      </c>
      <c r="BE53" s="12" t="s">
        <v>1465</v>
      </c>
      <c r="BF53" s="13" t="str">
        <f>HYPERLINK("http://dx.doi.org/10.1007/s11258-008-9490-2","http://dx.doi.org/10.1007/s11258-008-9490-2")</f>
        <v>http://dx.doi.org/10.1007/s11258-008-9490-2</v>
      </c>
      <c r="BG53" s="12" t="s">
        <v>598</v>
      </c>
      <c r="BH53" s="12" t="s">
        <v>598</v>
      </c>
      <c r="BI53" s="12">
        <v>10.0</v>
      </c>
      <c r="BJ53" s="12" t="s">
        <v>1247</v>
      </c>
      <c r="BK53" s="12" t="s">
        <v>618</v>
      </c>
      <c r="BL53" s="12" t="s">
        <v>1248</v>
      </c>
      <c r="BM53" s="12" t="s">
        <v>1466</v>
      </c>
      <c r="BN53" s="12" t="s">
        <v>598</v>
      </c>
      <c r="BO53" s="12" t="s">
        <v>598</v>
      </c>
      <c r="BP53" s="12" t="s">
        <v>598</v>
      </c>
      <c r="BQ53" s="12" t="s">
        <v>598</v>
      </c>
      <c r="BR53" s="12" t="s">
        <v>620</v>
      </c>
      <c r="BS53" s="12" t="s">
        <v>1467</v>
      </c>
      <c r="BT53" s="12" t="str">
        <f>HYPERLINK("https%3A%2F%2Fwww.webofscience.com%2Fwos%2Fwoscc%2Ffull-record%2FWOS:000263175800016","View Full Record in Web of Science")</f>
        <v>View Full Record in Web of Science</v>
      </c>
    </row>
    <row r="54" ht="12.75" customHeight="1">
      <c r="A54" s="12" t="s">
        <v>596</v>
      </c>
      <c r="B54" s="12" t="s">
        <v>1468</v>
      </c>
      <c r="C54" s="12" t="s">
        <v>598</v>
      </c>
      <c r="D54" s="12" t="s">
        <v>598</v>
      </c>
      <c r="E54" s="12" t="s">
        <v>598</v>
      </c>
      <c r="F54" s="12" t="s">
        <v>1469</v>
      </c>
      <c r="G54" s="12" t="s">
        <v>598</v>
      </c>
      <c r="H54" s="12" t="s">
        <v>598</v>
      </c>
      <c r="I54" s="12" t="s">
        <v>52</v>
      </c>
      <c r="J54" s="12" t="s">
        <v>683</v>
      </c>
      <c r="K54" s="12" t="s">
        <v>598</v>
      </c>
      <c r="L54" s="12" t="s">
        <v>598</v>
      </c>
      <c r="M54" s="12" t="s">
        <v>600</v>
      </c>
      <c r="N54" s="12" t="s">
        <v>601</v>
      </c>
      <c r="O54" s="12" t="s">
        <v>598</v>
      </c>
      <c r="P54" s="12" t="s">
        <v>598</v>
      </c>
      <c r="Q54" s="12" t="s">
        <v>598</v>
      </c>
      <c r="R54" s="12" t="s">
        <v>598</v>
      </c>
      <c r="S54" s="12" t="s">
        <v>598</v>
      </c>
      <c r="T54" s="12" t="s">
        <v>1470</v>
      </c>
      <c r="U54" s="12" t="s">
        <v>1471</v>
      </c>
      <c r="V54" s="12" t="s">
        <v>1472</v>
      </c>
      <c r="W54" s="12" t="s">
        <v>1473</v>
      </c>
      <c r="X54" s="12" t="s">
        <v>1474</v>
      </c>
      <c r="Y54" s="12" t="s">
        <v>1475</v>
      </c>
      <c r="Z54" s="12" t="s">
        <v>1476</v>
      </c>
      <c r="AA54" s="12" t="s">
        <v>1477</v>
      </c>
      <c r="AB54" s="12" t="s">
        <v>1478</v>
      </c>
      <c r="AC54" s="12" t="s">
        <v>1479</v>
      </c>
      <c r="AD54" s="12" t="s">
        <v>1479</v>
      </c>
      <c r="AE54" s="12" t="s">
        <v>1480</v>
      </c>
      <c r="AF54" s="12" t="s">
        <v>598</v>
      </c>
      <c r="AG54" s="12">
        <v>32.0</v>
      </c>
      <c r="AH54" s="12">
        <v>30.0</v>
      </c>
      <c r="AI54" s="12">
        <v>32.0</v>
      </c>
      <c r="AJ54" s="12">
        <v>0.0</v>
      </c>
      <c r="AK54" s="12">
        <v>52.0</v>
      </c>
      <c r="AL54" s="12" t="s">
        <v>731</v>
      </c>
      <c r="AM54" s="12" t="s">
        <v>609</v>
      </c>
      <c r="AN54" s="12" t="s">
        <v>732</v>
      </c>
      <c r="AO54" s="12" t="s">
        <v>690</v>
      </c>
      <c r="AP54" s="12" t="s">
        <v>936</v>
      </c>
      <c r="AQ54" s="12" t="s">
        <v>598</v>
      </c>
      <c r="AR54" s="12" t="s">
        <v>691</v>
      </c>
      <c r="AS54" s="12" t="s">
        <v>692</v>
      </c>
      <c r="AT54" s="12" t="s">
        <v>852</v>
      </c>
      <c r="AU54" s="12">
        <v>2009.0</v>
      </c>
      <c r="AV54" s="12">
        <v>131.0</v>
      </c>
      <c r="AW54" s="12" t="s">
        <v>635</v>
      </c>
      <c r="AX54" s="12" t="s">
        <v>598</v>
      </c>
      <c r="AY54" s="12" t="s">
        <v>598</v>
      </c>
      <c r="AZ54" s="12" t="s">
        <v>598</v>
      </c>
      <c r="BA54" s="12" t="s">
        <v>598</v>
      </c>
      <c r="BB54" s="12">
        <v>315.0</v>
      </c>
      <c r="BC54" s="12">
        <v>324.0</v>
      </c>
      <c r="BD54" s="12" t="s">
        <v>598</v>
      </c>
      <c r="BE54" s="12" t="s">
        <v>1481</v>
      </c>
      <c r="BF54" s="13" t="str">
        <f>HYPERLINK("http://dx.doi.org/10.1016/j.agee.2009.02.005","http://dx.doi.org/10.1016/j.agee.2009.02.005")</f>
        <v>http://dx.doi.org/10.1016/j.agee.2009.02.005</v>
      </c>
      <c r="BG54" s="12" t="s">
        <v>598</v>
      </c>
      <c r="BH54" s="12" t="s">
        <v>598</v>
      </c>
      <c r="BI54" s="12">
        <v>10.0</v>
      </c>
      <c r="BJ54" s="12" t="s">
        <v>695</v>
      </c>
      <c r="BK54" s="12" t="s">
        <v>618</v>
      </c>
      <c r="BL54" s="12" t="s">
        <v>696</v>
      </c>
      <c r="BM54" s="12" t="s">
        <v>1482</v>
      </c>
      <c r="BN54" s="12" t="s">
        <v>598</v>
      </c>
      <c r="BO54" s="12" t="s">
        <v>598</v>
      </c>
      <c r="BP54" s="12" t="s">
        <v>598</v>
      </c>
      <c r="BQ54" s="12" t="s">
        <v>598</v>
      </c>
      <c r="BR54" s="12" t="s">
        <v>620</v>
      </c>
      <c r="BS54" s="12" t="s">
        <v>1483</v>
      </c>
      <c r="BT54" s="12" t="str">
        <f>HYPERLINK("https%3A%2F%2Fwww.webofscience.com%2Fwos%2Fwoscc%2Ffull-record%2FWOS:000265556700024","View Full Record in Web of Science")</f>
        <v>View Full Record in Web of Science</v>
      </c>
    </row>
    <row r="55" ht="12.75" customHeight="1">
      <c r="A55" s="12" t="s">
        <v>596</v>
      </c>
      <c r="B55" s="12" t="s">
        <v>1484</v>
      </c>
      <c r="C55" s="12" t="s">
        <v>598</v>
      </c>
      <c r="D55" s="12" t="s">
        <v>598</v>
      </c>
      <c r="E55" s="12" t="s">
        <v>598</v>
      </c>
      <c r="F55" s="12" t="s">
        <v>1485</v>
      </c>
      <c r="G55" s="12" t="s">
        <v>598</v>
      </c>
      <c r="H55" s="12" t="s">
        <v>598</v>
      </c>
      <c r="I55" s="12" t="s">
        <v>206</v>
      </c>
      <c r="J55" s="12" t="s">
        <v>1486</v>
      </c>
      <c r="K55" s="12" t="s">
        <v>598</v>
      </c>
      <c r="L55" s="12" t="s">
        <v>598</v>
      </c>
      <c r="M55" s="12" t="s">
        <v>600</v>
      </c>
      <c r="N55" s="12" t="s">
        <v>601</v>
      </c>
      <c r="O55" s="12" t="s">
        <v>598</v>
      </c>
      <c r="P55" s="12" t="s">
        <v>598</v>
      </c>
      <c r="Q55" s="12" t="s">
        <v>598</v>
      </c>
      <c r="R55" s="12" t="s">
        <v>598</v>
      </c>
      <c r="S55" s="12" t="s">
        <v>598</v>
      </c>
      <c r="T55" s="12" t="s">
        <v>1487</v>
      </c>
      <c r="U55" s="12" t="s">
        <v>1488</v>
      </c>
      <c r="V55" s="12" t="s">
        <v>1489</v>
      </c>
      <c r="W55" s="12" t="s">
        <v>1490</v>
      </c>
      <c r="X55" s="12" t="s">
        <v>1491</v>
      </c>
      <c r="Y55" s="12" t="s">
        <v>1492</v>
      </c>
      <c r="Z55" s="12" t="s">
        <v>1493</v>
      </c>
      <c r="AA55" s="12" t="s">
        <v>1494</v>
      </c>
      <c r="AB55" s="12" t="s">
        <v>1495</v>
      </c>
      <c r="AC55" s="12" t="s">
        <v>598</v>
      </c>
      <c r="AD55" s="12" t="s">
        <v>598</v>
      </c>
      <c r="AE55" s="12" t="s">
        <v>598</v>
      </c>
      <c r="AF55" s="12" t="s">
        <v>598</v>
      </c>
      <c r="AG55" s="12">
        <v>70.0</v>
      </c>
      <c r="AH55" s="12">
        <v>56.0</v>
      </c>
      <c r="AI55" s="12">
        <v>70.0</v>
      </c>
      <c r="AJ55" s="12">
        <v>8.0</v>
      </c>
      <c r="AK55" s="12">
        <v>163.0</v>
      </c>
      <c r="AL55" s="12" t="s">
        <v>670</v>
      </c>
      <c r="AM55" s="12" t="s">
        <v>1261</v>
      </c>
      <c r="AN55" s="12" t="s">
        <v>1496</v>
      </c>
      <c r="AO55" s="12" t="s">
        <v>1497</v>
      </c>
      <c r="AP55" s="12" t="s">
        <v>1498</v>
      </c>
      <c r="AQ55" s="12" t="s">
        <v>598</v>
      </c>
      <c r="AR55" s="12" t="s">
        <v>1499</v>
      </c>
      <c r="AS55" s="12" t="s">
        <v>1500</v>
      </c>
      <c r="AT55" s="12" t="s">
        <v>1160</v>
      </c>
      <c r="AU55" s="12">
        <v>2009.0</v>
      </c>
      <c r="AV55" s="12">
        <v>45.0</v>
      </c>
      <c r="AW55" s="12">
        <v>6.0</v>
      </c>
      <c r="AX55" s="12" t="s">
        <v>598</v>
      </c>
      <c r="AY55" s="12" t="s">
        <v>598</v>
      </c>
      <c r="AZ55" s="12" t="s">
        <v>598</v>
      </c>
      <c r="BA55" s="12" t="s">
        <v>598</v>
      </c>
      <c r="BB55" s="12">
        <v>595.0</v>
      </c>
      <c r="BC55" s="12">
        <v>608.0</v>
      </c>
      <c r="BD55" s="12" t="s">
        <v>598</v>
      </c>
      <c r="BE55" s="12" t="s">
        <v>1501</v>
      </c>
      <c r="BF55" s="13" t="str">
        <f>HYPERLINK("http://dx.doi.org/10.1007/s00374-009-0370-2","http://dx.doi.org/10.1007/s00374-009-0370-2")</f>
        <v>http://dx.doi.org/10.1007/s00374-009-0370-2</v>
      </c>
      <c r="BG55" s="12" t="s">
        <v>598</v>
      </c>
      <c r="BH55" s="12" t="s">
        <v>598</v>
      </c>
      <c r="BI55" s="12">
        <v>14.0</v>
      </c>
      <c r="BJ55" s="12" t="s">
        <v>637</v>
      </c>
      <c r="BK55" s="12" t="s">
        <v>618</v>
      </c>
      <c r="BL55" s="12" t="s">
        <v>638</v>
      </c>
      <c r="BM55" s="12" t="s">
        <v>1502</v>
      </c>
      <c r="BN55" s="12" t="s">
        <v>598</v>
      </c>
      <c r="BO55" s="12" t="s">
        <v>598</v>
      </c>
      <c r="BP55" s="12" t="s">
        <v>598</v>
      </c>
      <c r="BQ55" s="12" t="s">
        <v>598</v>
      </c>
      <c r="BR55" s="12" t="s">
        <v>620</v>
      </c>
      <c r="BS55" s="12" t="s">
        <v>1503</v>
      </c>
      <c r="BT55" s="12" t="str">
        <f>HYPERLINK("https%3A%2F%2Fwww.webofscience.com%2Fwos%2Fwoscc%2Ffull-record%2FWOS:000267540800004","View Full Record in Web of Science")</f>
        <v>View Full Record in Web of Science</v>
      </c>
    </row>
    <row r="56" ht="12.75" customHeight="1">
      <c r="A56" s="12" t="s">
        <v>596</v>
      </c>
      <c r="B56" s="12" t="s">
        <v>1504</v>
      </c>
      <c r="C56" s="12" t="s">
        <v>598</v>
      </c>
      <c r="D56" s="12" t="s">
        <v>598</v>
      </c>
      <c r="E56" s="12" t="s">
        <v>598</v>
      </c>
      <c r="F56" s="12" t="s">
        <v>83</v>
      </c>
      <c r="G56" s="12" t="s">
        <v>598</v>
      </c>
      <c r="H56" s="12" t="s">
        <v>598</v>
      </c>
      <c r="I56" s="12" t="s">
        <v>84</v>
      </c>
      <c r="J56" s="12" t="s">
        <v>1505</v>
      </c>
      <c r="K56" s="12" t="s">
        <v>598</v>
      </c>
      <c r="L56" s="12" t="s">
        <v>598</v>
      </c>
      <c r="M56" s="12" t="s">
        <v>600</v>
      </c>
      <c r="N56" s="12" t="s">
        <v>601</v>
      </c>
      <c r="O56" s="12" t="s">
        <v>598</v>
      </c>
      <c r="P56" s="12" t="s">
        <v>598</v>
      </c>
      <c r="Q56" s="12" t="s">
        <v>598</v>
      </c>
      <c r="R56" s="12" t="s">
        <v>598</v>
      </c>
      <c r="S56" s="12" t="s">
        <v>598</v>
      </c>
      <c r="T56" s="12" t="s">
        <v>1506</v>
      </c>
      <c r="U56" s="12" t="s">
        <v>1507</v>
      </c>
      <c r="V56" s="12" t="s">
        <v>1508</v>
      </c>
      <c r="W56" s="12" t="s">
        <v>1509</v>
      </c>
      <c r="X56" s="12" t="s">
        <v>1510</v>
      </c>
      <c r="Y56" s="12" t="s">
        <v>1511</v>
      </c>
      <c r="Z56" s="12" t="s">
        <v>1512</v>
      </c>
      <c r="AA56" s="12" t="s">
        <v>598</v>
      </c>
      <c r="AB56" s="12" t="s">
        <v>598</v>
      </c>
      <c r="AC56" s="12" t="s">
        <v>1513</v>
      </c>
      <c r="AD56" s="12" t="s">
        <v>1514</v>
      </c>
      <c r="AE56" s="12" t="s">
        <v>1515</v>
      </c>
      <c r="AF56" s="12" t="s">
        <v>598</v>
      </c>
      <c r="AG56" s="12">
        <v>36.0</v>
      </c>
      <c r="AH56" s="12">
        <v>79.0</v>
      </c>
      <c r="AI56" s="12">
        <v>89.0</v>
      </c>
      <c r="AJ56" s="12">
        <v>0.0</v>
      </c>
      <c r="AK56" s="12">
        <v>93.0</v>
      </c>
      <c r="AL56" s="12" t="s">
        <v>1516</v>
      </c>
      <c r="AM56" s="12" t="s">
        <v>1517</v>
      </c>
      <c r="AN56" s="12" t="s">
        <v>1518</v>
      </c>
      <c r="AO56" s="12" t="s">
        <v>1519</v>
      </c>
      <c r="AP56" s="12" t="s">
        <v>598</v>
      </c>
      <c r="AQ56" s="12" t="s">
        <v>598</v>
      </c>
      <c r="AR56" s="12" t="s">
        <v>1520</v>
      </c>
      <c r="AS56" s="12" t="s">
        <v>1521</v>
      </c>
      <c r="AT56" s="12" t="s">
        <v>598</v>
      </c>
      <c r="AU56" s="12">
        <v>2009.0</v>
      </c>
      <c r="AV56" s="12">
        <v>10.0</v>
      </c>
      <c r="AW56" s="12">
        <v>5.0</v>
      </c>
      <c r="AX56" s="12" t="s">
        <v>598</v>
      </c>
      <c r="AY56" s="12" t="s">
        <v>598</v>
      </c>
      <c r="AZ56" s="12" t="s">
        <v>598</v>
      </c>
      <c r="BA56" s="12" t="s">
        <v>598</v>
      </c>
      <c r="BB56" s="12">
        <v>447.0</v>
      </c>
      <c r="BC56" s="12">
        <v>455.0</v>
      </c>
      <c r="BD56" s="12" t="s">
        <v>598</v>
      </c>
      <c r="BE56" s="12" t="s">
        <v>1522</v>
      </c>
      <c r="BF56" s="13" t="str">
        <f>HYPERLINK("http://dx.doi.org/10.1016/j.baae.2008.10.004","http://dx.doi.org/10.1016/j.baae.2008.10.004")</f>
        <v>http://dx.doi.org/10.1016/j.baae.2008.10.004</v>
      </c>
      <c r="BG56" s="12" t="s">
        <v>598</v>
      </c>
      <c r="BH56" s="12" t="s">
        <v>598</v>
      </c>
      <c r="BI56" s="12">
        <v>9.0</v>
      </c>
      <c r="BJ56" s="12" t="s">
        <v>1107</v>
      </c>
      <c r="BK56" s="12" t="s">
        <v>618</v>
      </c>
      <c r="BL56" s="12" t="s">
        <v>753</v>
      </c>
      <c r="BM56" s="12" t="s">
        <v>1523</v>
      </c>
      <c r="BN56" s="12" t="s">
        <v>598</v>
      </c>
      <c r="BO56" s="12" t="s">
        <v>598</v>
      </c>
      <c r="BP56" s="12" t="s">
        <v>598</v>
      </c>
      <c r="BQ56" s="12" t="s">
        <v>598</v>
      </c>
      <c r="BR56" s="12" t="s">
        <v>620</v>
      </c>
      <c r="BS56" s="12" t="s">
        <v>1524</v>
      </c>
      <c r="BT56" s="12" t="str">
        <f>HYPERLINK("https%3A%2F%2Fwww.webofscience.com%2Fwos%2Fwoscc%2Ffull-record%2FWOS:000268839500007","View Full Record in Web of Science")</f>
        <v>View Full Record in Web of Science</v>
      </c>
    </row>
    <row r="57" ht="12.75" customHeight="1">
      <c r="A57" s="12" t="s">
        <v>1525</v>
      </c>
      <c r="B57" s="12" t="s">
        <v>1445</v>
      </c>
      <c r="C57" s="12" t="s">
        <v>598</v>
      </c>
      <c r="D57" s="12" t="s">
        <v>1526</v>
      </c>
      <c r="E57" s="12" t="s">
        <v>598</v>
      </c>
      <c r="F57" s="12" t="s">
        <v>1446</v>
      </c>
      <c r="G57" s="12" t="s">
        <v>598</v>
      </c>
      <c r="H57" s="12" t="s">
        <v>598</v>
      </c>
      <c r="I57" s="12" t="s">
        <v>1447</v>
      </c>
      <c r="J57" s="12" t="s">
        <v>1527</v>
      </c>
      <c r="K57" s="12" t="s">
        <v>598</v>
      </c>
      <c r="L57" s="12" t="s">
        <v>598</v>
      </c>
      <c r="M57" s="12" t="s">
        <v>600</v>
      </c>
      <c r="N57" s="12" t="s">
        <v>1528</v>
      </c>
      <c r="O57" s="12" t="s">
        <v>598</v>
      </c>
      <c r="P57" s="12" t="s">
        <v>598</v>
      </c>
      <c r="Q57" s="12" t="s">
        <v>598</v>
      </c>
      <c r="R57" s="12" t="s">
        <v>598</v>
      </c>
      <c r="S57" s="12" t="s">
        <v>598</v>
      </c>
      <c r="T57" s="12" t="s">
        <v>1449</v>
      </c>
      <c r="U57" s="12" t="s">
        <v>1450</v>
      </c>
      <c r="V57" s="12" t="s">
        <v>1451</v>
      </c>
      <c r="W57" s="12" t="s">
        <v>1529</v>
      </c>
      <c r="X57" s="12" t="s">
        <v>1530</v>
      </c>
      <c r="Y57" s="12" t="s">
        <v>1454</v>
      </c>
      <c r="Z57" s="12" t="s">
        <v>1455</v>
      </c>
      <c r="AA57" s="12" t="s">
        <v>1456</v>
      </c>
      <c r="AB57" s="12" t="s">
        <v>1457</v>
      </c>
      <c r="AC57" s="12" t="s">
        <v>598</v>
      </c>
      <c r="AD57" s="12" t="s">
        <v>598</v>
      </c>
      <c r="AE57" s="12" t="s">
        <v>598</v>
      </c>
      <c r="AF57" s="12" t="s">
        <v>598</v>
      </c>
      <c r="AG57" s="12">
        <v>50.0</v>
      </c>
      <c r="AH57" s="12">
        <v>38.0</v>
      </c>
      <c r="AI57" s="12">
        <v>40.0</v>
      </c>
      <c r="AJ57" s="12">
        <v>0.0</v>
      </c>
      <c r="AK57" s="12">
        <v>25.0</v>
      </c>
      <c r="AL57" s="12" t="s">
        <v>670</v>
      </c>
      <c r="AM57" s="12" t="s">
        <v>1261</v>
      </c>
      <c r="AN57" s="12" t="s">
        <v>1531</v>
      </c>
      <c r="AO57" s="12" t="s">
        <v>598</v>
      </c>
      <c r="AP57" s="12" t="s">
        <v>598</v>
      </c>
      <c r="AQ57" s="12" t="s">
        <v>1532</v>
      </c>
      <c r="AR57" s="12" t="s">
        <v>598</v>
      </c>
      <c r="AS57" s="12" t="s">
        <v>598</v>
      </c>
      <c r="AT57" s="12" t="s">
        <v>598</v>
      </c>
      <c r="AU57" s="12">
        <v>2009.0</v>
      </c>
      <c r="AV57" s="12" t="s">
        <v>598</v>
      </c>
      <c r="AW57" s="12" t="s">
        <v>598</v>
      </c>
      <c r="AX57" s="12" t="s">
        <v>598</v>
      </c>
      <c r="AY57" s="12" t="s">
        <v>598</v>
      </c>
      <c r="AZ57" s="12" t="s">
        <v>598</v>
      </c>
      <c r="BA57" s="12" t="s">
        <v>598</v>
      </c>
      <c r="BB57" s="12">
        <v>211.0</v>
      </c>
      <c r="BC57" s="12">
        <v>220.0</v>
      </c>
      <c r="BD57" s="12" t="s">
        <v>598</v>
      </c>
      <c r="BE57" s="12" t="s">
        <v>1533</v>
      </c>
      <c r="BF57" s="13" t="str">
        <f>HYPERLINK("http://dx.doi.org/10.1007/978-90-481-2795-5_16","http://dx.doi.org/10.1007/978-90-481-2795-5_16")</f>
        <v>http://dx.doi.org/10.1007/978-90-481-2795-5_16</v>
      </c>
      <c r="BG57" s="12" t="s">
        <v>1534</v>
      </c>
      <c r="BH57" s="12" t="s">
        <v>598</v>
      </c>
      <c r="BI57" s="12">
        <v>10.0</v>
      </c>
      <c r="BJ57" s="12" t="s">
        <v>1535</v>
      </c>
      <c r="BK57" s="12" t="s">
        <v>1536</v>
      </c>
      <c r="BL57" s="12" t="s">
        <v>1537</v>
      </c>
      <c r="BM57" s="12" t="s">
        <v>1538</v>
      </c>
      <c r="BN57" s="12" t="s">
        <v>598</v>
      </c>
      <c r="BO57" s="12" t="s">
        <v>598</v>
      </c>
      <c r="BP57" s="12" t="s">
        <v>598</v>
      </c>
      <c r="BQ57" s="12" t="s">
        <v>598</v>
      </c>
      <c r="BR57" s="12" t="s">
        <v>620</v>
      </c>
      <c r="BS57" s="12" t="s">
        <v>1539</v>
      </c>
      <c r="BT57" s="12" t="str">
        <f>HYPERLINK("https%3A%2F%2Fwww.webofscience.com%2Fwos%2Fwoscc%2Ffull-record%2FWOS:000271018900016","View Full Record in Web of Science")</f>
        <v>View Full Record in Web of Science</v>
      </c>
    </row>
    <row r="58" ht="12.75" customHeight="1">
      <c r="A58" s="12" t="s">
        <v>596</v>
      </c>
      <c r="B58" s="12" t="s">
        <v>1540</v>
      </c>
      <c r="C58" s="12" t="s">
        <v>598</v>
      </c>
      <c r="D58" s="12" t="s">
        <v>598</v>
      </c>
      <c r="E58" s="12" t="s">
        <v>598</v>
      </c>
      <c r="F58" s="12" t="s">
        <v>1541</v>
      </c>
      <c r="G58" s="12" t="s">
        <v>598</v>
      </c>
      <c r="H58" s="12" t="s">
        <v>598</v>
      </c>
      <c r="I58" s="12" t="s">
        <v>94</v>
      </c>
      <c r="J58" s="12" t="s">
        <v>1542</v>
      </c>
      <c r="K58" s="12" t="s">
        <v>598</v>
      </c>
      <c r="L58" s="12" t="s">
        <v>598</v>
      </c>
      <c r="M58" s="12" t="s">
        <v>600</v>
      </c>
      <c r="N58" s="12" t="s">
        <v>601</v>
      </c>
      <c r="O58" s="12" t="s">
        <v>598</v>
      </c>
      <c r="P58" s="12" t="s">
        <v>598</v>
      </c>
      <c r="Q58" s="12" t="s">
        <v>598</v>
      </c>
      <c r="R58" s="12" t="s">
        <v>598</v>
      </c>
      <c r="S58" s="12" t="s">
        <v>598</v>
      </c>
      <c r="T58" s="12" t="s">
        <v>1543</v>
      </c>
      <c r="U58" s="12" t="s">
        <v>1544</v>
      </c>
      <c r="V58" s="12" t="s">
        <v>1545</v>
      </c>
      <c r="W58" s="12" t="s">
        <v>1546</v>
      </c>
      <c r="X58" s="12" t="s">
        <v>1547</v>
      </c>
      <c r="Y58" s="12" t="s">
        <v>1548</v>
      </c>
      <c r="Z58" s="12" t="s">
        <v>1549</v>
      </c>
      <c r="AA58" s="12" t="s">
        <v>1550</v>
      </c>
      <c r="AB58" s="12" t="s">
        <v>1551</v>
      </c>
      <c r="AC58" s="12" t="s">
        <v>1552</v>
      </c>
      <c r="AD58" s="12" t="s">
        <v>1553</v>
      </c>
      <c r="AE58" s="12" t="s">
        <v>1554</v>
      </c>
      <c r="AF58" s="12" t="s">
        <v>598</v>
      </c>
      <c r="AG58" s="12">
        <v>66.0</v>
      </c>
      <c r="AH58" s="12">
        <v>36.0</v>
      </c>
      <c r="AI58" s="12">
        <v>41.0</v>
      </c>
      <c r="AJ58" s="12">
        <v>1.0</v>
      </c>
      <c r="AK58" s="12">
        <v>108.0</v>
      </c>
      <c r="AL58" s="12" t="s">
        <v>708</v>
      </c>
      <c r="AM58" s="12" t="s">
        <v>709</v>
      </c>
      <c r="AN58" s="12" t="s">
        <v>710</v>
      </c>
      <c r="AO58" s="12" t="s">
        <v>1555</v>
      </c>
      <c r="AP58" s="12" t="s">
        <v>1556</v>
      </c>
      <c r="AQ58" s="12" t="s">
        <v>598</v>
      </c>
      <c r="AR58" s="12" t="s">
        <v>1557</v>
      </c>
      <c r="AS58" s="12" t="s">
        <v>1558</v>
      </c>
      <c r="AT58" s="12" t="s">
        <v>715</v>
      </c>
      <c r="AU58" s="12">
        <v>2009.0</v>
      </c>
      <c r="AV58" s="12">
        <v>64.0</v>
      </c>
      <c r="AW58" s="12">
        <v>4.0</v>
      </c>
      <c r="AX58" s="12" t="s">
        <v>598</v>
      </c>
      <c r="AY58" s="12" t="s">
        <v>598</v>
      </c>
      <c r="AZ58" s="12" t="s">
        <v>598</v>
      </c>
      <c r="BA58" s="12" t="s">
        <v>598</v>
      </c>
      <c r="BB58" s="12">
        <v>443.0</v>
      </c>
      <c r="BC58" s="12">
        <v>453.0</v>
      </c>
      <c r="BD58" s="12" t="s">
        <v>598</v>
      </c>
      <c r="BE58" s="12" t="s">
        <v>1559</v>
      </c>
      <c r="BF58" s="13" t="str">
        <f>HYPERLINK("http://dx.doi.org/10.1111/j.1365-2494.2009.00709.x","http://dx.doi.org/10.1111/j.1365-2494.2009.00709.x")</f>
        <v>http://dx.doi.org/10.1111/j.1365-2494.2009.00709.x</v>
      </c>
      <c r="BG58" s="12" t="s">
        <v>598</v>
      </c>
      <c r="BH58" s="12" t="s">
        <v>598</v>
      </c>
      <c r="BI58" s="12">
        <v>11.0</v>
      </c>
      <c r="BJ58" s="12" t="s">
        <v>1560</v>
      </c>
      <c r="BK58" s="12" t="s">
        <v>618</v>
      </c>
      <c r="BL58" s="12" t="s">
        <v>638</v>
      </c>
      <c r="BM58" s="12" t="s">
        <v>1561</v>
      </c>
      <c r="BN58" s="12" t="s">
        <v>598</v>
      </c>
      <c r="BO58" s="12" t="s">
        <v>598</v>
      </c>
      <c r="BP58" s="12" t="s">
        <v>598</v>
      </c>
      <c r="BQ58" s="12" t="s">
        <v>598</v>
      </c>
      <c r="BR58" s="12" t="s">
        <v>620</v>
      </c>
      <c r="BS58" s="12" t="s">
        <v>1562</v>
      </c>
      <c r="BT58" s="12" t="str">
        <f>HYPERLINK("https%3A%2F%2Fwww.webofscience.com%2Fwos%2Fwoscc%2Ffull-record%2FWOS:000271783500011","View Full Record in Web of Science")</f>
        <v>View Full Record in Web of Science</v>
      </c>
    </row>
    <row r="59" ht="12.75" customHeight="1">
      <c r="A59" s="12" t="s">
        <v>596</v>
      </c>
      <c r="B59" s="12" t="s">
        <v>1563</v>
      </c>
      <c r="C59" s="12" t="s">
        <v>598</v>
      </c>
      <c r="D59" s="12" t="s">
        <v>598</v>
      </c>
      <c r="E59" s="12" t="s">
        <v>598</v>
      </c>
      <c r="F59" s="12" t="s">
        <v>1564</v>
      </c>
      <c r="G59" s="12" t="s">
        <v>598</v>
      </c>
      <c r="H59" s="12" t="s">
        <v>598</v>
      </c>
      <c r="I59" s="12" t="s">
        <v>141</v>
      </c>
      <c r="J59" s="12" t="s">
        <v>1542</v>
      </c>
      <c r="K59" s="12" t="s">
        <v>598</v>
      </c>
      <c r="L59" s="12" t="s">
        <v>598</v>
      </c>
      <c r="M59" s="12" t="s">
        <v>600</v>
      </c>
      <c r="N59" s="12" t="s">
        <v>601</v>
      </c>
      <c r="O59" s="12" t="s">
        <v>598</v>
      </c>
      <c r="P59" s="12" t="s">
        <v>598</v>
      </c>
      <c r="Q59" s="12" t="s">
        <v>598</v>
      </c>
      <c r="R59" s="12" t="s">
        <v>598</v>
      </c>
      <c r="S59" s="12" t="s">
        <v>598</v>
      </c>
      <c r="T59" s="12" t="s">
        <v>1565</v>
      </c>
      <c r="U59" s="12" t="s">
        <v>1566</v>
      </c>
      <c r="V59" s="12" t="s">
        <v>1567</v>
      </c>
      <c r="W59" s="12" t="s">
        <v>1568</v>
      </c>
      <c r="X59" s="12" t="s">
        <v>1171</v>
      </c>
      <c r="Y59" s="12" t="s">
        <v>1569</v>
      </c>
      <c r="Z59" s="12" t="s">
        <v>1570</v>
      </c>
      <c r="AA59" s="12" t="s">
        <v>598</v>
      </c>
      <c r="AB59" s="12" t="s">
        <v>598</v>
      </c>
      <c r="AC59" s="12" t="s">
        <v>1571</v>
      </c>
      <c r="AD59" s="12" t="s">
        <v>1571</v>
      </c>
      <c r="AE59" s="12" t="s">
        <v>1572</v>
      </c>
      <c r="AF59" s="12" t="s">
        <v>598</v>
      </c>
      <c r="AG59" s="12">
        <v>34.0</v>
      </c>
      <c r="AH59" s="12">
        <v>67.0</v>
      </c>
      <c r="AI59" s="12">
        <v>75.0</v>
      </c>
      <c r="AJ59" s="12">
        <v>0.0</v>
      </c>
      <c r="AK59" s="12">
        <v>99.0</v>
      </c>
      <c r="AL59" s="12" t="s">
        <v>1573</v>
      </c>
      <c r="AM59" s="12" t="s">
        <v>1574</v>
      </c>
      <c r="AN59" s="12" t="s">
        <v>1575</v>
      </c>
      <c r="AO59" s="12" t="s">
        <v>1555</v>
      </c>
      <c r="AP59" s="12" t="s">
        <v>598</v>
      </c>
      <c r="AQ59" s="12" t="s">
        <v>598</v>
      </c>
      <c r="AR59" s="12" t="s">
        <v>1557</v>
      </c>
      <c r="AS59" s="12" t="s">
        <v>1558</v>
      </c>
      <c r="AT59" s="12" t="s">
        <v>715</v>
      </c>
      <c r="AU59" s="12">
        <v>2009.0</v>
      </c>
      <c r="AV59" s="12">
        <v>64.0</v>
      </c>
      <c r="AW59" s="12">
        <v>4.0</v>
      </c>
      <c r="AX59" s="12" t="s">
        <v>598</v>
      </c>
      <c r="AY59" s="12" t="s">
        <v>598</v>
      </c>
      <c r="AZ59" s="12" t="s">
        <v>598</v>
      </c>
      <c r="BA59" s="12" t="s">
        <v>598</v>
      </c>
      <c r="BB59" s="12">
        <v>454.0</v>
      </c>
      <c r="BC59" s="12">
        <v>465.0</v>
      </c>
      <c r="BD59" s="12" t="s">
        <v>598</v>
      </c>
      <c r="BE59" s="12" t="s">
        <v>1576</v>
      </c>
      <c r="BF59" s="13" t="str">
        <f>HYPERLINK("http://dx.doi.org/10.1111/j.1365-2494.2009.00713.x","http://dx.doi.org/10.1111/j.1365-2494.2009.00713.x")</f>
        <v>http://dx.doi.org/10.1111/j.1365-2494.2009.00713.x</v>
      </c>
      <c r="BG59" s="12" t="s">
        <v>598</v>
      </c>
      <c r="BH59" s="12" t="s">
        <v>598</v>
      </c>
      <c r="BI59" s="12">
        <v>12.0</v>
      </c>
      <c r="BJ59" s="12" t="s">
        <v>1560</v>
      </c>
      <c r="BK59" s="12" t="s">
        <v>618</v>
      </c>
      <c r="BL59" s="12" t="s">
        <v>638</v>
      </c>
      <c r="BM59" s="12" t="s">
        <v>1561</v>
      </c>
      <c r="BN59" s="12" t="s">
        <v>598</v>
      </c>
      <c r="BO59" s="12" t="s">
        <v>598</v>
      </c>
      <c r="BP59" s="12" t="s">
        <v>598</v>
      </c>
      <c r="BQ59" s="12" t="s">
        <v>598</v>
      </c>
      <c r="BR59" s="12" t="s">
        <v>620</v>
      </c>
      <c r="BS59" s="12" t="s">
        <v>1577</v>
      </c>
      <c r="BT59" s="12" t="str">
        <f>HYPERLINK("https%3A%2F%2Fwww.webofscience.com%2Fwos%2Fwoscc%2Ffull-record%2FWOS:000271783500012","View Full Record in Web of Science")</f>
        <v>View Full Record in Web of Science</v>
      </c>
    </row>
    <row r="60" ht="12.75" customHeight="1">
      <c r="A60" s="12" t="s">
        <v>596</v>
      </c>
      <c r="B60" s="12" t="s">
        <v>1578</v>
      </c>
      <c r="C60" s="12" t="s">
        <v>598</v>
      </c>
      <c r="D60" s="12" t="s">
        <v>598</v>
      </c>
      <c r="E60" s="12" t="s">
        <v>598</v>
      </c>
      <c r="F60" s="12" t="s">
        <v>1579</v>
      </c>
      <c r="G60" s="12" t="s">
        <v>598</v>
      </c>
      <c r="H60" s="12" t="s">
        <v>598</v>
      </c>
      <c r="I60" s="12" t="s">
        <v>86</v>
      </c>
      <c r="J60" s="12" t="s">
        <v>1505</v>
      </c>
      <c r="K60" s="12" t="s">
        <v>598</v>
      </c>
      <c r="L60" s="12" t="s">
        <v>598</v>
      </c>
      <c r="M60" s="12" t="s">
        <v>600</v>
      </c>
      <c r="N60" s="12" t="s">
        <v>601</v>
      </c>
      <c r="O60" s="12" t="s">
        <v>598</v>
      </c>
      <c r="P60" s="12" t="s">
        <v>598</v>
      </c>
      <c r="Q60" s="12" t="s">
        <v>598</v>
      </c>
      <c r="R60" s="12" t="s">
        <v>598</v>
      </c>
      <c r="S60" s="12" t="s">
        <v>598</v>
      </c>
      <c r="T60" s="12" t="s">
        <v>1580</v>
      </c>
      <c r="U60" s="12" t="s">
        <v>1581</v>
      </c>
      <c r="V60" s="12" t="s">
        <v>1582</v>
      </c>
      <c r="W60" s="12" t="s">
        <v>1583</v>
      </c>
      <c r="X60" s="12" t="s">
        <v>1584</v>
      </c>
      <c r="Y60" s="12" t="s">
        <v>1585</v>
      </c>
      <c r="Z60" s="12" t="s">
        <v>1586</v>
      </c>
      <c r="AA60" s="12" t="s">
        <v>1587</v>
      </c>
      <c r="AB60" s="12" t="s">
        <v>1588</v>
      </c>
      <c r="AC60" s="12" t="s">
        <v>1589</v>
      </c>
      <c r="AD60" s="12" t="s">
        <v>1590</v>
      </c>
      <c r="AE60" s="12" t="s">
        <v>1591</v>
      </c>
      <c r="AF60" s="12" t="s">
        <v>598</v>
      </c>
      <c r="AG60" s="12">
        <v>40.0</v>
      </c>
      <c r="AH60" s="12">
        <v>23.0</v>
      </c>
      <c r="AI60" s="12">
        <v>27.0</v>
      </c>
      <c r="AJ60" s="12">
        <v>2.0</v>
      </c>
      <c r="AK60" s="12">
        <v>77.0</v>
      </c>
      <c r="AL60" s="12" t="s">
        <v>1592</v>
      </c>
      <c r="AM60" s="12" t="s">
        <v>1593</v>
      </c>
      <c r="AN60" s="12" t="s">
        <v>1594</v>
      </c>
      <c r="AO60" s="12" t="s">
        <v>1519</v>
      </c>
      <c r="AP60" s="12" t="s">
        <v>1595</v>
      </c>
      <c r="AQ60" s="12" t="s">
        <v>598</v>
      </c>
      <c r="AR60" s="12" t="s">
        <v>1520</v>
      </c>
      <c r="AS60" s="12" t="s">
        <v>1521</v>
      </c>
      <c r="AT60" s="12" t="s">
        <v>598</v>
      </c>
      <c r="AU60" s="12">
        <v>2009.0</v>
      </c>
      <c r="AV60" s="12">
        <v>10.0</v>
      </c>
      <c r="AW60" s="12">
        <v>8.0</v>
      </c>
      <c r="AX60" s="12" t="s">
        <v>598</v>
      </c>
      <c r="AY60" s="12" t="s">
        <v>598</v>
      </c>
      <c r="AZ60" s="12" t="s">
        <v>598</v>
      </c>
      <c r="BA60" s="12" t="s">
        <v>598</v>
      </c>
      <c r="BB60" s="12">
        <v>687.0</v>
      </c>
      <c r="BC60" s="12">
        <v>696.0</v>
      </c>
      <c r="BD60" s="12" t="s">
        <v>598</v>
      </c>
      <c r="BE60" s="12" t="s">
        <v>1596</v>
      </c>
      <c r="BF60" s="13" t="str">
        <f>HYPERLINK("http://dx.doi.org/10.1016/j.baae.2009.09.001","http://dx.doi.org/10.1016/j.baae.2009.09.001")</f>
        <v>http://dx.doi.org/10.1016/j.baae.2009.09.001</v>
      </c>
      <c r="BG60" s="12" t="s">
        <v>598</v>
      </c>
      <c r="BH60" s="12" t="s">
        <v>598</v>
      </c>
      <c r="BI60" s="12">
        <v>10.0</v>
      </c>
      <c r="BJ60" s="12" t="s">
        <v>1107</v>
      </c>
      <c r="BK60" s="12" t="s">
        <v>618</v>
      </c>
      <c r="BL60" s="12" t="s">
        <v>753</v>
      </c>
      <c r="BM60" s="12" t="s">
        <v>1597</v>
      </c>
      <c r="BN60" s="12" t="s">
        <v>598</v>
      </c>
      <c r="BO60" s="12" t="s">
        <v>598</v>
      </c>
      <c r="BP60" s="12" t="s">
        <v>598</v>
      </c>
      <c r="BQ60" s="12" t="s">
        <v>598</v>
      </c>
      <c r="BR60" s="12" t="s">
        <v>620</v>
      </c>
      <c r="BS60" s="12" t="s">
        <v>1598</v>
      </c>
      <c r="BT60" s="12" t="str">
        <f>HYPERLINK("https%3A%2F%2Fwww.webofscience.com%2Fwos%2Fwoscc%2Ffull-record%2FWOS:000273694600001","View Full Record in Web of Science")</f>
        <v>View Full Record in Web of Science</v>
      </c>
    </row>
    <row r="61" ht="12.75" customHeight="1">
      <c r="A61" s="12" t="s">
        <v>596</v>
      </c>
      <c r="B61" s="12" t="s">
        <v>1599</v>
      </c>
      <c r="C61" s="12" t="s">
        <v>598</v>
      </c>
      <c r="D61" s="12" t="s">
        <v>598</v>
      </c>
      <c r="E61" s="12" t="s">
        <v>598</v>
      </c>
      <c r="F61" s="12" t="s">
        <v>1600</v>
      </c>
      <c r="G61" s="12" t="s">
        <v>598</v>
      </c>
      <c r="H61" s="12" t="s">
        <v>598</v>
      </c>
      <c r="I61" s="12" t="s">
        <v>228</v>
      </c>
      <c r="J61" s="12" t="s">
        <v>1601</v>
      </c>
      <c r="K61" s="12" t="s">
        <v>598</v>
      </c>
      <c r="L61" s="12" t="s">
        <v>598</v>
      </c>
      <c r="M61" s="12" t="s">
        <v>600</v>
      </c>
      <c r="N61" s="12" t="s">
        <v>601</v>
      </c>
      <c r="O61" s="12" t="s">
        <v>598</v>
      </c>
      <c r="P61" s="12" t="s">
        <v>598</v>
      </c>
      <c r="Q61" s="12" t="s">
        <v>598</v>
      </c>
      <c r="R61" s="12" t="s">
        <v>598</v>
      </c>
      <c r="S61" s="12" t="s">
        <v>598</v>
      </c>
      <c r="T61" s="12" t="s">
        <v>1602</v>
      </c>
      <c r="U61" s="12" t="s">
        <v>1603</v>
      </c>
      <c r="V61" s="12" t="s">
        <v>1604</v>
      </c>
      <c r="W61" s="12" t="s">
        <v>1605</v>
      </c>
      <c r="X61" s="12" t="s">
        <v>1606</v>
      </c>
      <c r="Y61" s="12" t="s">
        <v>1607</v>
      </c>
      <c r="Z61" s="12" t="s">
        <v>1608</v>
      </c>
      <c r="AA61" s="12" t="s">
        <v>1609</v>
      </c>
      <c r="AB61" s="12" t="s">
        <v>1610</v>
      </c>
      <c r="AC61" s="12" t="s">
        <v>1611</v>
      </c>
      <c r="AD61" s="12" t="s">
        <v>1612</v>
      </c>
      <c r="AE61" s="12" t="s">
        <v>1613</v>
      </c>
      <c r="AF61" s="12" t="s">
        <v>598</v>
      </c>
      <c r="AG61" s="12">
        <v>34.0</v>
      </c>
      <c r="AH61" s="12">
        <v>67.0</v>
      </c>
      <c r="AI61" s="12">
        <v>79.0</v>
      </c>
      <c r="AJ61" s="12">
        <v>1.0</v>
      </c>
      <c r="AK61" s="12">
        <v>29.0</v>
      </c>
      <c r="AL61" s="12" t="s">
        <v>1614</v>
      </c>
      <c r="AM61" s="12" t="s">
        <v>709</v>
      </c>
      <c r="AN61" s="12" t="s">
        <v>710</v>
      </c>
      <c r="AO61" s="12" t="s">
        <v>1615</v>
      </c>
      <c r="AP61" s="12" t="s">
        <v>598</v>
      </c>
      <c r="AQ61" s="12" t="s">
        <v>598</v>
      </c>
      <c r="AR61" s="12" t="s">
        <v>1616</v>
      </c>
      <c r="AS61" s="12" t="s">
        <v>1617</v>
      </c>
      <c r="AT61" s="12" t="s">
        <v>821</v>
      </c>
      <c r="AU61" s="12">
        <v>2010.0</v>
      </c>
      <c r="AV61" s="12">
        <v>48.0</v>
      </c>
      <c r="AW61" s="12">
        <v>1.0</v>
      </c>
      <c r="AX61" s="12" t="s">
        <v>598</v>
      </c>
      <c r="AY61" s="12" t="s">
        <v>598</v>
      </c>
      <c r="AZ61" s="12" t="s">
        <v>598</v>
      </c>
      <c r="BA61" s="12" t="s">
        <v>598</v>
      </c>
      <c r="BB61" s="12">
        <v>78.0</v>
      </c>
      <c r="BC61" s="12">
        <v>86.0</v>
      </c>
      <c r="BD61" s="12" t="s">
        <v>598</v>
      </c>
      <c r="BE61" s="12" t="s">
        <v>1618</v>
      </c>
      <c r="BF61" s="13" t="str">
        <f>HYPERLINK("http://dx.doi.org/10.1111/j.1365-2028.2009.01084.x","http://dx.doi.org/10.1111/j.1365-2028.2009.01084.x")</f>
        <v>http://dx.doi.org/10.1111/j.1365-2028.2009.01084.x</v>
      </c>
      <c r="BG61" s="12" t="s">
        <v>598</v>
      </c>
      <c r="BH61" s="12" t="s">
        <v>598</v>
      </c>
      <c r="BI61" s="12">
        <v>9.0</v>
      </c>
      <c r="BJ61" s="12" t="s">
        <v>1107</v>
      </c>
      <c r="BK61" s="12" t="s">
        <v>618</v>
      </c>
      <c r="BL61" s="12" t="s">
        <v>753</v>
      </c>
      <c r="BM61" s="12" t="s">
        <v>1619</v>
      </c>
      <c r="BN61" s="12" t="s">
        <v>598</v>
      </c>
      <c r="BO61" s="12" t="s">
        <v>598</v>
      </c>
      <c r="BP61" s="12" t="s">
        <v>598</v>
      </c>
      <c r="BQ61" s="12" t="s">
        <v>598</v>
      </c>
      <c r="BR61" s="12" t="s">
        <v>620</v>
      </c>
      <c r="BS61" s="12" t="s">
        <v>1620</v>
      </c>
      <c r="BT61" s="12" t="str">
        <f>HYPERLINK("https%3A%2F%2Fwww.webofscience.com%2Fwos%2Fwoscc%2Ffull-record%2FWOS:000274199800011","View Full Record in Web of Science")</f>
        <v>View Full Record in Web of Science</v>
      </c>
    </row>
    <row r="62" ht="12.75" customHeight="1">
      <c r="A62" s="12" t="s">
        <v>596</v>
      </c>
      <c r="B62" s="12" t="s">
        <v>1621</v>
      </c>
      <c r="C62" s="12" t="s">
        <v>598</v>
      </c>
      <c r="D62" s="12" t="s">
        <v>598</v>
      </c>
      <c r="E62" s="12" t="s">
        <v>598</v>
      </c>
      <c r="F62" s="12" t="s">
        <v>1622</v>
      </c>
      <c r="G62" s="12" t="s">
        <v>598</v>
      </c>
      <c r="H62" s="12" t="s">
        <v>598</v>
      </c>
      <c r="I62" s="12" t="s">
        <v>202</v>
      </c>
      <c r="J62" s="12" t="s">
        <v>599</v>
      </c>
      <c r="K62" s="12" t="s">
        <v>598</v>
      </c>
      <c r="L62" s="12" t="s">
        <v>598</v>
      </c>
      <c r="M62" s="12" t="s">
        <v>600</v>
      </c>
      <c r="N62" s="12" t="s">
        <v>601</v>
      </c>
      <c r="O62" s="12" t="s">
        <v>598</v>
      </c>
      <c r="P62" s="12" t="s">
        <v>598</v>
      </c>
      <c r="Q62" s="12" t="s">
        <v>598</v>
      </c>
      <c r="R62" s="12" t="s">
        <v>598</v>
      </c>
      <c r="S62" s="12" t="s">
        <v>598</v>
      </c>
      <c r="T62" s="12" t="s">
        <v>1623</v>
      </c>
      <c r="U62" s="12" t="s">
        <v>1624</v>
      </c>
      <c r="V62" s="12" t="s">
        <v>1625</v>
      </c>
      <c r="W62" s="12" t="s">
        <v>1626</v>
      </c>
      <c r="X62" s="12" t="s">
        <v>1627</v>
      </c>
      <c r="Y62" s="12" t="s">
        <v>1628</v>
      </c>
      <c r="Z62" s="12" t="s">
        <v>1629</v>
      </c>
      <c r="AA62" s="12" t="s">
        <v>598</v>
      </c>
      <c r="AB62" s="12" t="s">
        <v>598</v>
      </c>
      <c r="AC62" s="12" t="s">
        <v>1630</v>
      </c>
      <c r="AD62" s="12" t="s">
        <v>1631</v>
      </c>
      <c r="AE62" s="12" t="s">
        <v>1632</v>
      </c>
      <c r="AF62" s="12" t="s">
        <v>598</v>
      </c>
      <c r="AG62" s="12">
        <v>61.0</v>
      </c>
      <c r="AH62" s="12">
        <v>37.0</v>
      </c>
      <c r="AI62" s="12">
        <v>48.0</v>
      </c>
      <c r="AJ62" s="12">
        <v>1.0</v>
      </c>
      <c r="AK62" s="12">
        <v>49.0</v>
      </c>
      <c r="AL62" s="12" t="s">
        <v>731</v>
      </c>
      <c r="AM62" s="12" t="s">
        <v>609</v>
      </c>
      <c r="AN62" s="12" t="s">
        <v>732</v>
      </c>
      <c r="AO62" s="12" t="s">
        <v>611</v>
      </c>
      <c r="AP62" s="12" t="s">
        <v>733</v>
      </c>
      <c r="AQ62" s="12" t="s">
        <v>598</v>
      </c>
      <c r="AR62" s="12" t="s">
        <v>612</v>
      </c>
      <c r="AS62" s="12" t="s">
        <v>613</v>
      </c>
      <c r="AT62" s="12" t="s">
        <v>1633</v>
      </c>
      <c r="AU62" s="12">
        <v>2010.0</v>
      </c>
      <c r="AV62" s="12">
        <v>259.0</v>
      </c>
      <c r="AW62" s="12">
        <v>8.0</v>
      </c>
      <c r="AX62" s="12" t="s">
        <v>598</v>
      </c>
      <c r="AY62" s="12" t="s">
        <v>598</v>
      </c>
      <c r="AZ62" s="12" t="s">
        <v>598</v>
      </c>
      <c r="BA62" s="12" t="s">
        <v>598</v>
      </c>
      <c r="BB62" s="12">
        <v>1522.0</v>
      </c>
      <c r="BC62" s="12">
        <v>1529.0</v>
      </c>
      <c r="BD62" s="12" t="s">
        <v>598</v>
      </c>
      <c r="BE62" s="12" t="s">
        <v>1634</v>
      </c>
      <c r="BF62" s="13" t="str">
        <f>HYPERLINK("http://dx.doi.org/10.1016/j.foreco.2010.01.028","http://dx.doi.org/10.1016/j.foreco.2010.01.028")</f>
        <v>http://dx.doi.org/10.1016/j.foreco.2010.01.028</v>
      </c>
      <c r="BG62" s="12" t="s">
        <v>598</v>
      </c>
      <c r="BH62" s="12" t="s">
        <v>598</v>
      </c>
      <c r="BI62" s="12">
        <v>8.0</v>
      </c>
      <c r="BJ62" s="12" t="s">
        <v>617</v>
      </c>
      <c r="BK62" s="12" t="s">
        <v>618</v>
      </c>
      <c r="BL62" s="12" t="s">
        <v>617</v>
      </c>
      <c r="BM62" s="12" t="s">
        <v>1635</v>
      </c>
      <c r="BN62" s="12" t="s">
        <v>598</v>
      </c>
      <c r="BO62" s="12" t="s">
        <v>598</v>
      </c>
      <c r="BP62" s="12" t="s">
        <v>598</v>
      </c>
      <c r="BQ62" s="12" t="s">
        <v>598</v>
      </c>
      <c r="BR62" s="12" t="s">
        <v>620</v>
      </c>
      <c r="BS62" s="12" t="s">
        <v>1636</v>
      </c>
      <c r="BT62" s="12" t="str">
        <f>HYPERLINK("https%3A%2F%2Fwww.webofscience.com%2Fwos%2Fwoscc%2Ffull-record%2FWOS:000276292900019","View Full Record in Web of Science")</f>
        <v>View Full Record in Web of Science</v>
      </c>
    </row>
    <row r="63" ht="12.75" customHeight="1">
      <c r="A63" s="12" t="s">
        <v>596</v>
      </c>
      <c r="B63" s="12" t="s">
        <v>1637</v>
      </c>
      <c r="C63" s="12" t="s">
        <v>598</v>
      </c>
      <c r="D63" s="12" t="s">
        <v>598</v>
      </c>
      <c r="E63" s="12" t="s">
        <v>598</v>
      </c>
      <c r="F63" s="12" t="s">
        <v>1638</v>
      </c>
      <c r="G63" s="12" t="s">
        <v>598</v>
      </c>
      <c r="H63" s="12" t="s">
        <v>598</v>
      </c>
      <c r="I63" s="12" t="s">
        <v>118</v>
      </c>
      <c r="J63" s="12" t="s">
        <v>1639</v>
      </c>
      <c r="K63" s="12" t="s">
        <v>598</v>
      </c>
      <c r="L63" s="12" t="s">
        <v>598</v>
      </c>
      <c r="M63" s="12" t="s">
        <v>600</v>
      </c>
      <c r="N63" s="12" t="s">
        <v>601</v>
      </c>
      <c r="O63" s="12" t="s">
        <v>598</v>
      </c>
      <c r="P63" s="12" t="s">
        <v>598</v>
      </c>
      <c r="Q63" s="12" t="s">
        <v>598</v>
      </c>
      <c r="R63" s="12" t="s">
        <v>598</v>
      </c>
      <c r="S63" s="12" t="s">
        <v>598</v>
      </c>
      <c r="T63" s="12" t="s">
        <v>1640</v>
      </c>
      <c r="U63" s="12" t="s">
        <v>1641</v>
      </c>
      <c r="V63" s="12" t="s">
        <v>1642</v>
      </c>
      <c r="W63" s="12" t="s">
        <v>1643</v>
      </c>
      <c r="X63" s="12" t="s">
        <v>1644</v>
      </c>
      <c r="Y63" s="12" t="s">
        <v>1645</v>
      </c>
      <c r="Z63" s="12" t="s">
        <v>1646</v>
      </c>
      <c r="AA63" s="12" t="s">
        <v>598</v>
      </c>
      <c r="AB63" s="12" t="s">
        <v>598</v>
      </c>
      <c r="AC63" s="12" t="s">
        <v>1647</v>
      </c>
      <c r="AD63" s="12" t="s">
        <v>1648</v>
      </c>
      <c r="AE63" s="12" t="s">
        <v>1649</v>
      </c>
      <c r="AF63" s="12" t="s">
        <v>598</v>
      </c>
      <c r="AG63" s="12">
        <v>30.0</v>
      </c>
      <c r="AH63" s="12">
        <v>33.0</v>
      </c>
      <c r="AI63" s="12">
        <v>37.0</v>
      </c>
      <c r="AJ63" s="12">
        <v>1.0</v>
      </c>
      <c r="AK63" s="12">
        <v>24.0</v>
      </c>
      <c r="AL63" s="12" t="s">
        <v>765</v>
      </c>
      <c r="AM63" s="12" t="s">
        <v>652</v>
      </c>
      <c r="AN63" s="12" t="s">
        <v>766</v>
      </c>
      <c r="AO63" s="12" t="s">
        <v>1650</v>
      </c>
      <c r="AP63" s="12" t="s">
        <v>1651</v>
      </c>
      <c r="AQ63" s="12" t="s">
        <v>598</v>
      </c>
      <c r="AR63" s="12" t="s">
        <v>1652</v>
      </c>
      <c r="AS63" s="12" t="s">
        <v>1653</v>
      </c>
      <c r="AT63" s="12" t="s">
        <v>1654</v>
      </c>
      <c r="AU63" s="12">
        <v>2010.0</v>
      </c>
      <c r="AV63" s="12">
        <v>29.0</v>
      </c>
      <c r="AW63" s="12">
        <v>9.0</v>
      </c>
      <c r="AX63" s="12" t="s">
        <v>598</v>
      </c>
      <c r="AY63" s="12" t="s">
        <v>598</v>
      </c>
      <c r="AZ63" s="12" t="s">
        <v>598</v>
      </c>
      <c r="BA63" s="12" t="s">
        <v>598</v>
      </c>
      <c r="BB63" s="12">
        <v>957.0</v>
      </c>
      <c r="BC63" s="12">
        <v>962.0</v>
      </c>
      <c r="BD63" s="12" t="s">
        <v>598</v>
      </c>
      <c r="BE63" s="12" t="s">
        <v>1655</v>
      </c>
      <c r="BF63" s="13" t="str">
        <f>HYPERLINK("http://dx.doi.org/10.1016/j.cropro.2010.05.001","http://dx.doi.org/10.1016/j.cropro.2010.05.001")</f>
        <v>http://dx.doi.org/10.1016/j.cropro.2010.05.001</v>
      </c>
      <c r="BG63" s="12" t="s">
        <v>598</v>
      </c>
      <c r="BH63" s="12" t="s">
        <v>598</v>
      </c>
      <c r="BI63" s="12">
        <v>6.0</v>
      </c>
      <c r="BJ63" s="12" t="s">
        <v>1560</v>
      </c>
      <c r="BK63" s="12" t="s">
        <v>618</v>
      </c>
      <c r="BL63" s="12" t="s">
        <v>638</v>
      </c>
      <c r="BM63" s="12" t="s">
        <v>1656</v>
      </c>
      <c r="BN63" s="12" t="s">
        <v>598</v>
      </c>
      <c r="BO63" s="12" t="s">
        <v>598</v>
      </c>
      <c r="BP63" s="12" t="s">
        <v>598</v>
      </c>
      <c r="BQ63" s="12" t="s">
        <v>598</v>
      </c>
      <c r="BR63" s="12" t="s">
        <v>620</v>
      </c>
      <c r="BS63" s="12" t="s">
        <v>1657</v>
      </c>
      <c r="BT63" s="12" t="str">
        <f>HYPERLINK("https%3A%2F%2Fwww.webofscience.com%2Fwos%2Fwoscc%2Ffull-record%2FWOS:000281107700008","View Full Record in Web of Science")</f>
        <v>View Full Record in Web of Science</v>
      </c>
    </row>
    <row r="64" ht="12.75" customHeight="1">
      <c r="A64" s="12" t="s">
        <v>596</v>
      </c>
      <c r="B64" s="12" t="s">
        <v>1658</v>
      </c>
      <c r="C64" s="12" t="s">
        <v>598</v>
      </c>
      <c r="D64" s="12" t="s">
        <v>598</v>
      </c>
      <c r="E64" s="12" t="s">
        <v>598</v>
      </c>
      <c r="F64" s="12" t="s">
        <v>1659</v>
      </c>
      <c r="G64" s="12" t="s">
        <v>598</v>
      </c>
      <c r="H64" s="12" t="s">
        <v>598</v>
      </c>
      <c r="I64" s="12" t="s">
        <v>1660</v>
      </c>
      <c r="J64" s="12" t="s">
        <v>1661</v>
      </c>
      <c r="K64" s="12" t="s">
        <v>598</v>
      </c>
      <c r="L64" s="12" t="s">
        <v>598</v>
      </c>
      <c r="M64" s="12" t="s">
        <v>600</v>
      </c>
      <c r="N64" s="12" t="s">
        <v>601</v>
      </c>
      <c r="O64" s="12" t="s">
        <v>598</v>
      </c>
      <c r="P64" s="12" t="s">
        <v>598</v>
      </c>
      <c r="Q64" s="12" t="s">
        <v>598</v>
      </c>
      <c r="R64" s="12" t="s">
        <v>598</v>
      </c>
      <c r="S64" s="12" t="s">
        <v>598</v>
      </c>
      <c r="T64" s="12" t="s">
        <v>1662</v>
      </c>
      <c r="U64" s="12" t="s">
        <v>1663</v>
      </c>
      <c r="V64" s="12" t="s">
        <v>1664</v>
      </c>
      <c r="W64" s="12" t="s">
        <v>1665</v>
      </c>
      <c r="X64" s="12" t="s">
        <v>1666</v>
      </c>
      <c r="Y64" s="12" t="s">
        <v>1667</v>
      </c>
      <c r="Z64" s="12" t="s">
        <v>1668</v>
      </c>
      <c r="AA64" s="12" t="s">
        <v>1669</v>
      </c>
      <c r="AB64" s="12" t="s">
        <v>1670</v>
      </c>
      <c r="AC64" s="12" t="s">
        <v>1671</v>
      </c>
      <c r="AD64" s="12" t="s">
        <v>1672</v>
      </c>
      <c r="AE64" s="12" t="s">
        <v>1673</v>
      </c>
      <c r="AF64" s="12" t="s">
        <v>598</v>
      </c>
      <c r="AG64" s="12">
        <v>52.0</v>
      </c>
      <c r="AH64" s="12">
        <v>70.0</v>
      </c>
      <c r="AI64" s="12">
        <v>78.0</v>
      </c>
      <c r="AJ64" s="12">
        <v>4.0</v>
      </c>
      <c r="AK64" s="12">
        <v>96.0</v>
      </c>
      <c r="AL64" s="12" t="s">
        <v>670</v>
      </c>
      <c r="AM64" s="12" t="s">
        <v>671</v>
      </c>
      <c r="AN64" s="12" t="s">
        <v>672</v>
      </c>
      <c r="AO64" s="12" t="s">
        <v>1674</v>
      </c>
      <c r="AP64" s="12" t="s">
        <v>1675</v>
      </c>
      <c r="AQ64" s="12" t="s">
        <v>598</v>
      </c>
      <c r="AR64" s="12" t="s">
        <v>1676</v>
      </c>
      <c r="AS64" s="12" t="s">
        <v>1677</v>
      </c>
      <c r="AT64" s="12" t="s">
        <v>852</v>
      </c>
      <c r="AU64" s="12">
        <v>2010.0</v>
      </c>
      <c r="AV64" s="12">
        <v>45.0</v>
      </c>
      <c r="AW64" s="12">
        <v>2.0</v>
      </c>
      <c r="AX64" s="12" t="s">
        <v>598</v>
      </c>
      <c r="AY64" s="12" t="s">
        <v>598</v>
      </c>
      <c r="AZ64" s="12" t="s">
        <v>598</v>
      </c>
      <c r="BA64" s="12" t="s">
        <v>598</v>
      </c>
      <c r="BB64" s="12">
        <v>125.0</v>
      </c>
      <c r="BC64" s="12">
        <v>142.0</v>
      </c>
      <c r="BD64" s="12" t="s">
        <v>598</v>
      </c>
      <c r="BE64" s="12" t="s">
        <v>1678</v>
      </c>
      <c r="BF64" s="13" t="str">
        <f>HYPERLINK("http://dx.doi.org/10.1007/s12224-010-9062-9","http://dx.doi.org/10.1007/s12224-010-9062-9")</f>
        <v>http://dx.doi.org/10.1007/s12224-010-9062-9</v>
      </c>
      <c r="BG64" s="12" t="s">
        <v>598</v>
      </c>
      <c r="BH64" s="12" t="s">
        <v>598</v>
      </c>
      <c r="BI64" s="12">
        <v>18.0</v>
      </c>
      <c r="BJ64" s="12" t="s">
        <v>1679</v>
      </c>
      <c r="BK64" s="12" t="s">
        <v>618</v>
      </c>
      <c r="BL64" s="12" t="s">
        <v>1679</v>
      </c>
      <c r="BM64" s="12" t="s">
        <v>1680</v>
      </c>
      <c r="BN64" s="12" t="s">
        <v>598</v>
      </c>
      <c r="BO64" s="12" t="s">
        <v>598</v>
      </c>
      <c r="BP64" s="12" t="s">
        <v>598</v>
      </c>
      <c r="BQ64" s="12" t="s">
        <v>598</v>
      </c>
      <c r="BR64" s="12" t="s">
        <v>620</v>
      </c>
      <c r="BS64" s="12" t="s">
        <v>1681</v>
      </c>
      <c r="BT64" s="12" t="str">
        <f>HYPERLINK("https%3A%2F%2Fwww.webofscience.com%2Fwos%2Fwoscc%2Ffull-record%2FWOS:000281207800002","View Full Record in Web of Science")</f>
        <v>View Full Record in Web of Science</v>
      </c>
    </row>
    <row r="65" ht="12.75" customHeight="1">
      <c r="A65" s="12" t="s">
        <v>596</v>
      </c>
      <c r="B65" s="12" t="s">
        <v>1682</v>
      </c>
      <c r="C65" s="12" t="s">
        <v>598</v>
      </c>
      <c r="D65" s="12" t="s">
        <v>598</v>
      </c>
      <c r="E65" s="12" t="s">
        <v>598</v>
      </c>
      <c r="F65" s="12" t="s">
        <v>1683</v>
      </c>
      <c r="G65" s="12" t="s">
        <v>598</v>
      </c>
      <c r="H65" s="12" t="s">
        <v>598</v>
      </c>
      <c r="I65" s="12" t="s">
        <v>50</v>
      </c>
      <c r="J65" s="12" t="s">
        <v>757</v>
      </c>
      <c r="K65" s="12" t="s">
        <v>598</v>
      </c>
      <c r="L65" s="12" t="s">
        <v>598</v>
      </c>
      <c r="M65" s="12" t="s">
        <v>600</v>
      </c>
      <c r="N65" s="12" t="s">
        <v>601</v>
      </c>
      <c r="O65" s="12" t="s">
        <v>598</v>
      </c>
      <c r="P65" s="12" t="s">
        <v>598</v>
      </c>
      <c r="Q65" s="12" t="s">
        <v>598</v>
      </c>
      <c r="R65" s="12" t="s">
        <v>598</v>
      </c>
      <c r="S65" s="12" t="s">
        <v>598</v>
      </c>
      <c r="T65" s="12" t="s">
        <v>1684</v>
      </c>
      <c r="U65" s="12" t="s">
        <v>1685</v>
      </c>
      <c r="V65" s="12" t="s">
        <v>1686</v>
      </c>
      <c r="W65" s="12" t="s">
        <v>1687</v>
      </c>
      <c r="X65" s="12" t="s">
        <v>1688</v>
      </c>
      <c r="Y65" s="12" t="s">
        <v>1689</v>
      </c>
      <c r="Z65" s="12" t="s">
        <v>1690</v>
      </c>
      <c r="AA65" s="12" t="s">
        <v>1691</v>
      </c>
      <c r="AB65" s="12" t="s">
        <v>1692</v>
      </c>
      <c r="AC65" s="12" t="s">
        <v>1693</v>
      </c>
      <c r="AD65" s="12" t="s">
        <v>1694</v>
      </c>
      <c r="AE65" s="12" t="s">
        <v>1695</v>
      </c>
      <c r="AF65" s="12" t="s">
        <v>598</v>
      </c>
      <c r="AG65" s="12">
        <v>73.0</v>
      </c>
      <c r="AH65" s="12">
        <v>148.0</v>
      </c>
      <c r="AI65" s="12">
        <v>173.0</v>
      </c>
      <c r="AJ65" s="12">
        <v>1.0</v>
      </c>
      <c r="AK65" s="12">
        <v>104.0</v>
      </c>
      <c r="AL65" s="12" t="s">
        <v>765</v>
      </c>
      <c r="AM65" s="12" t="s">
        <v>652</v>
      </c>
      <c r="AN65" s="12" t="s">
        <v>766</v>
      </c>
      <c r="AO65" s="12" t="s">
        <v>767</v>
      </c>
      <c r="AP65" s="12" t="s">
        <v>868</v>
      </c>
      <c r="AQ65" s="12" t="s">
        <v>598</v>
      </c>
      <c r="AR65" s="12" t="s">
        <v>768</v>
      </c>
      <c r="AS65" s="12" t="s">
        <v>769</v>
      </c>
      <c r="AT65" s="12" t="s">
        <v>1197</v>
      </c>
      <c r="AU65" s="12">
        <v>2011.0</v>
      </c>
      <c r="AV65" s="12">
        <v>144.0</v>
      </c>
      <c r="AW65" s="12">
        <v>1.0</v>
      </c>
      <c r="AX65" s="12" t="s">
        <v>598</v>
      </c>
      <c r="AY65" s="12" t="s">
        <v>598</v>
      </c>
      <c r="AZ65" s="12" t="s">
        <v>598</v>
      </c>
      <c r="BA65" s="12" t="s">
        <v>598</v>
      </c>
      <c r="BB65" s="12">
        <v>166.0</v>
      </c>
      <c r="BC65" s="12">
        <v>174.0</v>
      </c>
      <c r="BD65" s="12" t="s">
        <v>598</v>
      </c>
      <c r="BE65" s="12" t="s">
        <v>1696</v>
      </c>
      <c r="BF65" s="13" t="str">
        <f>HYPERLINK("http://dx.doi.org/10.1016/j.biocon.2010.08.011","http://dx.doi.org/10.1016/j.biocon.2010.08.011")</f>
        <v>http://dx.doi.org/10.1016/j.biocon.2010.08.011</v>
      </c>
      <c r="BG65" s="12" t="s">
        <v>598</v>
      </c>
      <c r="BH65" s="12" t="s">
        <v>598</v>
      </c>
      <c r="BI65" s="12">
        <v>9.0</v>
      </c>
      <c r="BJ65" s="12" t="s">
        <v>678</v>
      </c>
      <c r="BK65" s="12" t="s">
        <v>618</v>
      </c>
      <c r="BL65" s="12" t="s">
        <v>679</v>
      </c>
      <c r="BM65" s="12" t="s">
        <v>1697</v>
      </c>
      <c r="BN65" s="12" t="s">
        <v>598</v>
      </c>
      <c r="BO65" s="12" t="s">
        <v>598</v>
      </c>
      <c r="BP65" s="12" t="s">
        <v>598</v>
      </c>
      <c r="BQ65" s="12" t="s">
        <v>598</v>
      </c>
      <c r="BR65" s="12" t="s">
        <v>620</v>
      </c>
      <c r="BS65" s="12" t="s">
        <v>1698</v>
      </c>
      <c r="BT65" s="12" t="str">
        <f>HYPERLINK("https%3A%2F%2Fwww.webofscience.com%2Fwos%2Fwoscc%2Ffull-record%2FWOS:000287168100017","View Full Record in Web of Science")</f>
        <v>View Full Record in Web of Science</v>
      </c>
    </row>
    <row r="66" ht="12.75" customHeight="1">
      <c r="A66" s="12" t="s">
        <v>596</v>
      </c>
      <c r="B66" s="12" t="s">
        <v>1699</v>
      </c>
      <c r="C66" s="12" t="s">
        <v>598</v>
      </c>
      <c r="D66" s="12" t="s">
        <v>598</v>
      </c>
      <c r="E66" s="12" t="s">
        <v>598</v>
      </c>
      <c r="F66" s="12" t="s">
        <v>1700</v>
      </c>
      <c r="G66" s="12" t="s">
        <v>598</v>
      </c>
      <c r="H66" s="12" t="s">
        <v>598</v>
      </c>
      <c r="I66" s="12" t="s">
        <v>1701</v>
      </c>
      <c r="J66" s="12" t="s">
        <v>683</v>
      </c>
      <c r="K66" s="12" t="s">
        <v>598</v>
      </c>
      <c r="L66" s="12" t="s">
        <v>598</v>
      </c>
      <c r="M66" s="12" t="s">
        <v>600</v>
      </c>
      <c r="N66" s="12" t="s">
        <v>601</v>
      </c>
      <c r="O66" s="12" t="s">
        <v>598</v>
      </c>
      <c r="P66" s="12" t="s">
        <v>598</v>
      </c>
      <c r="Q66" s="12" t="s">
        <v>598</v>
      </c>
      <c r="R66" s="12" t="s">
        <v>598</v>
      </c>
      <c r="S66" s="12" t="s">
        <v>598</v>
      </c>
      <c r="T66" s="12" t="s">
        <v>1702</v>
      </c>
      <c r="U66" s="12" t="s">
        <v>1703</v>
      </c>
      <c r="V66" s="12" t="s">
        <v>1704</v>
      </c>
      <c r="W66" s="12" t="s">
        <v>1705</v>
      </c>
      <c r="X66" s="12" t="s">
        <v>1706</v>
      </c>
      <c r="Y66" s="12" t="s">
        <v>1707</v>
      </c>
      <c r="Z66" s="12" t="s">
        <v>1708</v>
      </c>
      <c r="AA66" s="12" t="s">
        <v>1709</v>
      </c>
      <c r="AB66" s="12" t="s">
        <v>1710</v>
      </c>
      <c r="AC66" s="12" t="s">
        <v>1711</v>
      </c>
      <c r="AD66" s="12" t="s">
        <v>1712</v>
      </c>
      <c r="AE66" s="12" t="s">
        <v>1713</v>
      </c>
      <c r="AF66" s="12" t="s">
        <v>598</v>
      </c>
      <c r="AG66" s="12">
        <v>51.0</v>
      </c>
      <c r="AH66" s="12">
        <v>52.0</v>
      </c>
      <c r="AI66" s="12">
        <v>60.0</v>
      </c>
      <c r="AJ66" s="12">
        <v>1.0</v>
      </c>
      <c r="AK66" s="12">
        <v>82.0</v>
      </c>
      <c r="AL66" s="12" t="s">
        <v>608</v>
      </c>
      <c r="AM66" s="12" t="s">
        <v>609</v>
      </c>
      <c r="AN66" s="12" t="s">
        <v>610</v>
      </c>
      <c r="AO66" s="12" t="s">
        <v>690</v>
      </c>
      <c r="AP66" s="12" t="s">
        <v>598</v>
      </c>
      <c r="AQ66" s="12" t="s">
        <v>598</v>
      </c>
      <c r="AR66" s="12" t="s">
        <v>691</v>
      </c>
      <c r="AS66" s="12" t="s">
        <v>692</v>
      </c>
      <c r="AT66" s="12" t="s">
        <v>1714</v>
      </c>
      <c r="AU66" s="12">
        <v>2010.0</v>
      </c>
      <c r="AV66" s="12">
        <v>139.0</v>
      </c>
      <c r="AW66" s="12">
        <v>4.0</v>
      </c>
      <c r="AX66" s="12" t="s">
        <v>598</v>
      </c>
      <c r="AY66" s="12" t="s">
        <v>598</v>
      </c>
      <c r="AZ66" s="12" t="s">
        <v>598</v>
      </c>
      <c r="BA66" s="12" t="s">
        <v>598</v>
      </c>
      <c r="BB66" s="12">
        <v>571.0</v>
      </c>
      <c r="BC66" s="12">
        <v>577.0</v>
      </c>
      <c r="BD66" s="12" t="s">
        <v>598</v>
      </c>
      <c r="BE66" s="12" t="s">
        <v>1715</v>
      </c>
      <c r="BF66" s="13" t="str">
        <f>HYPERLINK("http://dx.doi.org/10.1016/j.agee.2010.09.018","http://dx.doi.org/10.1016/j.agee.2010.09.018")</f>
        <v>http://dx.doi.org/10.1016/j.agee.2010.09.018</v>
      </c>
      <c r="BG66" s="12" t="s">
        <v>598</v>
      </c>
      <c r="BH66" s="12" t="s">
        <v>598</v>
      </c>
      <c r="BI66" s="12">
        <v>7.0</v>
      </c>
      <c r="BJ66" s="12" t="s">
        <v>695</v>
      </c>
      <c r="BK66" s="12" t="s">
        <v>618</v>
      </c>
      <c r="BL66" s="12" t="s">
        <v>696</v>
      </c>
      <c r="BM66" s="12" t="s">
        <v>1716</v>
      </c>
      <c r="BN66" s="12" t="s">
        <v>598</v>
      </c>
      <c r="BO66" s="12" t="s">
        <v>1201</v>
      </c>
      <c r="BP66" s="12" t="s">
        <v>598</v>
      </c>
      <c r="BQ66" s="12" t="s">
        <v>598</v>
      </c>
      <c r="BR66" s="12" t="s">
        <v>620</v>
      </c>
      <c r="BS66" s="12" t="s">
        <v>1717</v>
      </c>
      <c r="BT66" s="12" t="str">
        <f>HYPERLINK("https%3A%2F%2Fwww.webofscience.com%2Fwos%2Fwoscc%2Ffull-record%2FWOS:000287277100016","View Full Record in Web of Science")</f>
        <v>View Full Record in Web of Science</v>
      </c>
    </row>
    <row r="67" ht="12.75" customHeight="1">
      <c r="A67" s="12" t="s">
        <v>596</v>
      </c>
      <c r="B67" s="12" t="s">
        <v>1718</v>
      </c>
      <c r="C67" s="12" t="s">
        <v>598</v>
      </c>
      <c r="D67" s="12" t="s">
        <v>598</v>
      </c>
      <c r="E67" s="12" t="s">
        <v>598</v>
      </c>
      <c r="F67" s="12" t="s">
        <v>1719</v>
      </c>
      <c r="G67" s="12" t="s">
        <v>598</v>
      </c>
      <c r="H67" s="12" t="s">
        <v>598</v>
      </c>
      <c r="I67" s="12" t="s">
        <v>159</v>
      </c>
      <c r="J67" s="12" t="s">
        <v>739</v>
      </c>
      <c r="K67" s="12" t="s">
        <v>598</v>
      </c>
      <c r="L67" s="12" t="s">
        <v>598</v>
      </c>
      <c r="M67" s="12" t="s">
        <v>600</v>
      </c>
      <c r="N67" s="12" t="s">
        <v>601</v>
      </c>
      <c r="O67" s="12" t="s">
        <v>598</v>
      </c>
      <c r="P67" s="12" t="s">
        <v>598</v>
      </c>
      <c r="Q67" s="12" t="s">
        <v>598</v>
      </c>
      <c r="R67" s="12" t="s">
        <v>598</v>
      </c>
      <c r="S67" s="12" t="s">
        <v>598</v>
      </c>
      <c r="T67" s="12" t="s">
        <v>1720</v>
      </c>
      <c r="U67" s="12" t="s">
        <v>1721</v>
      </c>
      <c r="V67" s="12" t="s">
        <v>1722</v>
      </c>
      <c r="W67" s="12" t="s">
        <v>1723</v>
      </c>
      <c r="X67" s="12" t="s">
        <v>1724</v>
      </c>
      <c r="Y67" s="12" t="s">
        <v>1725</v>
      </c>
      <c r="Z67" s="12" t="s">
        <v>1726</v>
      </c>
      <c r="AA67" s="12" t="s">
        <v>598</v>
      </c>
      <c r="AB67" s="12" t="s">
        <v>598</v>
      </c>
      <c r="AC67" s="12" t="s">
        <v>1727</v>
      </c>
      <c r="AD67" s="12" t="s">
        <v>1727</v>
      </c>
      <c r="AE67" s="12" t="s">
        <v>1728</v>
      </c>
      <c r="AF67" s="12" t="s">
        <v>598</v>
      </c>
      <c r="AG67" s="12">
        <v>57.0</v>
      </c>
      <c r="AH67" s="12">
        <v>31.0</v>
      </c>
      <c r="AI67" s="12">
        <v>43.0</v>
      </c>
      <c r="AJ67" s="12">
        <v>1.0</v>
      </c>
      <c r="AK67" s="12">
        <v>55.0</v>
      </c>
      <c r="AL67" s="12" t="s">
        <v>708</v>
      </c>
      <c r="AM67" s="12" t="s">
        <v>709</v>
      </c>
      <c r="AN67" s="12" t="s">
        <v>710</v>
      </c>
      <c r="AO67" s="12" t="s">
        <v>746</v>
      </c>
      <c r="AP67" s="12" t="s">
        <v>747</v>
      </c>
      <c r="AQ67" s="12" t="s">
        <v>598</v>
      </c>
      <c r="AR67" s="12" t="s">
        <v>748</v>
      </c>
      <c r="AS67" s="12" t="s">
        <v>749</v>
      </c>
      <c r="AT67" s="12" t="s">
        <v>924</v>
      </c>
      <c r="AU67" s="12">
        <v>2011.0</v>
      </c>
      <c r="AV67" s="12">
        <v>21.0</v>
      </c>
      <c r="AW67" s="12">
        <v>3.0</v>
      </c>
      <c r="AX67" s="12" t="s">
        <v>598</v>
      </c>
      <c r="AY67" s="12" t="s">
        <v>598</v>
      </c>
      <c r="AZ67" s="12" t="s">
        <v>598</v>
      </c>
      <c r="BA67" s="12" t="s">
        <v>598</v>
      </c>
      <c r="BB67" s="12">
        <v>806.0</v>
      </c>
      <c r="BC67" s="12">
        <v>816.0</v>
      </c>
      <c r="BD67" s="12" t="s">
        <v>598</v>
      </c>
      <c r="BE67" s="12" t="s">
        <v>1729</v>
      </c>
      <c r="BF67" s="13" t="str">
        <f>HYPERLINK("http://dx.doi.org/10.1890/10-0715.1","http://dx.doi.org/10.1890/10-0715.1")</f>
        <v>http://dx.doi.org/10.1890/10-0715.1</v>
      </c>
      <c r="BG67" s="12" t="s">
        <v>598</v>
      </c>
      <c r="BH67" s="12" t="s">
        <v>598</v>
      </c>
      <c r="BI67" s="12">
        <v>11.0</v>
      </c>
      <c r="BJ67" s="12" t="s">
        <v>752</v>
      </c>
      <c r="BK67" s="12" t="s">
        <v>618</v>
      </c>
      <c r="BL67" s="12" t="s">
        <v>753</v>
      </c>
      <c r="BM67" s="12" t="s">
        <v>1730</v>
      </c>
      <c r="BN67" s="12">
        <v>2.1639046E7</v>
      </c>
      <c r="BO67" s="12" t="s">
        <v>598</v>
      </c>
      <c r="BP67" s="12" t="s">
        <v>598</v>
      </c>
      <c r="BQ67" s="12" t="s">
        <v>598</v>
      </c>
      <c r="BR67" s="12" t="s">
        <v>620</v>
      </c>
      <c r="BS67" s="12" t="s">
        <v>1731</v>
      </c>
      <c r="BT67" s="12" t="str">
        <f>HYPERLINK("https%3A%2F%2Fwww.webofscience.com%2Fwos%2Fwoscc%2Ffull-record%2FWOS:000290661300014","View Full Record in Web of Science")</f>
        <v>View Full Record in Web of Science</v>
      </c>
    </row>
    <row r="68" ht="12.75" customHeight="1">
      <c r="A68" s="12" t="s">
        <v>596</v>
      </c>
      <c r="B68" s="12" t="s">
        <v>1732</v>
      </c>
      <c r="C68" s="12" t="s">
        <v>598</v>
      </c>
      <c r="D68" s="12" t="s">
        <v>598</v>
      </c>
      <c r="E68" s="12" t="s">
        <v>598</v>
      </c>
      <c r="F68" s="12" t="s">
        <v>1733</v>
      </c>
      <c r="G68" s="12" t="s">
        <v>598</v>
      </c>
      <c r="H68" s="12" t="s">
        <v>598</v>
      </c>
      <c r="I68" s="12" t="s">
        <v>143</v>
      </c>
      <c r="J68" s="12" t="s">
        <v>1734</v>
      </c>
      <c r="K68" s="12" t="s">
        <v>598</v>
      </c>
      <c r="L68" s="12" t="s">
        <v>598</v>
      </c>
      <c r="M68" s="12" t="s">
        <v>600</v>
      </c>
      <c r="N68" s="12" t="s">
        <v>601</v>
      </c>
      <c r="O68" s="12" t="s">
        <v>598</v>
      </c>
      <c r="P68" s="12" t="s">
        <v>598</v>
      </c>
      <c r="Q68" s="12" t="s">
        <v>598</v>
      </c>
      <c r="R68" s="12" t="s">
        <v>598</v>
      </c>
      <c r="S68" s="12" t="s">
        <v>598</v>
      </c>
      <c r="T68" s="12" t="s">
        <v>1735</v>
      </c>
      <c r="U68" s="12" t="s">
        <v>1736</v>
      </c>
      <c r="V68" s="12" t="s">
        <v>1737</v>
      </c>
      <c r="W68" s="12" t="s">
        <v>1738</v>
      </c>
      <c r="X68" s="12" t="s">
        <v>1739</v>
      </c>
      <c r="Y68" s="12" t="s">
        <v>1740</v>
      </c>
      <c r="Z68" s="12" t="s">
        <v>1741</v>
      </c>
      <c r="AA68" s="12" t="s">
        <v>1742</v>
      </c>
      <c r="AB68" s="12" t="s">
        <v>1743</v>
      </c>
      <c r="AC68" s="12" t="s">
        <v>1744</v>
      </c>
      <c r="AD68" s="12" t="s">
        <v>1745</v>
      </c>
      <c r="AE68" s="12" t="s">
        <v>1746</v>
      </c>
      <c r="AF68" s="12" t="s">
        <v>598</v>
      </c>
      <c r="AG68" s="12">
        <v>51.0</v>
      </c>
      <c r="AH68" s="12">
        <v>12.0</v>
      </c>
      <c r="AI68" s="12">
        <v>12.0</v>
      </c>
      <c r="AJ68" s="12">
        <v>0.0</v>
      </c>
      <c r="AK68" s="12">
        <v>34.0</v>
      </c>
      <c r="AL68" s="12" t="s">
        <v>1747</v>
      </c>
      <c r="AM68" s="12" t="s">
        <v>1748</v>
      </c>
      <c r="AN68" s="12" t="s">
        <v>1749</v>
      </c>
      <c r="AO68" s="12" t="s">
        <v>1750</v>
      </c>
      <c r="AP68" s="12" t="s">
        <v>1751</v>
      </c>
      <c r="AQ68" s="12" t="s">
        <v>598</v>
      </c>
      <c r="AR68" s="12" t="s">
        <v>1752</v>
      </c>
      <c r="AS68" s="12" t="s">
        <v>1753</v>
      </c>
      <c r="AT68" s="12" t="s">
        <v>598</v>
      </c>
      <c r="AU68" s="12">
        <v>2011.0</v>
      </c>
      <c r="AV68" s="12">
        <v>54.0</v>
      </c>
      <c r="AW68" s="12">
        <v>2.0</v>
      </c>
      <c r="AX68" s="12" t="s">
        <v>598</v>
      </c>
      <c r="AY68" s="12" t="s">
        <v>598</v>
      </c>
      <c r="AZ68" s="12" t="s">
        <v>598</v>
      </c>
      <c r="BA68" s="12" t="s">
        <v>598</v>
      </c>
      <c r="BB68" s="12">
        <v>83.0</v>
      </c>
      <c r="BC68" s="12">
        <v>96.0</v>
      </c>
      <c r="BD68" s="12" t="s">
        <v>1754</v>
      </c>
      <c r="BE68" s="12" t="s">
        <v>1755</v>
      </c>
      <c r="BF68" s="13" t="str">
        <f>HYPERLINK("http://dx.doi.org/10.1080/00288233.2011.558904","http://dx.doi.org/10.1080/00288233.2011.558904")</f>
        <v>http://dx.doi.org/10.1080/00288233.2011.558904</v>
      </c>
      <c r="BG68" s="12" t="s">
        <v>598</v>
      </c>
      <c r="BH68" s="12" t="s">
        <v>598</v>
      </c>
      <c r="BI68" s="12">
        <v>14.0</v>
      </c>
      <c r="BJ68" s="12" t="s">
        <v>1756</v>
      </c>
      <c r="BK68" s="12" t="s">
        <v>618</v>
      </c>
      <c r="BL68" s="12" t="s">
        <v>638</v>
      </c>
      <c r="BM68" s="12" t="s">
        <v>1757</v>
      </c>
      <c r="BN68" s="12" t="s">
        <v>598</v>
      </c>
      <c r="BO68" s="12" t="s">
        <v>598</v>
      </c>
      <c r="BP68" s="12" t="s">
        <v>598</v>
      </c>
      <c r="BQ68" s="12" t="s">
        <v>598</v>
      </c>
      <c r="BR68" s="12" t="s">
        <v>620</v>
      </c>
      <c r="BS68" s="12" t="s">
        <v>1758</v>
      </c>
      <c r="BT68" s="12" t="str">
        <f>HYPERLINK("https%3A%2F%2Fwww.webofscience.com%2Fwos%2Fwoscc%2Ffull-record%2FWOS:000290968200002","View Full Record in Web of Science")</f>
        <v>View Full Record in Web of Science</v>
      </c>
    </row>
    <row r="69" ht="12.75" customHeight="1">
      <c r="A69" s="12" t="s">
        <v>596</v>
      </c>
      <c r="B69" s="12" t="s">
        <v>1759</v>
      </c>
      <c r="C69" s="12" t="s">
        <v>598</v>
      </c>
      <c r="D69" s="12" t="s">
        <v>598</v>
      </c>
      <c r="E69" s="12" t="s">
        <v>598</v>
      </c>
      <c r="F69" s="12" t="s">
        <v>1760</v>
      </c>
      <c r="G69" s="12" t="s">
        <v>598</v>
      </c>
      <c r="H69" s="12" t="s">
        <v>598</v>
      </c>
      <c r="I69" s="12" t="s">
        <v>58</v>
      </c>
      <c r="J69" s="12" t="s">
        <v>599</v>
      </c>
      <c r="K69" s="12" t="s">
        <v>598</v>
      </c>
      <c r="L69" s="12" t="s">
        <v>598</v>
      </c>
      <c r="M69" s="12" t="s">
        <v>600</v>
      </c>
      <c r="N69" s="12" t="s">
        <v>601</v>
      </c>
      <c r="O69" s="12" t="s">
        <v>598</v>
      </c>
      <c r="P69" s="12" t="s">
        <v>598</v>
      </c>
      <c r="Q69" s="12" t="s">
        <v>598</v>
      </c>
      <c r="R69" s="12" t="s">
        <v>598</v>
      </c>
      <c r="S69" s="12" t="s">
        <v>598</v>
      </c>
      <c r="T69" s="12" t="s">
        <v>1761</v>
      </c>
      <c r="U69" s="12" t="s">
        <v>1762</v>
      </c>
      <c r="V69" s="12" t="s">
        <v>1763</v>
      </c>
      <c r="W69" s="12" t="s">
        <v>1764</v>
      </c>
      <c r="X69" s="12" t="s">
        <v>1765</v>
      </c>
      <c r="Y69" s="12" t="s">
        <v>1766</v>
      </c>
      <c r="Z69" s="12" t="s">
        <v>1767</v>
      </c>
      <c r="AA69" s="12" t="s">
        <v>1768</v>
      </c>
      <c r="AB69" s="12" t="s">
        <v>1769</v>
      </c>
      <c r="AC69" s="12" t="s">
        <v>1770</v>
      </c>
      <c r="AD69" s="12" t="s">
        <v>1770</v>
      </c>
      <c r="AE69" s="12" t="s">
        <v>1771</v>
      </c>
      <c r="AF69" s="12" t="s">
        <v>598</v>
      </c>
      <c r="AG69" s="12">
        <v>49.0</v>
      </c>
      <c r="AH69" s="12">
        <v>9.0</v>
      </c>
      <c r="AI69" s="12">
        <v>14.0</v>
      </c>
      <c r="AJ69" s="12">
        <v>1.0</v>
      </c>
      <c r="AK69" s="12">
        <v>43.0</v>
      </c>
      <c r="AL69" s="12" t="s">
        <v>731</v>
      </c>
      <c r="AM69" s="12" t="s">
        <v>609</v>
      </c>
      <c r="AN69" s="12" t="s">
        <v>732</v>
      </c>
      <c r="AO69" s="12" t="s">
        <v>611</v>
      </c>
      <c r="AP69" s="12" t="s">
        <v>733</v>
      </c>
      <c r="AQ69" s="12" t="s">
        <v>598</v>
      </c>
      <c r="AR69" s="12" t="s">
        <v>612</v>
      </c>
      <c r="AS69" s="12" t="s">
        <v>613</v>
      </c>
      <c r="AT69" s="12" t="s">
        <v>734</v>
      </c>
      <c r="AU69" s="12">
        <v>2011.0</v>
      </c>
      <c r="AV69" s="12">
        <v>261.0</v>
      </c>
      <c r="AW69" s="12">
        <v>11.0</v>
      </c>
      <c r="AX69" s="12" t="s">
        <v>598</v>
      </c>
      <c r="AY69" s="12" t="s">
        <v>598</v>
      </c>
      <c r="AZ69" s="12" t="s">
        <v>598</v>
      </c>
      <c r="BA69" s="12" t="s">
        <v>598</v>
      </c>
      <c r="BB69" s="12">
        <v>1892.0</v>
      </c>
      <c r="BC69" s="12">
        <v>1900.0</v>
      </c>
      <c r="BD69" s="12" t="s">
        <v>598</v>
      </c>
      <c r="BE69" s="12" t="s">
        <v>1772</v>
      </c>
      <c r="BF69" s="13" t="str">
        <f>HYPERLINK("http://dx.doi.org/10.1016/j.foreco.2011.02.012","http://dx.doi.org/10.1016/j.foreco.2011.02.012")</f>
        <v>http://dx.doi.org/10.1016/j.foreco.2011.02.012</v>
      </c>
      <c r="BG69" s="12" t="s">
        <v>598</v>
      </c>
      <c r="BH69" s="12" t="s">
        <v>598</v>
      </c>
      <c r="BI69" s="12">
        <v>9.0</v>
      </c>
      <c r="BJ69" s="12" t="s">
        <v>617</v>
      </c>
      <c r="BK69" s="12" t="s">
        <v>618</v>
      </c>
      <c r="BL69" s="12" t="s">
        <v>617</v>
      </c>
      <c r="BM69" s="12" t="s">
        <v>1773</v>
      </c>
      <c r="BN69" s="12" t="s">
        <v>598</v>
      </c>
      <c r="BO69" s="12" t="s">
        <v>719</v>
      </c>
      <c r="BP69" s="12" t="s">
        <v>598</v>
      </c>
      <c r="BQ69" s="12" t="s">
        <v>598</v>
      </c>
      <c r="BR69" s="12" t="s">
        <v>620</v>
      </c>
      <c r="BS69" s="12" t="s">
        <v>1774</v>
      </c>
      <c r="BT69" s="12" t="str">
        <f>HYPERLINK("https%3A%2F%2Fwww.webofscience.com%2Fwos%2Fwoscc%2Ffull-record%2FWOS:000291125700019","View Full Record in Web of Science")</f>
        <v>View Full Record in Web of Science</v>
      </c>
    </row>
    <row r="70" ht="12.75" customHeight="1">
      <c r="A70" s="12" t="s">
        <v>596</v>
      </c>
      <c r="B70" s="12" t="s">
        <v>1775</v>
      </c>
      <c r="C70" s="12" t="s">
        <v>598</v>
      </c>
      <c r="D70" s="12" t="s">
        <v>598</v>
      </c>
      <c r="E70" s="12" t="s">
        <v>598</v>
      </c>
      <c r="F70" s="12" t="s">
        <v>1776</v>
      </c>
      <c r="G70" s="12" t="s">
        <v>598</v>
      </c>
      <c r="H70" s="12" t="s">
        <v>598</v>
      </c>
      <c r="I70" s="12" t="s">
        <v>62</v>
      </c>
      <c r="J70" s="12" t="s">
        <v>1777</v>
      </c>
      <c r="K70" s="12" t="s">
        <v>598</v>
      </c>
      <c r="L70" s="12" t="s">
        <v>598</v>
      </c>
      <c r="M70" s="12" t="s">
        <v>600</v>
      </c>
      <c r="N70" s="12" t="s">
        <v>601</v>
      </c>
      <c r="O70" s="12" t="s">
        <v>598</v>
      </c>
      <c r="P70" s="12" t="s">
        <v>598</v>
      </c>
      <c r="Q70" s="12" t="s">
        <v>598</v>
      </c>
      <c r="R70" s="12" t="s">
        <v>598</v>
      </c>
      <c r="S70" s="12" t="s">
        <v>598</v>
      </c>
      <c r="T70" s="12" t="s">
        <v>1778</v>
      </c>
      <c r="U70" s="12" t="s">
        <v>1779</v>
      </c>
      <c r="V70" s="12" t="s">
        <v>1780</v>
      </c>
      <c r="W70" s="12" t="s">
        <v>1781</v>
      </c>
      <c r="X70" s="12" t="s">
        <v>1782</v>
      </c>
      <c r="Y70" s="12" t="s">
        <v>1783</v>
      </c>
      <c r="Z70" s="12" t="s">
        <v>1784</v>
      </c>
      <c r="AA70" s="12" t="s">
        <v>1785</v>
      </c>
      <c r="AB70" s="12" t="s">
        <v>1786</v>
      </c>
      <c r="AC70" s="12" t="s">
        <v>1787</v>
      </c>
      <c r="AD70" s="12" t="s">
        <v>1788</v>
      </c>
      <c r="AE70" s="12" t="s">
        <v>1789</v>
      </c>
      <c r="AF70" s="12" t="s">
        <v>598</v>
      </c>
      <c r="AG70" s="12">
        <v>30.0</v>
      </c>
      <c r="AH70" s="12">
        <v>6.0</v>
      </c>
      <c r="AI70" s="12">
        <v>6.0</v>
      </c>
      <c r="AJ70" s="12">
        <v>0.0</v>
      </c>
      <c r="AK70" s="12">
        <v>23.0</v>
      </c>
      <c r="AL70" s="12" t="s">
        <v>1174</v>
      </c>
      <c r="AM70" s="12" t="s">
        <v>1175</v>
      </c>
      <c r="AN70" s="12" t="s">
        <v>1176</v>
      </c>
      <c r="AO70" s="12" t="s">
        <v>1790</v>
      </c>
      <c r="AP70" s="12" t="s">
        <v>598</v>
      </c>
      <c r="AQ70" s="12" t="s">
        <v>598</v>
      </c>
      <c r="AR70" s="12" t="s">
        <v>1791</v>
      </c>
      <c r="AS70" s="12" t="s">
        <v>1792</v>
      </c>
      <c r="AT70" s="12" t="s">
        <v>1160</v>
      </c>
      <c r="AU70" s="12">
        <v>2011.0</v>
      </c>
      <c r="AV70" s="12">
        <v>31.0</v>
      </c>
      <c r="AW70" s="12">
        <v>3.0</v>
      </c>
      <c r="AX70" s="12" t="s">
        <v>598</v>
      </c>
      <c r="AY70" s="12" t="s">
        <v>598</v>
      </c>
      <c r="AZ70" s="12" t="s">
        <v>598</v>
      </c>
      <c r="BA70" s="12" t="s">
        <v>598</v>
      </c>
      <c r="BB70" s="12">
        <v>533.0</v>
      </c>
      <c r="BC70" s="12">
        <v>540.0</v>
      </c>
      <c r="BD70" s="12" t="s">
        <v>598</v>
      </c>
      <c r="BE70" s="12" t="s">
        <v>1793</v>
      </c>
      <c r="BF70" s="13" t="str">
        <f>HYPERLINK("http://dx.doi.org/10.1007/s13593-011-0008-2","http://dx.doi.org/10.1007/s13593-011-0008-2")</f>
        <v>http://dx.doi.org/10.1007/s13593-011-0008-2</v>
      </c>
      <c r="BG70" s="12" t="s">
        <v>598</v>
      </c>
      <c r="BH70" s="12" t="s">
        <v>598</v>
      </c>
      <c r="BI70" s="12">
        <v>8.0</v>
      </c>
      <c r="BJ70" s="12" t="s">
        <v>1794</v>
      </c>
      <c r="BK70" s="12" t="s">
        <v>618</v>
      </c>
      <c r="BL70" s="12" t="s">
        <v>1795</v>
      </c>
      <c r="BM70" s="12" t="s">
        <v>1796</v>
      </c>
      <c r="BN70" s="12" t="s">
        <v>598</v>
      </c>
      <c r="BO70" s="12" t="s">
        <v>954</v>
      </c>
      <c r="BP70" s="12" t="s">
        <v>598</v>
      </c>
      <c r="BQ70" s="12" t="s">
        <v>598</v>
      </c>
      <c r="BR70" s="12" t="s">
        <v>620</v>
      </c>
      <c r="BS70" s="12" t="s">
        <v>1797</v>
      </c>
      <c r="BT70" s="12" t="str">
        <f>HYPERLINK("https%3A%2F%2Fwww.webofscience.com%2Fwos%2Fwoscc%2Ffull-record%2FWOS:000291882200009","View Full Record in Web of Science")</f>
        <v>View Full Record in Web of Science</v>
      </c>
    </row>
    <row r="71" ht="12.75" customHeight="1">
      <c r="A71" s="12" t="s">
        <v>596</v>
      </c>
      <c r="B71" s="12" t="s">
        <v>1798</v>
      </c>
      <c r="C71" s="12" t="s">
        <v>598</v>
      </c>
      <c r="D71" s="12" t="s">
        <v>598</v>
      </c>
      <c r="E71" s="12" t="s">
        <v>598</v>
      </c>
      <c r="F71" s="12" t="s">
        <v>1799</v>
      </c>
      <c r="G71" s="12" t="s">
        <v>598</v>
      </c>
      <c r="H71" s="12" t="s">
        <v>598</v>
      </c>
      <c r="I71" s="12" t="s">
        <v>64</v>
      </c>
      <c r="J71" s="12" t="s">
        <v>683</v>
      </c>
      <c r="K71" s="12" t="s">
        <v>598</v>
      </c>
      <c r="L71" s="12" t="s">
        <v>598</v>
      </c>
      <c r="M71" s="12" t="s">
        <v>600</v>
      </c>
      <c r="N71" s="12" t="s">
        <v>601</v>
      </c>
      <c r="O71" s="12" t="s">
        <v>598</v>
      </c>
      <c r="P71" s="12" t="s">
        <v>598</v>
      </c>
      <c r="Q71" s="12" t="s">
        <v>598</v>
      </c>
      <c r="R71" s="12" t="s">
        <v>598</v>
      </c>
      <c r="S71" s="12" t="s">
        <v>598</v>
      </c>
      <c r="T71" s="12" t="s">
        <v>1800</v>
      </c>
      <c r="U71" s="12" t="s">
        <v>1801</v>
      </c>
      <c r="V71" s="12" t="s">
        <v>1802</v>
      </c>
      <c r="W71" s="12" t="s">
        <v>1803</v>
      </c>
      <c r="X71" s="12" t="s">
        <v>1804</v>
      </c>
      <c r="Y71" s="12" t="s">
        <v>1805</v>
      </c>
      <c r="Z71" s="12" t="s">
        <v>1806</v>
      </c>
      <c r="AA71" s="12" t="s">
        <v>1807</v>
      </c>
      <c r="AB71" s="12" t="s">
        <v>1808</v>
      </c>
      <c r="AC71" s="12" t="s">
        <v>1809</v>
      </c>
      <c r="AD71" s="12" t="s">
        <v>1810</v>
      </c>
      <c r="AE71" s="12" t="s">
        <v>1811</v>
      </c>
      <c r="AF71" s="12" t="s">
        <v>598</v>
      </c>
      <c r="AG71" s="12">
        <v>21.0</v>
      </c>
      <c r="AH71" s="12">
        <v>3.0</v>
      </c>
      <c r="AI71" s="12">
        <v>4.0</v>
      </c>
      <c r="AJ71" s="12">
        <v>1.0</v>
      </c>
      <c r="AK71" s="12">
        <v>32.0</v>
      </c>
      <c r="AL71" s="12" t="s">
        <v>731</v>
      </c>
      <c r="AM71" s="12" t="s">
        <v>609</v>
      </c>
      <c r="AN71" s="12" t="s">
        <v>732</v>
      </c>
      <c r="AO71" s="12" t="s">
        <v>690</v>
      </c>
      <c r="AP71" s="12" t="s">
        <v>936</v>
      </c>
      <c r="AQ71" s="12" t="s">
        <v>598</v>
      </c>
      <c r="AR71" s="12" t="s">
        <v>691</v>
      </c>
      <c r="AS71" s="12" t="s">
        <v>692</v>
      </c>
      <c r="AT71" s="12" t="s">
        <v>750</v>
      </c>
      <c r="AU71" s="12">
        <v>2011.0</v>
      </c>
      <c r="AV71" s="12">
        <v>142.0</v>
      </c>
      <c r="AW71" s="12" t="s">
        <v>635</v>
      </c>
      <c r="AX71" s="12" t="s">
        <v>598</v>
      </c>
      <c r="AY71" s="12" t="s">
        <v>598</v>
      </c>
      <c r="AZ71" s="12" t="s">
        <v>598</v>
      </c>
      <c r="BA71" s="12" t="s">
        <v>598</v>
      </c>
      <c r="BB71" s="12">
        <v>428.0</v>
      </c>
      <c r="BC71" s="12">
        <v>431.0</v>
      </c>
      <c r="BD71" s="12" t="s">
        <v>598</v>
      </c>
      <c r="BE71" s="12" t="s">
        <v>1812</v>
      </c>
      <c r="BF71" s="13" t="str">
        <f>HYPERLINK("http://dx.doi.org/10.1016/j.agee.2011.06.009","http://dx.doi.org/10.1016/j.agee.2011.06.009")</f>
        <v>http://dx.doi.org/10.1016/j.agee.2011.06.009</v>
      </c>
      <c r="BG71" s="12" t="s">
        <v>598</v>
      </c>
      <c r="BH71" s="12" t="s">
        <v>598</v>
      </c>
      <c r="BI71" s="12">
        <v>4.0</v>
      </c>
      <c r="BJ71" s="12" t="s">
        <v>695</v>
      </c>
      <c r="BK71" s="12" t="s">
        <v>618</v>
      </c>
      <c r="BL71" s="12" t="s">
        <v>696</v>
      </c>
      <c r="BM71" s="12" t="s">
        <v>1813</v>
      </c>
      <c r="BN71" s="12" t="s">
        <v>598</v>
      </c>
      <c r="BO71" s="12" t="s">
        <v>598</v>
      </c>
      <c r="BP71" s="12" t="s">
        <v>598</v>
      </c>
      <c r="BQ71" s="12" t="s">
        <v>598</v>
      </c>
      <c r="BR71" s="12" t="s">
        <v>620</v>
      </c>
      <c r="BS71" s="12" t="s">
        <v>1814</v>
      </c>
      <c r="BT71" s="12" t="str">
        <f>HYPERLINK("https%3A%2F%2Fwww.webofscience.com%2Fwos%2Fwoscc%2Ffull-record%2FWOS:000295245100035","View Full Record in Web of Science")</f>
        <v>View Full Record in Web of Science</v>
      </c>
    </row>
    <row r="72" ht="12.75" customHeight="1">
      <c r="A72" s="12" t="s">
        <v>596</v>
      </c>
      <c r="B72" s="12" t="s">
        <v>1815</v>
      </c>
      <c r="C72" s="12" t="s">
        <v>598</v>
      </c>
      <c r="D72" s="12" t="s">
        <v>598</v>
      </c>
      <c r="E72" s="12" t="s">
        <v>598</v>
      </c>
      <c r="F72" s="12" t="s">
        <v>1816</v>
      </c>
      <c r="G72" s="12" t="s">
        <v>598</v>
      </c>
      <c r="H72" s="12" t="s">
        <v>598</v>
      </c>
      <c r="I72" s="12" t="s">
        <v>70</v>
      </c>
      <c r="J72" s="12" t="s">
        <v>1817</v>
      </c>
      <c r="K72" s="12" t="s">
        <v>598</v>
      </c>
      <c r="L72" s="12" t="s">
        <v>598</v>
      </c>
      <c r="M72" s="12" t="s">
        <v>600</v>
      </c>
      <c r="N72" s="12" t="s">
        <v>601</v>
      </c>
      <c r="O72" s="12" t="s">
        <v>598</v>
      </c>
      <c r="P72" s="12" t="s">
        <v>598</v>
      </c>
      <c r="Q72" s="12" t="s">
        <v>598</v>
      </c>
      <c r="R72" s="12" t="s">
        <v>598</v>
      </c>
      <c r="S72" s="12" t="s">
        <v>598</v>
      </c>
      <c r="T72" s="12" t="s">
        <v>1818</v>
      </c>
      <c r="U72" s="12" t="s">
        <v>1819</v>
      </c>
      <c r="V72" s="12" t="s">
        <v>1820</v>
      </c>
      <c r="W72" s="12" t="s">
        <v>1821</v>
      </c>
      <c r="X72" s="12" t="s">
        <v>1822</v>
      </c>
      <c r="Y72" s="12" t="s">
        <v>1823</v>
      </c>
      <c r="Z72" s="12" t="s">
        <v>1824</v>
      </c>
      <c r="AA72" s="12" t="s">
        <v>1825</v>
      </c>
      <c r="AB72" s="12" t="s">
        <v>1826</v>
      </c>
      <c r="AC72" s="12" t="s">
        <v>598</v>
      </c>
      <c r="AD72" s="12" t="s">
        <v>598</v>
      </c>
      <c r="AE72" s="12" t="s">
        <v>598</v>
      </c>
      <c r="AF72" s="12" t="s">
        <v>598</v>
      </c>
      <c r="AG72" s="12">
        <v>132.0</v>
      </c>
      <c r="AH72" s="12">
        <v>32.0</v>
      </c>
      <c r="AI72" s="12">
        <v>36.0</v>
      </c>
      <c r="AJ72" s="12">
        <v>0.0</v>
      </c>
      <c r="AK72" s="12">
        <v>57.0</v>
      </c>
      <c r="AL72" s="12" t="s">
        <v>1827</v>
      </c>
      <c r="AM72" s="12" t="s">
        <v>1828</v>
      </c>
      <c r="AN72" s="12" t="s">
        <v>1829</v>
      </c>
      <c r="AO72" s="12" t="s">
        <v>1830</v>
      </c>
      <c r="AP72" s="12" t="s">
        <v>1831</v>
      </c>
      <c r="AQ72" s="12" t="s">
        <v>598</v>
      </c>
      <c r="AR72" s="12" t="s">
        <v>1832</v>
      </c>
      <c r="AS72" s="12" t="s">
        <v>1833</v>
      </c>
      <c r="AT72" s="12" t="s">
        <v>715</v>
      </c>
      <c r="AU72" s="12">
        <v>2011.0</v>
      </c>
      <c r="AV72" s="12">
        <v>26.0</v>
      </c>
      <c r="AW72" s="12">
        <v>4.0</v>
      </c>
      <c r="AX72" s="12" t="s">
        <v>598</v>
      </c>
      <c r="AY72" s="12" t="s">
        <v>598</v>
      </c>
      <c r="AZ72" s="12" t="s">
        <v>598</v>
      </c>
      <c r="BA72" s="12" t="s">
        <v>598</v>
      </c>
      <c r="BB72" s="12">
        <v>297.0</v>
      </c>
      <c r="BC72" s="12">
        <v>316.0</v>
      </c>
      <c r="BD72" s="12" t="s">
        <v>598</v>
      </c>
      <c r="BE72" s="12" t="s">
        <v>1834</v>
      </c>
      <c r="BF72" s="13" t="str">
        <f>HYPERLINK("http://dx.doi.org/10.1017/S1742170511000111","http://dx.doi.org/10.1017/S1742170511000111")</f>
        <v>http://dx.doi.org/10.1017/S1742170511000111</v>
      </c>
      <c r="BG72" s="12" t="s">
        <v>598</v>
      </c>
      <c r="BH72" s="12" t="s">
        <v>598</v>
      </c>
      <c r="BI72" s="12">
        <v>20.0</v>
      </c>
      <c r="BJ72" s="12" t="s">
        <v>1756</v>
      </c>
      <c r="BK72" s="12" t="s">
        <v>618</v>
      </c>
      <c r="BL72" s="12" t="s">
        <v>638</v>
      </c>
      <c r="BM72" s="12" t="s">
        <v>1835</v>
      </c>
      <c r="BN72" s="12" t="s">
        <v>598</v>
      </c>
      <c r="BO72" s="12" t="s">
        <v>598</v>
      </c>
      <c r="BP72" s="12" t="s">
        <v>598</v>
      </c>
      <c r="BQ72" s="12" t="s">
        <v>598</v>
      </c>
      <c r="BR72" s="12" t="s">
        <v>620</v>
      </c>
      <c r="BS72" s="12" t="s">
        <v>1836</v>
      </c>
      <c r="BT72" s="12" t="str">
        <f>HYPERLINK("https%3A%2F%2Fwww.webofscience.com%2Fwos%2Fwoscc%2Ffull-record%2FWOS:000297510700005","View Full Record in Web of Science")</f>
        <v>View Full Record in Web of Science</v>
      </c>
    </row>
    <row r="73" ht="12.75" customHeight="1">
      <c r="A73" s="12" t="s">
        <v>596</v>
      </c>
      <c r="B73" s="12" t="s">
        <v>1837</v>
      </c>
      <c r="C73" s="12" t="s">
        <v>598</v>
      </c>
      <c r="D73" s="12" t="s">
        <v>598</v>
      </c>
      <c r="E73" s="12" t="s">
        <v>598</v>
      </c>
      <c r="F73" s="12" t="s">
        <v>1838</v>
      </c>
      <c r="G73" s="12" t="s">
        <v>598</v>
      </c>
      <c r="H73" s="12" t="s">
        <v>598</v>
      </c>
      <c r="I73" s="12" t="s">
        <v>1839</v>
      </c>
      <c r="J73" s="12" t="s">
        <v>599</v>
      </c>
      <c r="K73" s="12" t="s">
        <v>598</v>
      </c>
      <c r="L73" s="12" t="s">
        <v>598</v>
      </c>
      <c r="M73" s="12" t="s">
        <v>600</v>
      </c>
      <c r="N73" s="12" t="s">
        <v>601</v>
      </c>
      <c r="O73" s="12" t="s">
        <v>598</v>
      </c>
      <c r="P73" s="12" t="s">
        <v>598</v>
      </c>
      <c r="Q73" s="12" t="s">
        <v>598</v>
      </c>
      <c r="R73" s="12" t="s">
        <v>598</v>
      </c>
      <c r="S73" s="12" t="s">
        <v>598</v>
      </c>
      <c r="T73" s="12" t="s">
        <v>1840</v>
      </c>
      <c r="U73" s="12" t="s">
        <v>1841</v>
      </c>
      <c r="V73" s="12" t="s">
        <v>1842</v>
      </c>
      <c r="W73" s="12" t="s">
        <v>1843</v>
      </c>
      <c r="X73" s="12" t="s">
        <v>1844</v>
      </c>
      <c r="Y73" s="12" t="s">
        <v>1845</v>
      </c>
      <c r="Z73" s="12" t="s">
        <v>1846</v>
      </c>
      <c r="AA73" s="12" t="s">
        <v>598</v>
      </c>
      <c r="AB73" s="12" t="s">
        <v>598</v>
      </c>
      <c r="AC73" s="12" t="s">
        <v>1847</v>
      </c>
      <c r="AD73" s="12" t="s">
        <v>1848</v>
      </c>
      <c r="AE73" s="12" t="s">
        <v>1849</v>
      </c>
      <c r="AF73" s="12" t="s">
        <v>598</v>
      </c>
      <c r="AG73" s="12">
        <v>72.0</v>
      </c>
      <c r="AH73" s="12">
        <v>20.0</v>
      </c>
      <c r="AI73" s="12">
        <v>23.0</v>
      </c>
      <c r="AJ73" s="12">
        <v>0.0</v>
      </c>
      <c r="AK73" s="12">
        <v>23.0</v>
      </c>
      <c r="AL73" s="12" t="s">
        <v>731</v>
      </c>
      <c r="AM73" s="12" t="s">
        <v>609</v>
      </c>
      <c r="AN73" s="12" t="s">
        <v>732</v>
      </c>
      <c r="AO73" s="12" t="s">
        <v>611</v>
      </c>
      <c r="AP73" s="12" t="s">
        <v>733</v>
      </c>
      <c r="AQ73" s="12" t="s">
        <v>598</v>
      </c>
      <c r="AR73" s="12" t="s">
        <v>612</v>
      </c>
      <c r="AS73" s="12" t="s">
        <v>613</v>
      </c>
      <c r="AT73" s="12" t="s">
        <v>1850</v>
      </c>
      <c r="AU73" s="12">
        <v>2011.0</v>
      </c>
      <c r="AV73" s="12">
        <v>262.0</v>
      </c>
      <c r="AW73" s="12">
        <v>11.0</v>
      </c>
      <c r="AX73" s="12" t="s">
        <v>598</v>
      </c>
      <c r="AY73" s="12" t="s">
        <v>598</v>
      </c>
      <c r="AZ73" s="12" t="s">
        <v>598</v>
      </c>
      <c r="BA73" s="12" t="s">
        <v>598</v>
      </c>
      <c r="BB73" s="12">
        <v>2079.0</v>
      </c>
      <c r="BC73" s="12">
        <v>2093.0</v>
      </c>
      <c r="BD73" s="12" t="s">
        <v>598</v>
      </c>
      <c r="BE73" s="12" t="s">
        <v>1851</v>
      </c>
      <c r="BF73" s="13" t="str">
        <f>HYPERLINK("http://dx.doi.org/10.1016/j.foreco.2011.08.032","http://dx.doi.org/10.1016/j.foreco.2011.08.032")</f>
        <v>http://dx.doi.org/10.1016/j.foreco.2011.08.032</v>
      </c>
      <c r="BG73" s="12" t="s">
        <v>598</v>
      </c>
      <c r="BH73" s="12" t="s">
        <v>598</v>
      </c>
      <c r="BI73" s="12">
        <v>15.0</v>
      </c>
      <c r="BJ73" s="12" t="s">
        <v>617</v>
      </c>
      <c r="BK73" s="12" t="s">
        <v>618</v>
      </c>
      <c r="BL73" s="12" t="s">
        <v>617</v>
      </c>
      <c r="BM73" s="12" t="s">
        <v>1852</v>
      </c>
      <c r="BN73" s="12" t="s">
        <v>598</v>
      </c>
      <c r="BO73" s="12" t="s">
        <v>598</v>
      </c>
      <c r="BP73" s="12" t="s">
        <v>598</v>
      </c>
      <c r="BQ73" s="12" t="s">
        <v>598</v>
      </c>
      <c r="BR73" s="12" t="s">
        <v>620</v>
      </c>
      <c r="BS73" s="12" t="s">
        <v>1853</v>
      </c>
      <c r="BT73" s="12" t="str">
        <f>HYPERLINK("https%3A%2F%2Fwww.webofscience.com%2Fwos%2Fwoscc%2Ffull-record%2FWOS:000297602200014","View Full Record in Web of Science")</f>
        <v>View Full Record in Web of Science</v>
      </c>
    </row>
    <row r="74" ht="12.75" customHeight="1">
      <c r="A74" s="12" t="s">
        <v>596</v>
      </c>
      <c r="B74" s="12" t="s">
        <v>1854</v>
      </c>
      <c r="C74" s="12" t="s">
        <v>598</v>
      </c>
      <c r="D74" s="12" t="s">
        <v>598</v>
      </c>
      <c r="E74" s="12" t="s">
        <v>598</v>
      </c>
      <c r="F74" s="12" t="s">
        <v>1855</v>
      </c>
      <c r="G74" s="12" t="s">
        <v>598</v>
      </c>
      <c r="H74" s="12" t="s">
        <v>598</v>
      </c>
      <c r="I74" s="12" t="s">
        <v>1856</v>
      </c>
      <c r="J74" s="12" t="s">
        <v>1857</v>
      </c>
      <c r="K74" s="12" t="s">
        <v>598</v>
      </c>
      <c r="L74" s="12" t="s">
        <v>598</v>
      </c>
      <c r="M74" s="12" t="s">
        <v>600</v>
      </c>
      <c r="N74" s="12" t="s">
        <v>601</v>
      </c>
      <c r="O74" s="12" t="s">
        <v>598</v>
      </c>
      <c r="P74" s="12" t="s">
        <v>598</v>
      </c>
      <c r="Q74" s="12" t="s">
        <v>598</v>
      </c>
      <c r="R74" s="12" t="s">
        <v>598</v>
      </c>
      <c r="S74" s="12" t="s">
        <v>598</v>
      </c>
      <c r="T74" s="12" t="s">
        <v>1858</v>
      </c>
      <c r="U74" s="12" t="s">
        <v>1859</v>
      </c>
      <c r="V74" s="12" t="s">
        <v>1860</v>
      </c>
      <c r="W74" s="12" t="s">
        <v>1861</v>
      </c>
      <c r="X74" s="12" t="s">
        <v>1862</v>
      </c>
      <c r="Y74" s="12" t="s">
        <v>1863</v>
      </c>
      <c r="Z74" s="12" t="s">
        <v>1864</v>
      </c>
      <c r="AA74" s="12" t="s">
        <v>1865</v>
      </c>
      <c r="AB74" s="12" t="s">
        <v>1866</v>
      </c>
      <c r="AC74" s="12" t="s">
        <v>598</v>
      </c>
      <c r="AD74" s="12" t="s">
        <v>598</v>
      </c>
      <c r="AE74" s="12" t="s">
        <v>598</v>
      </c>
      <c r="AF74" s="12" t="s">
        <v>598</v>
      </c>
      <c r="AG74" s="12">
        <v>25.0</v>
      </c>
      <c r="AH74" s="12">
        <v>11.0</v>
      </c>
      <c r="AI74" s="12">
        <v>12.0</v>
      </c>
      <c r="AJ74" s="12">
        <v>0.0</v>
      </c>
      <c r="AK74" s="12">
        <v>24.0</v>
      </c>
      <c r="AL74" s="12" t="s">
        <v>1867</v>
      </c>
      <c r="AM74" s="12" t="s">
        <v>1868</v>
      </c>
      <c r="AN74" s="12" t="s">
        <v>1869</v>
      </c>
      <c r="AO74" s="12" t="s">
        <v>1870</v>
      </c>
      <c r="AP74" s="12" t="s">
        <v>1871</v>
      </c>
      <c r="AQ74" s="12" t="s">
        <v>598</v>
      </c>
      <c r="AR74" s="12" t="s">
        <v>1872</v>
      </c>
      <c r="AS74" s="12" t="s">
        <v>1873</v>
      </c>
      <c r="AT74" s="12" t="s">
        <v>1874</v>
      </c>
      <c r="AU74" s="12">
        <v>2011.0</v>
      </c>
      <c r="AV74" s="12">
        <v>39.0</v>
      </c>
      <c r="AW74" s="12">
        <v>2.0</v>
      </c>
      <c r="AX74" s="12" t="s">
        <v>598</v>
      </c>
      <c r="AY74" s="12" t="s">
        <v>598</v>
      </c>
      <c r="AZ74" s="12" t="s">
        <v>598</v>
      </c>
      <c r="BA74" s="12" t="s">
        <v>598</v>
      </c>
      <c r="BB74" s="12">
        <v>142.0</v>
      </c>
      <c r="BC74" s="12">
        <v>145.0</v>
      </c>
      <c r="BD74" s="12" t="s">
        <v>598</v>
      </c>
      <c r="BE74" s="12" t="s">
        <v>598</v>
      </c>
      <c r="BF74" s="12" t="s">
        <v>598</v>
      </c>
      <c r="BG74" s="12" t="s">
        <v>598</v>
      </c>
      <c r="BH74" s="12" t="s">
        <v>598</v>
      </c>
      <c r="BI74" s="12">
        <v>4.0</v>
      </c>
      <c r="BJ74" s="12" t="s">
        <v>1679</v>
      </c>
      <c r="BK74" s="12" t="s">
        <v>618</v>
      </c>
      <c r="BL74" s="12" t="s">
        <v>1679</v>
      </c>
      <c r="BM74" s="12" t="s">
        <v>1875</v>
      </c>
      <c r="BN74" s="12" t="s">
        <v>598</v>
      </c>
      <c r="BO74" s="12" t="s">
        <v>598</v>
      </c>
      <c r="BP74" s="12" t="s">
        <v>598</v>
      </c>
      <c r="BQ74" s="12" t="s">
        <v>598</v>
      </c>
      <c r="BR74" s="12" t="s">
        <v>620</v>
      </c>
      <c r="BS74" s="12" t="s">
        <v>1876</v>
      </c>
      <c r="BT74" s="12" t="str">
        <f>HYPERLINK("https%3A%2F%2Fwww.webofscience.com%2Fwos%2Fwoscc%2Ffull-record%2FWOS:000297659600020","View Full Record in Web of Science")</f>
        <v>View Full Record in Web of Science</v>
      </c>
    </row>
    <row r="75" ht="12.75" customHeight="1">
      <c r="A75" s="12" t="s">
        <v>596</v>
      </c>
      <c r="B75" s="12" t="s">
        <v>1877</v>
      </c>
      <c r="C75" s="12" t="s">
        <v>598</v>
      </c>
      <c r="D75" s="12" t="s">
        <v>598</v>
      </c>
      <c r="E75" s="12" t="s">
        <v>598</v>
      </c>
      <c r="F75" s="12" t="s">
        <v>1878</v>
      </c>
      <c r="G75" s="12" t="s">
        <v>598</v>
      </c>
      <c r="H75" s="12" t="s">
        <v>598</v>
      </c>
      <c r="I75" s="12" t="s">
        <v>92</v>
      </c>
      <c r="J75" s="12" t="s">
        <v>599</v>
      </c>
      <c r="K75" s="12" t="s">
        <v>598</v>
      </c>
      <c r="L75" s="12" t="s">
        <v>598</v>
      </c>
      <c r="M75" s="12" t="s">
        <v>600</v>
      </c>
      <c r="N75" s="12" t="s">
        <v>601</v>
      </c>
      <c r="O75" s="12" t="s">
        <v>598</v>
      </c>
      <c r="P75" s="12" t="s">
        <v>598</v>
      </c>
      <c r="Q75" s="12" t="s">
        <v>598</v>
      </c>
      <c r="R75" s="12" t="s">
        <v>598</v>
      </c>
      <c r="S75" s="12" t="s">
        <v>598</v>
      </c>
      <c r="T75" s="12" t="s">
        <v>1879</v>
      </c>
      <c r="U75" s="12" t="s">
        <v>1880</v>
      </c>
      <c r="V75" s="12" t="s">
        <v>1881</v>
      </c>
      <c r="W75" s="12" t="s">
        <v>1882</v>
      </c>
      <c r="X75" s="12" t="s">
        <v>1883</v>
      </c>
      <c r="Y75" s="12" t="s">
        <v>1884</v>
      </c>
      <c r="Z75" s="12" t="s">
        <v>1885</v>
      </c>
      <c r="AA75" s="12" t="s">
        <v>1886</v>
      </c>
      <c r="AB75" s="12" t="s">
        <v>1887</v>
      </c>
      <c r="AC75" s="12" t="s">
        <v>1888</v>
      </c>
      <c r="AD75" s="12" t="s">
        <v>1889</v>
      </c>
      <c r="AE75" s="12" t="s">
        <v>1890</v>
      </c>
      <c r="AF75" s="12" t="s">
        <v>598</v>
      </c>
      <c r="AG75" s="12">
        <v>62.0</v>
      </c>
      <c r="AH75" s="12">
        <v>22.0</v>
      </c>
      <c r="AI75" s="12">
        <v>30.0</v>
      </c>
      <c r="AJ75" s="12">
        <v>2.0</v>
      </c>
      <c r="AK75" s="12">
        <v>84.0</v>
      </c>
      <c r="AL75" s="12" t="s">
        <v>608</v>
      </c>
      <c r="AM75" s="12" t="s">
        <v>609</v>
      </c>
      <c r="AN75" s="12" t="s">
        <v>610</v>
      </c>
      <c r="AO75" s="12" t="s">
        <v>611</v>
      </c>
      <c r="AP75" s="12" t="s">
        <v>733</v>
      </c>
      <c r="AQ75" s="12" t="s">
        <v>598</v>
      </c>
      <c r="AR75" s="12" t="s">
        <v>612</v>
      </c>
      <c r="AS75" s="12" t="s">
        <v>613</v>
      </c>
      <c r="AT75" s="12" t="s">
        <v>1714</v>
      </c>
      <c r="AU75" s="12">
        <v>2011.0</v>
      </c>
      <c r="AV75" s="12">
        <v>262.0</v>
      </c>
      <c r="AW75" s="12">
        <v>12.0</v>
      </c>
      <c r="AX75" s="12" t="s">
        <v>598</v>
      </c>
      <c r="AY75" s="12" t="s">
        <v>598</v>
      </c>
      <c r="AZ75" s="12" t="s">
        <v>598</v>
      </c>
      <c r="BA75" s="12" t="s">
        <v>598</v>
      </c>
      <c r="BB75" s="12">
        <v>2219.0</v>
      </c>
      <c r="BC75" s="12">
        <v>2228.0</v>
      </c>
      <c r="BD75" s="12" t="s">
        <v>598</v>
      </c>
      <c r="BE75" s="12" t="s">
        <v>1891</v>
      </c>
      <c r="BF75" s="13" t="str">
        <f>HYPERLINK("http://dx.doi.org/10.1016/j.foreco.2011.08.014","http://dx.doi.org/10.1016/j.foreco.2011.08.014")</f>
        <v>http://dx.doi.org/10.1016/j.foreco.2011.08.014</v>
      </c>
      <c r="BG75" s="12" t="s">
        <v>598</v>
      </c>
      <c r="BH75" s="12" t="s">
        <v>598</v>
      </c>
      <c r="BI75" s="12">
        <v>10.0</v>
      </c>
      <c r="BJ75" s="12" t="s">
        <v>617</v>
      </c>
      <c r="BK75" s="12" t="s">
        <v>618</v>
      </c>
      <c r="BL75" s="12" t="s">
        <v>617</v>
      </c>
      <c r="BM75" s="12" t="s">
        <v>1892</v>
      </c>
      <c r="BN75" s="12" t="s">
        <v>598</v>
      </c>
      <c r="BO75" s="12" t="s">
        <v>598</v>
      </c>
      <c r="BP75" s="12" t="s">
        <v>598</v>
      </c>
      <c r="BQ75" s="12" t="s">
        <v>598</v>
      </c>
      <c r="BR75" s="12" t="s">
        <v>620</v>
      </c>
      <c r="BS75" s="12" t="s">
        <v>1893</v>
      </c>
      <c r="BT75" s="12" t="str">
        <f>HYPERLINK("https%3A%2F%2Fwww.webofscience.com%2Fwos%2Fwoscc%2Ffull-record%2FWOS:000297775500012","View Full Record in Web of Science")</f>
        <v>View Full Record in Web of Science</v>
      </c>
    </row>
    <row r="76" ht="12.75" customHeight="1">
      <c r="A76" s="12" t="s">
        <v>596</v>
      </c>
      <c r="B76" s="12" t="s">
        <v>1894</v>
      </c>
      <c r="C76" s="12" t="s">
        <v>598</v>
      </c>
      <c r="D76" s="12" t="s">
        <v>598</v>
      </c>
      <c r="E76" s="12" t="s">
        <v>598</v>
      </c>
      <c r="F76" s="12" t="s">
        <v>1895</v>
      </c>
      <c r="G76" s="12" t="s">
        <v>598</v>
      </c>
      <c r="H76" s="12" t="s">
        <v>598</v>
      </c>
      <c r="I76" s="12" t="s">
        <v>226</v>
      </c>
      <c r="J76" s="12" t="s">
        <v>1639</v>
      </c>
      <c r="K76" s="12" t="s">
        <v>598</v>
      </c>
      <c r="L76" s="12" t="s">
        <v>598</v>
      </c>
      <c r="M76" s="12" t="s">
        <v>600</v>
      </c>
      <c r="N76" s="12" t="s">
        <v>601</v>
      </c>
      <c r="O76" s="12" t="s">
        <v>598</v>
      </c>
      <c r="P76" s="12" t="s">
        <v>598</v>
      </c>
      <c r="Q76" s="12" t="s">
        <v>598</v>
      </c>
      <c r="R76" s="12" t="s">
        <v>598</v>
      </c>
      <c r="S76" s="12" t="s">
        <v>598</v>
      </c>
      <c r="T76" s="12" t="s">
        <v>1896</v>
      </c>
      <c r="U76" s="12" t="s">
        <v>1897</v>
      </c>
      <c r="V76" s="12" t="s">
        <v>1898</v>
      </c>
      <c r="W76" s="12" t="s">
        <v>1899</v>
      </c>
      <c r="X76" s="12" t="s">
        <v>1900</v>
      </c>
      <c r="Y76" s="12" t="s">
        <v>1901</v>
      </c>
      <c r="Z76" s="12" t="s">
        <v>1902</v>
      </c>
      <c r="AA76" s="12" t="s">
        <v>1903</v>
      </c>
      <c r="AB76" s="12" t="s">
        <v>1904</v>
      </c>
      <c r="AC76" s="12" t="s">
        <v>598</v>
      </c>
      <c r="AD76" s="12" t="s">
        <v>598</v>
      </c>
      <c r="AE76" s="12" t="s">
        <v>598</v>
      </c>
      <c r="AF76" s="12" t="s">
        <v>598</v>
      </c>
      <c r="AG76" s="12">
        <v>46.0</v>
      </c>
      <c r="AH76" s="12">
        <v>55.0</v>
      </c>
      <c r="AI76" s="12">
        <v>62.0</v>
      </c>
      <c r="AJ76" s="12">
        <v>0.0</v>
      </c>
      <c r="AK76" s="12">
        <v>90.0</v>
      </c>
      <c r="AL76" s="12" t="s">
        <v>765</v>
      </c>
      <c r="AM76" s="12" t="s">
        <v>652</v>
      </c>
      <c r="AN76" s="12" t="s">
        <v>766</v>
      </c>
      <c r="AO76" s="12" t="s">
        <v>1650</v>
      </c>
      <c r="AP76" s="12" t="s">
        <v>1651</v>
      </c>
      <c r="AQ76" s="12" t="s">
        <v>598</v>
      </c>
      <c r="AR76" s="12" t="s">
        <v>1652</v>
      </c>
      <c r="AS76" s="12" t="s">
        <v>1653</v>
      </c>
      <c r="AT76" s="12" t="s">
        <v>821</v>
      </c>
      <c r="AU76" s="12">
        <v>2012.0</v>
      </c>
      <c r="AV76" s="12">
        <v>33.0</v>
      </c>
      <c r="AW76" s="12" t="s">
        <v>598</v>
      </c>
      <c r="AX76" s="12" t="s">
        <v>598</v>
      </c>
      <c r="AY76" s="12" t="s">
        <v>598</v>
      </c>
      <c r="AZ76" s="12" t="s">
        <v>598</v>
      </c>
      <c r="BA76" s="12" t="s">
        <v>598</v>
      </c>
      <c r="BB76" s="12">
        <v>65.0</v>
      </c>
      <c r="BC76" s="12">
        <v>73.0</v>
      </c>
      <c r="BD76" s="12" t="s">
        <v>598</v>
      </c>
      <c r="BE76" s="12" t="s">
        <v>1905</v>
      </c>
      <c r="BF76" s="13" t="str">
        <f>HYPERLINK("http://dx.doi.org/10.1016/j.cropro.2011.09.016","http://dx.doi.org/10.1016/j.cropro.2011.09.016")</f>
        <v>http://dx.doi.org/10.1016/j.cropro.2011.09.016</v>
      </c>
      <c r="BG76" s="12" t="s">
        <v>598</v>
      </c>
      <c r="BH76" s="12" t="s">
        <v>598</v>
      </c>
      <c r="BI76" s="12">
        <v>9.0</v>
      </c>
      <c r="BJ76" s="12" t="s">
        <v>1560</v>
      </c>
      <c r="BK76" s="12" t="s">
        <v>618</v>
      </c>
      <c r="BL76" s="12" t="s">
        <v>638</v>
      </c>
      <c r="BM76" s="12" t="s">
        <v>1906</v>
      </c>
      <c r="BN76" s="12" t="s">
        <v>598</v>
      </c>
      <c r="BO76" s="12" t="s">
        <v>598</v>
      </c>
      <c r="BP76" s="12" t="s">
        <v>598</v>
      </c>
      <c r="BQ76" s="12" t="s">
        <v>598</v>
      </c>
      <c r="BR76" s="12" t="s">
        <v>620</v>
      </c>
      <c r="BS76" s="12" t="s">
        <v>1907</v>
      </c>
      <c r="BT76" s="12" t="str">
        <f>HYPERLINK("https%3A%2F%2Fwww.webofscience.com%2Fwos%2Fwoscc%2Ffull-record%2FWOS:000300129800010","View Full Record in Web of Science")</f>
        <v>View Full Record in Web of Science</v>
      </c>
    </row>
    <row r="77" ht="12.75" customHeight="1">
      <c r="A77" s="12" t="s">
        <v>596</v>
      </c>
      <c r="B77" s="12" t="s">
        <v>1908</v>
      </c>
      <c r="C77" s="12" t="s">
        <v>598</v>
      </c>
      <c r="D77" s="12" t="s">
        <v>598</v>
      </c>
      <c r="E77" s="12" t="s">
        <v>598</v>
      </c>
      <c r="F77" s="12" t="s">
        <v>1909</v>
      </c>
      <c r="G77" s="12" t="s">
        <v>598</v>
      </c>
      <c r="H77" s="12" t="s">
        <v>598</v>
      </c>
      <c r="I77" s="12" t="s">
        <v>147</v>
      </c>
      <c r="J77" s="12" t="s">
        <v>1910</v>
      </c>
      <c r="K77" s="12" t="s">
        <v>598</v>
      </c>
      <c r="L77" s="12" t="s">
        <v>598</v>
      </c>
      <c r="M77" s="12" t="s">
        <v>600</v>
      </c>
      <c r="N77" s="12" t="s">
        <v>601</v>
      </c>
      <c r="O77" s="12" t="s">
        <v>598</v>
      </c>
      <c r="P77" s="12" t="s">
        <v>598</v>
      </c>
      <c r="Q77" s="12" t="s">
        <v>598</v>
      </c>
      <c r="R77" s="12" t="s">
        <v>598</v>
      </c>
      <c r="S77" s="12" t="s">
        <v>598</v>
      </c>
      <c r="T77" s="12" t="s">
        <v>1911</v>
      </c>
      <c r="U77" s="12" t="s">
        <v>1912</v>
      </c>
      <c r="V77" s="12" t="s">
        <v>1913</v>
      </c>
      <c r="W77" s="12" t="s">
        <v>1914</v>
      </c>
      <c r="X77" s="12" t="s">
        <v>1915</v>
      </c>
      <c r="Y77" s="12" t="s">
        <v>1916</v>
      </c>
      <c r="Z77" s="12" t="s">
        <v>1917</v>
      </c>
      <c r="AA77" s="12" t="s">
        <v>598</v>
      </c>
      <c r="AB77" s="12" t="s">
        <v>598</v>
      </c>
      <c r="AC77" s="12" t="s">
        <v>1918</v>
      </c>
      <c r="AD77" s="12" t="s">
        <v>1919</v>
      </c>
      <c r="AE77" s="12" t="s">
        <v>1920</v>
      </c>
      <c r="AF77" s="12" t="s">
        <v>598</v>
      </c>
      <c r="AG77" s="12">
        <v>33.0</v>
      </c>
      <c r="AH77" s="12">
        <v>20.0</v>
      </c>
      <c r="AI77" s="12">
        <v>35.0</v>
      </c>
      <c r="AJ77" s="12">
        <v>2.0</v>
      </c>
      <c r="AK77" s="12">
        <v>48.0</v>
      </c>
      <c r="AL77" s="12" t="s">
        <v>708</v>
      </c>
      <c r="AM77" s="12" t="s">
        <v>709</v>
      </c>
      <c r="AN77" s="12" t="s">
        <v>710</v>
      </c>
      <c r="AO77" s="12" t="s">
        <v>1921</v>
      </c>
      <c r="AP77" s="12" t="s">
        <v>1922</v>
      </c>
      <c r="AQ77" s="12" t="s">
        <v>598</v>
      </c>
      <c r="AR77" s="12" t="s">
        <v>1923</v>
      </c>
      <c r="AS77" s="12" t="s">
        <v>1924</v>
      </c>
      <c r="AT77" s="12" t="s">
        <v>821</v>
      </c>
      <c r="AU77" s="12">
        <v>2012.0</v>
      </c>
      <c r="AV77" s="12">
        <v>12.0</v>
      </c>
      <c r="AW77" s="12">
        <v>1.0</v>
      </c>
      <c r="AX77" s="12" t="s">
        <v>598</v>
      </c>
      <c r="AY77" s="12" t="s">
        <v>598</v>
      </c>
      <c r="AZ77" s="12" t="s">
        <v>598</v>
      </c>
      <c r="BA77" s="12" t="s">
        <v>598</v>
      </c>
      <c r="BB77" s="12">
        <v>12.0</v>
      </c>
      <c r="BC77" s="12">
        <v>21.0</v>
      </c>
      <c r="BD77" s="12" t="s">
        <v>598</v>
      </c>
      <c r="BE77" s="12" t="s">
        <v>1925</v>
      </c>
      <c r="BF77" s="13" t="str">
        <f>HYPERLINK("http://dx.doi.org/10.1111/j.1445-6664.2011.00430.x","http://dx.doi.org/10.1111/j.1445-6664.2011.00430.x")</f>
        <v>http://dx.doi.org/10.1111/j.1445-6664.2011.00430.x</v>
      </c>
      <c r="BG77" s="12" t="s">
        <v>598</v>
      </c>
      <c r="BH77" s="12" t="s">
        <v>598</v>
      </c>
      <c r="BI77" s="12">
        <v>10.0</v>
      </c>
      <c r="BJ77" s="12" t="s">
        <v>839</v>
      </c>
      <c r="BK77" s="12" t="s">
        <v>618</v>
      </c>
      <c r="BL77" s="12" t="s">
        <v>840</v>
      </c>
      <c r="BM77" s="12" t="s">
        <v>1926</v>
      </c>
      <c r="BN77" s="12" t="s">
        <v>598</v>
      </c>
      <c r="BO77" s="12" t="s">
        <v>598</v>
      </c>
      <c r="BP77" s="12" t="s">
        <v>598</v>
      </c>
      <c r="BQ77" s="12" t="s">
        <v>598</v>
      </c>
      <c r="BR77" s="12" t="s">
        <v>620</v>
      </c>
      <c r="BS77" s="12" t="s">
        <v>1927</v>
      </c>
      <c r="BT77" s="12" t="str">
        <f>HYPERLINK("https%3A%2F%2Fwww.webofscience.com%2Fwos%2Fwoscc%2Ffull-record%2FWOS:000301492700002","View Full Record in Web of Science")</f>
        <v>View Full Record in Web of Science</v>
      </c>
    </row>
    <row r="78" ht="12.75" customHeight="1">
      <c r="A78" s="12" t="s">
        <v>596</v>
      </c>
      <c r="B78" s="12" t="s">
        <v>1928</v>
      </c>
      <c r="C78" s="12" t="s">
        <v>598</v>
      </c>
      <c r="D78" s="12" t="s">
        <v>598</v>
      </c>
      <c r="E78" s="12" t="s">
        <v>598</v>
      </c>
      <c r="F78" s="12" t="s">
        <v>1929</v>
      </c>
      <c r="G78" s="12" t="s">
        <v>598</v>
      </c>
      <c r="H78" s="12" t="s">
        <v>598</v>
      </c>
      <c r="I78" s="12" t="s">
        <v>181</v>
      </c>
      <c r="J78" s="12" t="s">
        <v>739</v>
      </c>
      <c r="K78" s="12" t="s">
        <v>598</v>
      </c>
      <c r="L78" s="12" t="s">
        <v>598</v>
      </c>
      <c r="M78" s="12" t="s">
        <v>600</v>
      </c>
      <c r="N78" s="12" t="s">
        <v>601</v>
      </c>
      <c r="O78" s="12" t="s">
        <v>598</v>
      </c>
      <c r="P78" s="12" t="s">
        <v>598</v>
      </c>
      <c r="Q78" s="12" t="s">
        <v>598</v>
      </c>
      <c r="R78" s="12" t="s">
        <v>598</v>
      </c>
      <c r="S78" s="12" t="s">
        <v>598</v>
      </c>
      <c r="T78" s="12" t="s">
        <v>1930</v>
      </c>
      <c r="U78" s="12" t="s">
        <v>1931</v>
      </c>
      <c r="V78" s="12" t="s">
        <v>1932</v>
      </c>
      <c r="W78" s="12" t="s">
        <v>1933</v>
      </c>
      <c r="X78" s="12" t="s">
        <v>1934</v>
      </c>
      <c r="Y78" s="12" t="s">
        <v>1935</v>
      </c>
      <c r="Z78" s="12" t="s">
        <v>1936</v>
      </c>
      <c r="AA78" s="12" t="s">
        <v>1937</v>
      </c>
      <c r="AB78" s="12" t="s">
        <v>1938</v>
      </c>
      <c r="AC78" s="12" t="s">
        <v>1939</v>
      </c>
      <c r="AD78" s="12" t="s">
        <v>1939</v>
      </c>
      <c r="AE78" s="12" t="s">
        <v>1940</v>
      </c>
      <c r="AF78" s="12" t="s">
        <v>598</v>
      </c>
      <c r="AG78" s="12">
        <v>68.0</v>
      </c>
      <c r="AH78" s="12">
        <v>59.0</v>
      </c>
      <c r="AI78" s="12">
        <v>66.0</v>
      </c>
      <c r="AJ78" s="12">
        <v>1.0</v>
      </c>
      <c r="AK78" s="12">
        <v>191.0</v>
      </c>
      <c r="AL78" s="12" t="s">
        <v>708</v>
      </c>
      <c r="AM78" s="12" t="s">
        <v>709</v>
      </c>
      <c r="AN78" s="12" t="s">
        <v>710</v>
      </c>
      <c r="AO78" s="12" t="s">
        <v>746</v>
      </c>
      <c r="AP78" s="12" t="s">
        <v>747</v>
      </c>
      <c r="AQ78" s="12" t="s">
        <v>598</v>
      </c>
      <c r="AR78" s="12" t="s">
        <v>748</v>
      </c>
      <c r="AS78" s="12" t="s">
        <v>749</v>
      </c>
      <c r="AT78" s="12" t="s">
        <v>821</v>
      </c>
      <c r="AU78" s="12">
        <v>2012.0</v>
      </c>
      <c r="AV78" s="12">
        <v>22.0</v>
      </c>
      <c r="AW78" s="12">
        <v>2.0</v>
      </c>
      <c r="AX78" s="12" t="s">
        <v>598</v>
      </c>
      <c r="AY78" s="12" t="s">
        <v>598</v>
      </c>
      <c r="AZ78" s="12" t="s">
        <v>598</v>
      </c>
      <c r="BA78" s="12" t="s">
        <v>598</v>
      </c>
      <c r="BB78" s="12">
        <v>561.0</v>
      </c>
      <c r="BC78" s="12">
        <v>571.0</v>
      </c>
      <c r="BD78" s="12" t="s">
        <v>598</v>
      </c>
      <c r="BE78" s="12" t="s">
        <v>1941</v>
      </c>
      <c r="BF78" s="13" t="str">
        <f>HYPERLINK("http://dx.doi.org/10.1890/11-1362.1","http://dx.doi.org/10.1890/11-1362.1")</f>
        <v>http://dx.doi.org/10.1890/11-1362.1</v>
      </c>
      <c r="BG78" s="12" t="s">
        <v>598</v>
      </c>
      <c r="BH78" s="12" t="s">
        <v>598</v>
      </c>
      <c r="BI78" s="12">
        <v>11.0</v>
      </c>
      <c r="BJ78" s="12" t="s">
        <v>752</v>
      </c>
      <c r="BK78" s="12" t="s">
        <v>618</v>
      </c>
      <c r="BL78" s="12" t="s">
        <v>753</v>
      </c>
      <c r="BM78" s="12" t="s">
        <v>1942</v>
      </c>
      <c r="BN78" s="12">
        <v>2.2611854E7</v>
      </c>
      <c r="BO78" s="12" t="s">
        <v>598</v>
      </c>
      <c r="BP78" s="12" t="s">
        <v>598</v>
      </c>
      <c r="BQ78" s="12" t="s">
        <v>598</v>
      </c>
      <c r="BR78" s="12" t="s">
        <v>620</v>
      </c>
      <c r="BS78" s="12" t="s">
        <v>1943</v>
      </c>
      <c r="BT78" s="12" t="str">
        <f>HYPERLINK("https%3A%2F%2Fwww.webofscience.com%2Fwos%2Fwoscc%2Ffull-record%2FWOS:000302516900014","View Full Record in Web of Science")</f>
        <v>View Full Record in Web of Science</v>
      </c>
    </row>
    <row r="79" ht="12.75" customHeight="1">
      <c r="A79" s="12" t="s">
        <v>596</v>
      </c>
      <c r="B79" s="12" t="s">
        <v>1944</v>
      </c>
      <c r="C79" s="12" t="s">
        <v>598</v>
      </c>
      <c r="D79" s="12" t="s">
        <v>598</v>
      </c>
      <c r="E79" s="12" t="s">
        <v>598</v>
      </c>
      <c r="F79" s="12" t="s">
        <v>1945</v>
      </c>
      <c r="G79" s="12" t="s">
        <v>598</v>
      </c>
      <c r="H79" s="12" t="s">
        <v>598</v>
      </c>
      <c r="I79" s="12" t="s">
        <v>230</v>
      </c>
      <c r="J79" s="12" t="s">
        <v>700</v>
      </c>
      <c r="K79" s="12" t="s">
        <v>598</v>
      </c>
      <c r="L79" s="12" t="s">
        <v>598</v>
      </c>
      <c r="M79" s="12" t="s">
        <v>600</v>
      </c>
      <c r="N79" s="12" t="s">
        <v>601</v>
      </c>
      <c r="O79" s="12" t="s">
        <v>598</v>
      </c>
      <c r="P79" s="12" t="s">
        <v>598</v>
      </c>
      <c r="Q79" s="12" t="s">
        <v>598</v>
      </c>
      <c r="R79" s="12" t="s">
        <v>598</v>
      </c>
      <c r="S79" s="12" t="s">
        <v>598</v>
      </c>
      <c r="T79" s="12" t="s">
        <v>1946</v>
      </c>
      <c r="U79" s="12" t="s">
        <v>1947</v>
      </c>
      <c r="V79" s="12" t="s">
        <v>1948</v>
      </c>
      <c r="W79" s="12" t="s">
        <v>1949</v>
      </c>
      <c r="X79" s="12" t="s">
        <v>1950</v>
      </c>
      <c r="Y79" s="12" t="s">
        <v>1951</v>
      </c>
      <c r="Z79" s="12" t="s">
        <v>1952</v>
      </c>
      <c r="AA79" s="12" t="s">
        <v>1953</v>
      </c>
      <c r="AB79" s="12" t="s">
        <v>1954</v>
      </c>
      <c r="AC79" s="12" t="s">
        <v>1955</v>
      </c>
      <c r="AD79" s="12" t="s">
        <v>1956</v>
      </c>
      <c r="AE79" s="12" t="s">
        <v>1957</v>
      </c>
      <c r="AF79" s="12" t="s">
        <v>598</v>
      </c>
      <c r="AG79" s="12">
        <v>40.0</v>
      </c>
      <c r="AH79" s="12">
        <v>212.0</v>
      </c>
      <c r="AI79" s="12">
        <v>240.0</v>
      </c>
      <c r="AJ79" s="12">
        <v>3.0</v>
      </c>
      <c r="AK79" s="12">
        <v>388.0</v>
      </c>
      <c r="AL79" s="12" t="s">
        <v>708</v>
      </c>
      <c r="AM79" s="12" t="s">
        <v>709</v>
      </c>
      <c r="AN79" s="12" t="s">
        <v>710</v>
      </c>
      <c r="AO79" s="12" t="s">
        <v>711</v>
      </c>
      <c r="AP79" s="12" t="s">
        <v>712</v>
      </c>
      <c r="AQ79" s="12" t="s">
        <v>598</v>
      </c>
      <c r="AR79" s="12" t="s">
        <v>713</v>
      </c>
      <c r="AS79" s="12" t="s">
        <v>714</v>
      </c>
      <c r="AT79" s="12" t="s">
        <v>852</v>
      </c>
      <c r="AU79" s="12">
        <v>2012.0</v>
      </c>
      <c r="AV79" s="12">
        <v>49.0</v>
      </c>
      <c r="AW79" s="12">
        <v>3.0</v>
      </c>
      <c r="AX79" s="12" t="s">
        <v>598</v>
      </c>
      <c r="AY79" s="12" t="s">
        <v>598</v>
      </c>
      <c r="AZ79" s="12" t="s">
        <v>598</v>
      </c>
      <c r="BA79" s="12" t="s">
        <v>598</v>
      </c>
      <c r="BB79" s="12">
        <v>723.0</v>
      </c>
      <c r="BC79" s="12">
        <v>732.0</v>
      </c>
      <c r="BD79" s="12" t="s">
        <v>598</v>
      </c>
      <c r="BE79" s="12" t="s">
        <v>1958</v>
      </c>
      <c r="BF79" s="13" t="str">
        <f>HYPERLINK("http://dx.doi.org/10.1111/j.1365-2664.2012.02144.x","http://dx.doi.org/10.1111/j.1365-2664.2012.02144.x")</f>
        <v>http://dx.doi.org/10.1111/j.1365-2664.2012.02144.x</v>
      </c>
      <c r="BG79" s="12" t="s">
        <v>598</v>
      </c>
      <c r="BH79" s="12" t="s">
        <v>598</v>
      </c>
      <c r="BI79" s="12">
        <v>10.0</v>
      </c>
      <c r="BJ79" s="12" t="s">
        <v>717</v>
      </c>
      <c r="BK79" s="12" t="s">
        <v>618</v>
      </c>
      <c r="BL79" s="12" t="s">
        <v>679</v>
      </c>
      <c r="BM79" s="12" t="s">
        <v>1959</v>
      </c>
      <c r="BN79" s="12" t="s">
        <v>598</v>
      </c>
      <c r="BO79" s="12" t="s">
        <v>719</v>
      </c>
      <c r="BP79" s="12" t="s">
        <v>598</v>
      </c>
      <c r="BQ79" s="12" t="s">
        <v>598</v>
      </c>
      <c r="BR79" s="12" t="s">
        <v>620</v>
      </c>
      <c r="BS79" s="12" t="s">
        <v>1960</v>
      </c>
      <c r="BT79" s="12" t="str">
        <f>HYPERLINK("https%3A%2F%2Fwww.webofscience.com%2Fwos%2Fwoscc%2Ffull-record%2FWOS:000304660500023","View Full Record in Web of Science")</f>
        <v>View Full Record in Web of Science</v>
      </c>
    </row>
    <row r="80" ht="12.75" customHeight="1">
      <c r="A80" s="12" t="s">
        <v>596</v>
      </c>
      <c r="B80" s="12" t="s">
        <v>1961</v>
      </c>
      <c r="C80" s="12" t="s">
        <v>598</v>
      </c>
      <c r="D80" s="12" t="s">
        <v>598</v>
      </c>
      <c r="E80" s="12" t="s">
        <v>598</v>
      </c>
      <c r="F80" s="12" t="s">
        <v>1962</v>
      </c>
      <c r="G80" s="12" t="s">
        <v>598</v>
      </c>
      <c r="H80" s="12" t="s">
        <v>598</v>
      </c>
      <c r="I80" s="12" t="s">
        <v>1963</v>
      </c>
      <c r="J80" s="12" t="s">
        <v>599</v>
      </c>
      <c r="K80" s="12" t="s">
        <v>598</v>
      </c>
      <c r="L80" s="12" t="s">
        <v>598</v>
      </c>
      <c r="M80" s="12" t="s">
        <v>600</v>
      </c>
      <c r="N80" s="12" t="s">
        <v>601</v>
      </c>
      <c r="O80" s="12" t="s">
        <v>598</v>
      </c>
      <c r="P80" s="12" t="s">
        <v>598</v>
      </c>
      <c r="Q80" s="12" t="s">
        <v>598</v>
      </c>
      <c r="R80" s="12" t="s">
        <v>598</v>
      </c>
      <c r="S80" s="12" t="s">
        <v>598</v>
      </c>
      <c r="T80" s="12" t="s">
        <v>1964</v>
      </c>
      <c r="U80" s="12" t="s">
        <v>1965</v>
      </c>
      <c r="V80" s="12" t="s">
        <v>1966</v>
      </c>
      <c r="W80" s="12" t="s">
        <v>1967</v>
      </c>
      <c r="X80" s="12" t="s">
        <v>1968</v>
      </c>
      <c r="Y80" s="12" t="s">
        <v>1969</v>
      </c>
      <c r="Z80" s="12" t="s">
        <v>1970</v>
      </c>
      <c r="AA80" s="12" t="s">
        <v>1971</v>
      </c>
      <c r="AB80" s="12" t="s">
        <v>1972</v>
      </c>
      <c r="AC80" s="12" t="s">
        <v>1973</v>
      </c>
      <c r="AD80" s="12" t="s">
        <v>1974</v>
      </c>
      <c r="AE80" s="12" t="s">
        <v>1975</v>
      </c>
      <c r="AF80" s="12" t="s">
        <v>598</v>
      </c>
      <c r="AG80" s="12">
        <v>63.0</v>
      </c>
      <c r="AH80" s="12">
        <v>18.0</v>
      </c>
      <c r="AI80" s="12">
        <v>19.0</v>
      </c>
      <c r="AJ80" s="12">
        <v>0.0</v>
      </c>
      <c r="AK80" s="12">
        <v>67.0</v>
      </c>
      <c r="AL80" s="12" t="s">
        <v>608</v>
      </c>
      <c r="AM80" s="12" t="s">
        <v>609</v>
      </c>
      <c r="AN80" s="12" t="s">
        <v>610</v>
      </c>
      <c r="AO80" s="12" t="s">
        <v>611</v>
      </c>
      <c r="AP80" s="12" t="s">
        <v>598</v>
      </c>
      <c r="AQ80" s="12" t="s">
        <v>598</v>
      </c>
      <c r="AR80" s="12" t="s">
        <v>612</v>
      </c>
      <c r="AS80" s="12" t="s">
        <v>613</v>
      </c>
      <c r="AT80" s="12" t="s">
        <v>1976</v>
      </c>
      <c r="AU80" s="12">
        <v>2012.0</v>
      </c>
      <c r="AV80" s="12">
        <v>277.0</v>
      </c>
      <c r="AW80" s="12" t="s">
        <v>598</v>
      </c>
      <c r="AX80" s="12" t="s">
        <v>598</v>
      </c>
      <c r="AY80" s="12" t="s">
        <v>598</v>
      </c>
      <c r="AZ80" s="12" t="s">
        <v>598</v>
      </c>
      <c r="BA80" s="12" t="s">
        <v>598</v>
      </c>
      <c r="BB80" s="12">
        <v>38.0</v>
      </c>
      <c r="BC80" s="12">
        <v>45.0</v>
      </c>
      <c r="BD80" s="12" t="s">
        <v>598</v>
      </c>
      <c r="BE80" s="12" t="s">
        <v>1977</v>
      </c>
      <c r="BF80" s="13" t="str">
        <f>HYPERLINK("http://dx.doi.org/10.1016/j.foreco.2012.04.021","http://dx.doi.org/10.1016/j.foreco.2012.04.021")</f>
        <v>http://dx.doi.org/10.1016/j.foreco.2012.04.021</v>
      </c>
      <c r="BG80" s="12" t="s">
        <v>598</v>
      </c>
      <c r="BH80" s="12" t="s">
        <v>598</v>
      </c>
      <c r="BI80" s="12">
        <v>8.0</v>
      </c>
      <c r="BJ80" s="12" t="s">
        <v>617</v>
      </c>
      <c r="BK80" s="12" t="s">
        <v>618</v>
      </c>
      <c r="BL80" s="12" t="s">
        <v>617</v>
      </c>
      <c r="BM80" s="12" t="s">
        <v>1978</v>
      </c>
      <c r="BN80" s="12" t="s">
        <v>598</v>
      </c>
      <c r="BO80" s="12" t="s">
        <v>598</v>
      </c>
      <c r="BP80" s="12" t="s">
        <v>598</v>
      </c>
      <c r="BQ80" s="12" t="s">
        <v>598</v>
      </c>
      <c r="BR80" s="12" t="s">
        <v>620</v>
      </c>
      <c r="BS80" s="12" t="s">
        <v>1979</v>
      </c>
      <c r="BT80" s="12" t="str">
        <f>HYPERLINK("https%3A%2F%2Fwww.webofscience.com%2Fwos%2Fwoscc%2Ffull-record%2FWOS:000305860200004","View Full Record in Web of Science")</f>
        <v>View Full Record in Web of Science</v>
      </c>
    </row>
    <row r="81" ht="12.75" customHeight="1">
      <c r="A81" s="12" t="s">
        <v>596</v>
      </c>
      <c r="B81" s="12" t="s">
        <v>1980</v>
      </c>
      <c r="C81" s="12" t="s">
        <v>598</v>
      </c>
      <c r="D81" s="12" t="s">
        <v>598</v>
      </c>
      <c r="E81" s="12" t="s">
        <v>598</v>
      </c>
      <c r="F81" s="12" t="s">
        <v>1981</v>
      </c>
      <c r="G81" s="12" t="s">
        <v>598</v>
      </c>
      <c r="H81" s="12" t="s">
        <v>598</v>
      </c>
      <c r="I81" s="12" t="s">
        <v>104</v>
      </c>
      <c r="J81" s="12" t="s">
        <v>599</v>
      </c>
      <c r="K81" s="12" t="s">
        <v>598</v>
      </c>
      <c r="L81" s="12" t="s">
        <v>598</v>
      </c>
      <c r="M81" s="12" t="s">
        <v>600</v>
      </c>
      <c r="N81" s="12" t="s">
        <v>601</v>
      </c>
      <c r="O81" s="12" t="s">
        <v>598</v>
      </c>
      <c r="P81" s="12" t="s">
        <v>598</v>
      </c>
      <c r="Q81" s="12" t="s">
        <v>598</v>
      </c>
      <c r="R81" s="12" t="s">
        <v>598</v>
      </c>
      <c r="S81" s="12" t="s">
        <v>598</v>
      </c>
      <c r="T81" s="12" t="s">
        <v>1982</v>
      </c>
      <c r="U81" s="12" t="s">
        <v>1983</v>
      </c>
      <c r="V81" s="12" t="s">
        <v>1984</v>
      </c>
      <c r="W81" s="12" t="s">
        <v>1985</v>
      </c>
      <c r="X81" s="12" t="s">
        <v>1986</v>
      </c>
      <c r="Y81" s="12" t="s">
        <v>1987</v>
      </c>
      <c r="Z81" s="12" t="s">
        <v>1988</v>
      </c>
      <c r="AA81" s="12" t="s">
        <v>1989</v>
      </c>
      <c r="AB81" s="12" t="s">
        <v>1990</v>
      </c>
      <c r="AC81" s="12" t="s">
        <v>1991</v>
      </c>
      <c r="AD81" s="12" t="s">
        <v>1991</v>
      </c>
      <c r="AE81" s="12" t="s">
        <v>1992</v>
      </c>
      <c r="AF81" s="12" t="s">
        <v>598</v>
      </c>
      <c r="AG81" s="12">
        <v>80.0</v>
      </c>
      <c r="AH81" s="12">
        <v>36.0</v>
      </c>
      <c r="AI81" s="12">
        <v>41.0</v>
      </c>
      <c r="AJ81" s="12">
        <v>2.0</v>
      </c>
      <c r="AK81" s="12">
        <v>95.0</v>
      </c>
      <c r="AL81" s="12" t="s">
        <v>731</v>
      </c>
      <c r="AM81" s="12" t="s">
        <v>609</v>
      </c>
      <c r="AN81" s="12" t="s">
        <v>732</v>
      </c>
      <c r="AO81" s="12" t="s">
        <v>611</v>
      </c>
      <c r="AP81" s="12" t="s">
        <v>733</v>
      </c>
      <c r="AQ81" s="12" t="s">
        <v>598</v>
      </c>
      <c r="AR81" s="12" t="s">
        <v>612</v>
      </c>
      <c r="AS81" s="12" t="s">
        <v>613</v>
      </c>
      <c r="AT81" s="12" t="s">
        <v>1993</v>
      </c>
      <c r="AU81" s="12">
        <v>2012.0</v>
      </c>
      <c r="AV81" s="12">
        <v>280.0</v>
      </c>
      <c r="AW81" s="12" t="s">
        <v>598</v>
      </c>
      <c r="AX81" s="12" t="s">
        <v>598</v>
      </c>
      <c r="AY81" s="12" t="s">
        <v>598</v>
      </c>
      <c r="AZ81" s="12" t="s">
        <v>598</v>
      </c>
      <c r="BA81" s="12" t="s">
        <v>598</v>
      </c>
      <c r="BB81" s="12">
        <v>71.0</v>
      </c>
      <c r="BC81" s="12">
        <v>81.0</v>
      </c>
      <c r="BD81" s="12" t="s">
        <v>598</v>
      </c>
      <c r="BE81" s="12" t="s">
        <v>1994</v>
      </c>
      <c r="BF81" s="13" t="str">
        <f>HYPERLINK("http://dx.doi.org/10.1016/j.foreco.2012.05.027","http://dx.doi.org/10.1016/j.foreco.2012.05.027")</f>
        <v>http://dx.doi.org/10.1016/j.foreco.2012.05.027</v>
      </c>
      <c r="BG81" s="12" t="s">
        <v>598</v>
      </c>
      <c r="BH81" s="12" t="s">
        <v>598</v>
      </c>
      <c r="BI81" s="12">
        <v>11.0</v>
      </c>
      <c r="BJ81" s="12" t="s">
        <v>617</v>
      </c>
      <c r="BK81" s="12" t="s">
        <v>618</v>
      </c>
      <c r="BL81" s="12" t="s">
        <v>617</v>
      </c>
      <c r="BM81" s="12" t="s">
        <v>1995</v>
      </c>
      <c r="BN81" s="12" t="s">
        <v>598</v>
      </c>
      <c r="BO81" s="12" t="s">
        <v>954</v>
      </c>
      <c r="BP81" s="12" t="s">
        <v>598</v>
      </c>
      <c r="BQ81" s="12" t="s">
        <v>598</v>
      </c>
      <c r="BR81" s="12" t="s">
        <v>620</v>
      </c>
      <c r="BS81" s="12" t="s">
        <v>1996</v>
      </c>
      <c r="BT81" s="12" t="str">
        <f>HYPERLINK("https%3A%2F%2Fwww.webofscience.com%2Fwos%2Fwoscc%2Ffull-record%2FWOS:000307693400009","View Full Record in Web of Science")</f>
        <v>View Full Record in Web of Science</v>
      </c>
    </row>
    <row r="82" ht="12.75" customHeight="1">
      <c r="A82" s="12" t="s">
        <v>596</v>
      </c>
      <c r="B82" s="12" t="s">
        <v>1997</v>
      </c>
      <c r="C82" s="12" t="s">
        <v>598</v>
      </c>
      <c r="D82" s="12" t="s">
        <v>598</v>
      </c>
      <c r="E82" s="12" t="s">
        <v>598</v>
      </c>
      <c r="F82" s="12" t="s">
        <v>1998</v>
      </c>
      <c r="G82" s="12" t="s">
        <v>598</v>
      </c>
      <c r="H82" s="12" t="s">
        <v>598</v>
      </c>
      <c r="I82" s="12" t="s">
        <v>98</v>
      </c>
      <c r="J82" s="12" t="s">
        <v>1448</v>
      </c>
      <c r="K82" s="12" t="s">
        <v>598</v>
      </c>
      <c r="L82" s="12" t="s">
        <v>598</v>
      </c>
      <c r="M82" s="12" t="s">
        <v>600</v>
      </c>
      <c r="N82" s="12" t="s">
        <v>601</v>
      </c>
      <c r="O82" s="12" t="s">
        <v>598</v>
      </c>
      <c r="P82" s="12" t="s">
        <v>598</v>
      </c>
      <c r="Q82" s="12" t="s">
        <v>598</v>
      </c>
      <c r="R82" s="12" t="s">
        <v>598</v>
      </c>
      <c r="S82" s="12" t="s">
        <v>598</v>
      </c>
      <c r="T82" s="12" t="s">
        <v>1999</v>
      </c>
      <c r="U82" s="12" t="s">
        <v>2000</v>
      </c>
      <c r="V82" s="12" t="s">
        <v>2001</v>
      </c>
      <c r="W82" s="12" t="s">
        <v>2002</v>
      </c>
      <c r="X82" s="12" t="s">
        <v>2003</v>
      </c>
      <c r="Y82" s="12" t="s">
        <v>2004</v>
      </c>
      <c r="Z82" s="12" t="s">
        <v>2005</v>
      </c>
      <c r="AA82" s="12" t="s">
        <v>2006</v>
      </c>
      <c r="AB82" s="12" t="s">
        <v>2007</v>
      </c>
      <c r="AC82" s="12" t="s">
        <v>2008</v>
      </c>
      <c r="AD82" s="12" t="s">
        <v>2009</v>
      </c>
      <c r="AE82" s="12" t="s">
        <v>2010</v>
      </c>
      <c r="AF82" s="12" t="s">
        <v>598</v>
      </c>
      <c r="AG82" s="12">
        <v>73.0</v>
      </c>
      <c r="AH82" s="12">
        <v>67.0</v>
      </c>
      <c r="AI82" s="12">
        <v>72.0</v>
      </c>
      <c r="AJ82" s="12">
        <v>0.0</v>
      </c>
      <c r="AK82" s="12">
        <v>96.0</v>
      </c>
      <c r="AL82" s="12" t="s">
        <v>670</v>
      </c>
      <c r="AM82" s="12" t="s">
        <v>671</v>
      </c>
      <c r="AN82" s="12" t="s">
        <v>672</v>
      </c>
      <c r="AO82" s="12" t="s">
        <v>1461</v>
      </c>
      <c r="AP82" s="12" t="s">
        <v>1462</v>
      </c>
      <c r="AQ82" s="12" t="s">
        <v>598</v>
      </c>
      <c r="AR82" s="12" t="s">
        <v>1463</v>
      </c>
      <c r="AS82" s="12" t="s">
        <v>1464</v>
      </c>
      <c r="AT82" s="12" t="s">
        <v>1654</v>
      </c>
      <c r="AU82" s="12">
        <v>2012.0</v>
      </c>
      <c r="AV82" s="12">
        <v>213.0</v>
      </c>
      <c r="AW82" s="12">
        <v>9.0</v>
      </c>
      <c r="AX82" s="12" t="s">
        <v>598</v>
      </c>
      <c r="AY82" s="12" t="s">
        <v>598</v>
      </c>
      <c r="AZ82" s="12" t="s">
        <v>598</v>
      </c>
      <c r="BA82" s="12" t="s">
        <v>598</v>
      </c>
      <c r="BB82" s="12">
        <v>1413.0</v>
      </c>
      <c r="BC82" s="12">
        <v>1424.0</v>
      </c>
      <c r="BD82" s="12" t="s">
        <v>598</v>
      </c>
      <c r="BE82" s="12" t="s">
        <v>2011</v>
      </c>
      <c r="BF82" s="13" t="str">
        <f>HYPERLINK("http://dx.doi.org/10.1007/s11258-012-0100-y","http://dx.doi.org/10.1007/s11258-012-0100-y")</f>
        <v>http://dx.doi.org/10.1007/s11258-012-0100-y</v>
      </c>
      <c r="BG82" s="12" t="s">
        <v>598</v>
      </c>
      <c r="BH82" s="12" t="s">
        <v>598</v>
      </c>
      <c r="BI82" s="12">
        <v>12.0</v>
      </c>
      <c r="BJ82" s="12" t="s">
        <v>1247</v>
      </c>
      <c r="BK82" s="12" t="s">
        <v>618</v>
      </c>
      <c r="BL82" s="12" t="s">
        <v>1248</v>
      </c>
      <c r="BM82" s="12" t="s">
        <v>2012</v>
      </c>
      <c r="BN82" s="12" t="s">
        <v>598</v>
      </c>
      <c r="BO82" s="12" t="s">
        <v>598</v>
      </c>
      <c r="BP82" s="12" t="s">
        <v>598</v>
      </c>
      <c r="BQ82" s="12" t="s">
        <v>598</v>
      </c>
      <c r="BR82" s="12" t="s">
        <v>620</v>
      </c>
      <c r="BS82" s="12" t="s">
        <v>2013</v>
      </c>
      <c r="BT82" s="12" t="str">
        <f>HYPERLINK("https%3A%2F%2Fwww.webofscience.com%2Fwos%2Fwoscc%2Ffull-record%2FWOS:000307718300004","View Full Record in Web of Science")</f>
        <v>View Full Record in Web of Science</v>
      </c>
    </row>
    <row r="83" ht="12.75" customHeight="1">
      <c r="A83" s="12" t="s">
        <v>596</v>
      </c>
      <c r="B83" s="12" t="s">
        <v>2014</v>
      </c>
      <c r="C83" s="12" t="s">
        <v>598</v>
      </c>
      <c r="D83" s="12" t="s">
        <v>598</v>
      </c>
      <c r="E83" s="12" t="s">
        <v>598</v>
      </c>
      <c r="F83" s="12" t="s">
        <v>2015</v>
      </c>
      <c r="G83" s="12" t="s">
        <v>598</v>
      </c>
      <c r="H83" s="12" t="s">
        <v>598</v>
      </c>
      <c r="I83" s="12" t="s">
        <v>2016</v>
      </c>
      <c r="J83" s="12" t="s">
        <v>1030</v>
      </c>
      <c r="K83" s="12" t="s">
        <v>598</v>
      </c>
      <c r="L83" s="12" t="s">
        <v>598</v>
      </c>
      <c r="M83" s="12" t="s">
        <v>600</v>
      </c>
      <c r="N83" s="12" t="s">
        <v>601</v>
      </c>
      <c r="O83" s="12" t="s">
        <v>598</v>
      </c>
      <c r="P83" s="12" t="s">
        <v>598</v>
      </c>
      <c r="Q83" s="12" t="s">
        <v>598</v>
      </c>
      <c r="R83" s="12" t="s">
        <v>598</v>
      </c>
      <c r="S83" s="12" t="s">
        <v>598</v>
      </c>
      <c r="T83" s="12" t="s">
        <v>2017</v>
      </c>
      <c r="U83" s="12" t="s">
        <v>2018</v>
      </c>
      <c r="V83" s="12" t="s">
        <v>2019</v>
      </c>
      <c r="W83" s="12" t="s">
        <v>2020</v>
      </c>
      <c r="X83" s="12" t="s">
        <v>2021</v>
      </c>
      <c r="Y83" s="12" t="s">
        <v>2022</v>
      </c>
      <c r="Z83" s="12" t="s">
        <v>2023</v>
      </c>
      <c r="AA83" s="12" t="s">
        <v>598</v>
      </c>
      <c r="AB83" s="12" t="s">
        <v>2024</v>
      </c>
      <c r="AC83" s="12" t="s">
        <v>2025</v>
      </c>
      <c r="AD83" s="12" t="s">
        <v>2025</v>
      </c>
      <c r="AE83" s="12" t="s">
        <v>2026</v>
      </c>
      <c r="AF83" s="12" t="s">
        <v>598</v>
      </c>
      <c r="AG83" s="12">
        <v>32.0</v>
      </c>
      <c r="AH83" s="12">
        <v>82.0</v>
      </c>
      <c r="AI83" s="12">
        <v>95.0</v>
      </c>
      <c r="AJ83" s="12">
        <v>0.0</v>
      </c>
      <c r="AK83" s="12">
        <v>80.0</v>
      </c>
      <c r="AL83" s="12" t="s">
        <v>708</v>
      </c>
      <c r="AM83" s="12" t="s">
        <v>709</v>
      </c>
      <c r="AN83" s="12" t="s">
        <v>710</v>
      </c>
      <c r="AO83" s="12" t="s">
        <v>1039</v>
      </c>
      <c r="AP83" s="12" t="s">
        <v>1040</v>
      </c>
      <c r="AQ83" s="12" t="s">
        <v>598</v>
      </c>
      <c r="AR83" s="12" t="s">
        <v>1041</v>
      </c>
      <c r="AS83" s="12" t="s">
        <v>1042</v>
      </c>
      <c r="AT83" s="12" t="s">
        <v>715</v>
      </c>
      <c r="AU83" s="12">
        <v>2012.0</v>
      </c>
      <c r="AV83" s="12">
        <v>26.0</v>
      </c>
      <c r="AW83" s="12">
        <v>6.0</v>
      </c>
      <c r="AX83" s="12" t="s">
        <v>598</v>
      </c>
      <c r="AY83" s="12" t="s">
        <v>598</v>
      </c>
      <c r="AZ83" s="12" t="s">
        <v>598</v>
      </c>
      <c r="BA83" s="12" t="s">
        <v>598</v>
      </c>
      <c r="BB83" s="12">
        <v>1040.0</v>
      </c>
      <c r="BC83" s="12">
        <v>1051.0</v>
      </c>
      <c r="BD83" s="12" t="s">
        <v>598</v>
      </c>
      <c r="BE83" s="12" t="s">
        <v>2027</v>
      </c>
      <c r="BF83" s="13" t="str">
        <f>HYPERLINK("http://dx.doi.org/10.1111/j.1523-1739.2012.01904.x","http://dx.doi.org/10.1111/j.1523-1739.2012.01904.x")</f>
        <v>http://dx.doi.org/10.1111/j.1523-1739.2012.01904.x</v>
      </c>
      <c r="BG83" s="12" t="s">
        <v>598</v>
      </c>
      <c r="BH83" s="12" t="s">
        <v>598</v>
      </c>
      <c r="BI83" s="12">
        <v>12.0</v>
      </c>
      <c r="BJ83" s="12" t="s">
        <v>678</v>
      </c>
      <c r="BK83" s="12" t="s">
        <v>618</v>
      </c>
      <c r="BL83" s="12" t="s">
        <v>679</v>
      </c>
      <c r="BM83" s="12" t="s">
        <v>2028</v>
      </c>
      <c r="BN83" s="12">
        <v>2.2862688E7</v>
      </c>
      <c r="BO83" s="12" t="s">
        <v>598</v>
      </c>
      <c r="BP83" s="12" t="s">
        <v>598</v>
      </c>
      <c r="BQ83" s="12" t="s">
        <v>598</v>
      </c>
      <c r="BR83" s="12" t="s">
        <v>620</v>
      </c>
      <c r="BS83" s="12" t="s">
        <v>2029</v>
      </c>
      <c r="BT83" s="12" t="str">
        <f>HYPERLINK("https%3A%2F%2Fwww.webofscience.com%2Fwos%2Fwoscc%2Ffull-record%2FWOS:000310798400011","View Full Record in Web of Science")</f>
        <v>View Full Record in Web of Science</v>
      </c>
    </row>
    <row r="84" ht="12.75" customHeight="1">
      <c r="A84" s="12" t="s">
        <v>596</v>
      </c>
      <c r="B84" s="12" t="s">
        <v>2030</v>
      </c>
      <c r="C84" s="12" t="s">
        <v>598</v>
      </c>
      <c r="D84" s="12" t="s">
        <v>598</v>
      </c>
      <c r="E84" s="12" t="s">
        <v>598</v>
      </c>
      <c r="F84" s="12" t="s">
        <v>2031</v>
      </c>
      <c r="G84" s="12" t="s">
        <v>598</v>
      </c>
      <c r="H84" s="12" t="s">
        <v>598</v>
      </c>
      <c r="I84" s="12" t="s">
        <v>102</v>
      </c>
      <c r="J84" s="12" t="s">
        <v>2032</v>
      </c>
      <c r="K84" s="12" t="s">
        <v>598</v>
      </c>
      <c r="L84" s="12" t="s">
        <v>598</v>
      </c>
      <c r="M84" s="12" t="s">
        <v>600</v>
      </c>
      <c r="N84" s="12" t="s">
        <v>601</v>
      </c>
      <c r="O84" s="12" t="s">
        <v>598</v>
      </c>
      <c r="P84" s="12" t="s">
        <v>598</v>
      </c>
      <c r="Q84" s="12" t="s">
        <v>598</v>
      </c>
      <c r="R84" s="12" t="s">
        <v>598</v>
      </c>
      <c r="S84" s="12" t="s">
        <v>598</v>
      </c>
      <c r="T84" s="12" t="s">
        <v>2033</v>
      </c>
      <c r="U84" s="12" t="s">
        <v>2034</v>
      </c>
      <c r="V84" s="12" t="s">
        <v>2035</v>
      </c>
      <c r="W84" s="12" t="s">
        <v>2036</v>
      </c>
      <c r="X84" s="12" t="s">
        <v>2037</v>
      </c>
      <c r="Y84" s="12" t="s">
        <v>2038</v>
      </c>
      <c r="Z84" s="12" t="s">
        <v>2039</v>
      </c>
      <c r="AA84" s="12" t="s">
        <v>598</v>
      </c>
      <c r="AB84" s="12" t="s">
        <v>598</v>
      </c>
      <c r="AC84" s="12" t="s">
        <v>2040</v>
      </c>
      <c r="AD84" s="12" t="s">
        <v>2041</v>
      </c>
      <c r="AE84" s="12" t="s">
        <v>2042</v>
      </c>
      <c r="AF84" s="12" t="s">
        <v>598</v>
      </c>
      <c r="AG84" s="12">
        <v>71.0</v>
      </c>
      <c r="AH84" s="12">
        <v>33.0</v>
      </c>
      <c r="AI84" s="12">
        <v>43.0</v>
      </c>
      <c r="AJ84" s="12">
        <v>0.0</v>
      </c>
      <c r="AK84" s="12">
        <v>81.0</v>
      </c>
      <c r="AL84" s="12" t="s">
        <v>1747</v>
      </c>
      <c r="AM84" s="12" t="s">
        <v>1748</v>
      </c>
      <c r="AN84" s="12" t="s">
        <v>1749</v>
      </c>
      <c r="AO84" s="12" t="s">
        <v>2043</v>
      </c>
      <c r="AP84" s="12" t="s">
        <v>2044</v>
      </c>
      <c r="AQ84" s="12" t="s">
        <v>598</v>
      </c>
      <c r="AR84" s="12" t="s">
        <v>2045</v>
      </c>
      <c r="AS84" s="12" t="s">
        <v>2046</v>
      </c>
      <c r="AT84" s="12" t="s">
        <v>715</v>
      </c>
      <c r="AU84" s="12">
        <v>2012.0</v>
      </c>
      <c r="AV84" s="12">
        <v>17.0</v>
      </c>
      <c r="AW84" s="12">
        <v>6.0</v>
      </c>
      <c r="AX84" s="12" t="s">
        <v>598</v>
      </c>
      <c r="AY84" s="12" t="s">
        <v>598</v>
      </c>
      <c r="AZ84" s="12" t="s">
        <v>598</v>
      </c>
      <c r="BA84" s="12" t="s">
        <v>598</v>
      </c>
      <c r="BB84" s="12">
        <v>468.0</v>
      </c>
      <c r="BC84" s="12">
        <v>478.0</v>
      </c>
      <c r="BD84" s="12" t="s">
        <v>598</v>
      </c>
      <c r="BE84" s="12" t="s">
        <v>2047</v>
      </c>
      <c r="BF84" s="13" t="str">
        <f>HYPERLINK("http://dx.doi.org/10.1007/s10310-011-0316-z","http://dx.doi.org/10.1007/s10310-011-0316-z")</f>
        <v>http://dx.doi.org/10.1007/s10310-011-0316-z</v>
      </c>
      <c r="BG84" s="12" t="s">
        <v>598</v>
      </c>
      <c r="BH84" s="12" t="s">
        <v>598</v>
      </c>
      <c r="BI84" s="12">
        <v>11.0</v>
      </c>
      <c r="BJ84" s="12" t="s">
        <v>617</v>
      </c>
      <c r="BK84" s="12" t="s">
        <v>618</v>
      </c>
      <c r="BL84" s="12" t="s">
        <v>617</v>
      </c>
      <c r="BM84" s="12" t="s">
        <v>2048</v>
      </c>
      <c r="BN84" s="12" t="s">
        <v>598</v>
      </c>
      <c r="BO84" s="12" t="s">
        <v>598</v>
      </c>
      <c r="BP84" s="12" t="s">
        <v>598</v>
      </c>
      <c r="BQ84" s="12" t="s">
        <v>598</v>
      </c>
      <c r="BR84" s="12" t="s">
        <v>620</v>
      </c>
      <c r="BS84" s="12" t="s">
        <v>2049</v>
      </c>
      <c r="BT84" s="12" t="str">
        <f>HYPERLINK("https%3A%2F%2Fwww.webofscience.com%2Fwos%2Fwoscc%2Ffull-record%2FWOS:000310957800003","View Full Record in Web of Science")</f>
        <v>View Full Record in Web of Science</v>
      </c>
    </row>
    <row r="85" ht="12.75" customHeight="1">
      <c r="A85" s="12" t="s">
        <v>596</v>
      </c>
      <c r="B85" s="12" t="s">
        <v>2050</v>
      </c>
      <c r="C85" s="12" t="s">
        <v>598</v>
      </c>
      <c r="D85" s="12" t="s">
        <v>598</v>
      </c>
      <c r="E85" s="12" t="s">
        <v>598</v>
      </c>
      <c r="F85" s="12" t="s">
        <v>2051</v>
      </c>
      <c r="G85" s="12" t="s">
        <v>598</v>
      </c>
      <c r="H85" s="12" t="s">
        <v>598</v>
      </c>
      <c r="I85" s="12" t="s">
        <v>2052</v>
      </c>
      <c r="J85" s="12" t="s">
        <v>2053</v>
      </c>
      <c r="K85" s="12" t="s">
        <v>598</v>
      </c>
      <c r="L85" s="12" t="s">
        <v>598</v>
      </c>
      <c r="M85" s="12" t="s">
        <v>600</v>
      </c>
      <c r="N85" s="12" t="s">
        <v>601</v>
      </c>
      <c r="O85" s="12" t="s">
        <v>598</v>
      </c>
      <c r="P85" s="12" t="s">
        <v>598</v>
      </c>
      <c r="Q85" s="12" t="s">
        <v>598</v>
      </c>
      <c r="R85" s="12" t="s">
        <v>598</v>
      </c>
      <c r="S85" s="12" t="s">
        <v>598</v>
      </c>
      <c r="T85" s="12" t="s">
        <v>598</v>
      </c>
      <c r="U85" s="12" t="s">
        <v>2054</v>
      </c>
      <c r="V85" s="12" t="s">
        <v>2055</v>
      </c>
      <c r="W85" s="12" t="s">
        <v>2056</v>
      </c>
      <c r="X85" s="12" t="s">
        <v>2057</v>
      </c>
      <c r="Y85" s="12" t="s">
        <v>2058</v>
      </c>
      <c r="Z85" s="12" t="s">
        <v>2059</v>
      </c>
      <c r="AA85" s="12" t="s">
        <v>2060</v>
      </c>
      <c r="AB85" s="12" t="s">
        <v>2061</v>
      </c>
      <c r="AC85" s="12" t="s">
        <v>2062</v>
      </c>
      <c r="AD85" s="12" t="s">
        <v>2063</v>
      </c>
      <c r="AE85" s="12" t="s">
        <v>2064</v>
      </c>
      <c r="AF85" s="12" t="s">
        <v>598</v>
      </c>
      <c r="AG85" s="12">
        <v>50.0</v>
      </c>
      <c r="AH85" s="12">
        <v>26.0</v>
      </c>
      <c r="AI85" s="12">
        <v>29.0</v>
      </c>
      <c r="AJ85" s="12">
        <v>1.0</v>
      </c>
      <c r="AK85" s="12">
        <v>60.0</v>
      </c>
      <c r="AL85" s="12" t="s">
        <v>2065</v>
      </c>
      <c r="AM85" s="12" t="s">
        <v>2066</v>
      </c>
      <c r="AN85" s="12" t="s">
        <v>2067</v>
      </c>
      <c r="AO85" s="12" t="s">
        <v>2068</v>
      </c>
      <c r="AP85" s="12" t="s">
        <v>598</v>
      </c>
      <c r="AQ85" s="12" t="s">
        <v>598</v>
      </c>
      <c r="AR85" s="12" t="s">
        <v>2053</v>
      </c>
      <c r="AS85" s="12" t="s">
        <v>2069</v>
      </c>
      <c r="AT85" s="12" t="s">
        <v>2070</v>
      </c>
      <c r="AU85" s="12">
        <v>2012.0</v>
      </c>
      <c r="AV85" s="12">
        <v>7.0</v>
      </c>
      <c r="AW85" s="12">
        <v>12.0</v>
      </c>
      <c r="AX85" s="12" t="s">
        <v>598</v>
      </c>
      <c r="AY85" s="12" t="s">
        <v>598</v>
      </c>
      <c r="AZ85" s="12" t="s">
        <v>598</v>
      </c>
      <c r="BA85" s="12" t="s">
        <v>598</v>
      </c>
      <c r="BB85" s="12" t="s">
        <v>598</v>
      </c>
      <c r="BC85" s="12" t="s">
        <v>598</v>
      </c>
      <c r="BD85" s="12" t="s">
        <v>2071</v>
      </c>
      <c r="BE85" s="12" t="s">
        <v>2072</v>
      </c>
      <c r="BF85" s="13" t="str">
        <f>HYPERLINK("http://dx.doi.org/10.1371/journal.pone.0051520","http://dx.doi.org/10.1371/journal.pone.0051520")</f>
        <v>http://dx.doi.org/10.1371/journal.pone.0051520</v>
      </c>
      <c r="BG85" s="12" t="s">
        <v>598</v>
      </c>
      <c r="BH85" s="12" t="s">
        <v>598</v>
      </c>
      <c r="BI85" s="12">
        <v>9.0</v>
      </c>
      <c r="BJ85" s="12" t="s">
        <v>2073</v>
      </c>
      <c r="BK85" s="12" t="s">
        <v>618</v>
      </c>
      <c r="BL85" s="12" t="s">
        <v>2074</v>
      </c>
      <c r="BM85" s="12" t="s">
        <v>2075</v>
      </c>
      <c r="BN85" s="12">
        <v>2.3251563E7</v>
      </c>
      <c r="BO85" s="12" t="s">
        <v>1002</v>
      </c>
      <c r="BP85" s="12" t="s">
        <v>598</v>
      </c>
      <c r="BQ85" s="12" t="s">
        <v>598</v>
      </c>
      <c r="BR85" s="12" t="s">
        <v>620</v>
      </c>
      <c r="BS85" s="12" t="s">
        <v>2076</v>
      </c>
      <c r="BT85" s="12" t="str">
        <f>HYPERLINK("https%3A%2F%2Fwww.webofscience.com%2Fwos%2Fwoscc%2Ffull-record%2FWOS:000313236200129","View Full Record in Web of Science")</f>
        <v>View Full Record in Web of Science</v>
      </c>
    </row>
    <row r="86" ht="12.75" customHeight="1">
      <c r="A86" s="12" t="s">
        <v>596</v>
      </c>
      <c r="B86" s="12" t="s">
        <v>2077</v>
      </c>
      <c r="C86" s="12" t="s">
        <v>598</v>
      </c>
      <c r="D86" s="12" t="s">
        <v>598</v>
      </c>
      <c r="E86" s="12" t="s">
        <v>598</v>
      </c>
      <c r="F86" s="12" t="s">
        <v>2078</v>
      </c>
      <c r="G86" s="12" t="s">
        <v>598</v>
      </c>
      <c r="H86" s="12" t="s">
        <v>598</v>
      </c>
      <c r="I86" s="12" t="s">
        <v>2079</v>
      </c>
      <c r="J86" s="12" t="s">
        <v>2053</v>
      </c>
      <c r="K86" s="12" t="s">
        <v>598</v>
      </c>
      <c r="L86" s="12" t="s">
        <v>598</v>
      </c>
      <c r="M86" s="12" t="s">
        <v>600</v>
      </c>
      <c r="N86" s="12" t="s">
        <v>601</v>
      </c>
      <c r="O86" s="12" t="s">
        <v>598</v>
      </c>
      <c r="P86" s="12" t="s">
        <v>598</v>
      </c>
      <c r="Q86" s="12" t="s">
        <v>598</v>
      </c>
      <c r="R86" s="12" t="s">
        <v>598</v>
      </c>
      <c r="S86" s="12" t="s">
        <v>598</v>
      </c>
      <c r="T86" s="12" t="s">
        <v>598</v>
      </c>
      <c r="U86" s="12" t="s">
        <v>2080</v>
      </c>
      <c r="V86" s="12" t="s">
        <v>2081</v>
      </c>
      <c r="W86" s="12" t="s">
        <v>2082</v>
      </c>
      <c r="X86" s="12" t="s">
        <v>2083</v>
      </c>
      <c r="Y86" s="12" t="s">
        <v>2084</v>
      </c>
      <c r="Z86" s="12" t="s">
        <v>2085</v>
      </c>
      <c r="AA86" s="12" t="s">
        <v>2086</v>
      </c>
      <c r="AB86" s="12" t="s">
        <v>2087</v>
      </c>
      <c r="AC86" s="12" t="s">
        <v>2088</v>
      </c>
      <c r="AD86" s="12" t="s">
        <v>2089</v>
      </c>
      <c r="AE86" s="12" t="s">
        <v>2090</v>
      </c>
      <c r="AF86" s="12" t="s">
        <v>598</v>
      </c>
      <c r="AG86" s="12">
        <v>42.0</v>
      </c>
      <c r="AH86" s="12">
        <v>31.0</v>
      </c>
      <c r="AI86" s="12">
        <v>33.0</v>
      </c>
      <c r="AJ86" s="12">
        <v>0.0</v>
      </c>
      <c r="AK86" s="12">
        <v>116.0</v>
      </c>
      <c r="AL86" s="12" t="s">
        <v>2065</v>
      </c>
      <c r="AM86" s="12" t="s">
        <v>2066</v>
      </c>
      <c r="AN86" s="12" t="s">
        <v>2067</v>
      </c>
      <c r="AO86" s="12" t="s">
        <v>2068</v>
      </c>
      <c r="AP86" s="12" t="s">
        <v>598</v>
      </c>
      <c r="AQ86" s="12" t="s">
        <v>598</v>
      </c>
      <c r="AR86" s="12" t="s">
        <v>2053</v>
      </c>
      <c r="AS86" s="12" t="s">
        <v>2069</v>
      </c>
      <c r="AT86" s="12" t="s">
        <v>2091</v>
      </c>
      <c r="AU86" s="12">
        <v>2013.0</v>
      </c>
      <c r="AV86" s="12">
        <v>8.0</v>
      </c>
      <c r="AW86" s="12">
        <v>1.0</v>
      </c>
      <c r="AX86" s="12" t="s">
        <v>598</v>
      </c>
      <c r="AY86" s="12" t="s">
        <v>598</v>
      </c>
      <c r="AZ86" s="12" t="s">
        <v>598</v>
      </c>
      <c r="BA86" s="12" t="s">
        <v>598</v>
      </c>
      <c r="BB86" s="12" t="s">
        <v>598</v>
      </c>
      <c r="BC86" s="12" t="s">
        <v>598</v>
      </c>
      <c r="BD86" s="12" t="s">
        <v>2092</v>
      </c>
      <c r="BE86" s="12" t="s">
        <v>2093</v>
      </c>
      <c r="BF86" s="13" t="str">
        <f>HYPERLINK("http://dx.doi.org/10.1371/journal.pone.0054818","http://dx.doi.org/10.1371/journal.pone.0054818")</f>
        <v>http://dx.doi.org/10.1371/journal.pone.0054818</v>
      </c>
      <c r="BG86" s="12" t="s">
        <v>598</v>
      </c>
      <c r="BH86" s="12" t="s">
        <v>598</v>
      </c>
      <c r="BI86" s="12">
        <v>7.0</v>
      </c>
      <c r="BJ86" s="12" t="s">
        <v>2073</v>
      </c>
      <c r="BK86" s="12" t="s">
        <v>618</v>
      </c>
      <c r="BL86" s="12" t="s">
        <v>2074</v>
      </c>
      <c r="BM86" s="12" t="s">
        <v>2094</v>
      </c>
      <c r="BN86" s="12">
        <v>2.3382979E7</v>
      </c>
      <c r="BO86" s="12" t="s">
        <v>1002</v>
      </c>
      <c r="BP86" s="12" t="s">
        <v>598</v>
      </c>
      <c r="BQ86" s="12" t="s">
        <v>598</v>
      </c>
      <c r="BR86" s="12" t="s">
        <v>620</v>
      </c>
      <c r="BS86" s="12" t="s">
        <v>2095</v>
      </c>
      <c r="BT86" s="12" t="str">
        <f>HYPERLINK("https%3A%2F%2Fwww.webofscience.com%2Fwos%2Fwoscc%2Ffull-record%2FWOS:000315211500031","View Full Record in Web of Science")</f>
        <v>View Full Record in Web of Science</v>
      </c>
    </row>
    <row r="87" ht="12.75" customHeight="1">
      <c r="A87" s="12" t="s">
        <v>596</v>
      </c>
      <c r="B87" s="12" t="s">
        <v>2096</v>
      </c>
      <c r="C87" s="12" t="s">
        <v>598</v>
      </c>
      <c r="D87" s="12" t="s">
        <v>598</v>
      </c>
      <c r="E87" s="12" t="s">
        <v>598</v>
      </c>
      <c r="F87" s="12" t="s">
        <v>2097</v>
      </c>
      <c r="G87" s="12" t="s">
        <v>598</v>
      </c>
      <c r="H87" s="12" t="s">
        <v>598</v>
      </c>
      <c r="I87" s="12" t="s">
        <v>2098</v>
      </c>
      <c r="J87" s="12" t="s">
        <v>2053</v>
      </c>
      <c r="K87" s="12" t="s">
        <v>598</v>
      </c>
      <c r="L87" s="12" t="s">
        <v>598</v>
      </c>
      <c r="M87" s="12" t="s">
        <v>600</v>
      </c>
      <c r="N87" s="12" t="s">
        <v>601</v>
      </c>
      <c r="O87" s="12" t="s">
        <v>598</v>
      </c>
      <c r="P87" s="12" t="s">
        <v>598</v>
      </c>
      <c r="Q87" s="12" t="s">
        <v>598</v>
      </c>
      <c r="R87" s="12" t="s">
        <v>598</v>
      </c>
      <c r="S87" s="12" t="s">
        <v>598</v>
      </c>
      <c r="T87" s="12" t="s">
        <v>598</v>
      </c>
      <c r="U87" s="12" t="s">
        <v>2099</v>
      </c>
      <c r="V87" s="12" t="s">
        <v>2100</v>
      </c>
      <c r="W87" s="12" t="s">
        <v>2101</v>
      </c>
      <c r="X87" s="12" t="s">
        <v>2102</v>
      </c>
      <c r="Y87" s="12" t="s">
        <v>2103</v>
      </c>
      <c r="Z87" s="12" t="s">
        <v>2104</v>
      </c>
      <c r="AA87" s="12" t="s">
        <v>2105</v>
      </c>
      <c r="AB87" s="12" t="s">
        <v>2106</v>
      </c>
      <c r="AC87" s="12" t="s">
        <v>2107</v>
      </c>
      <c r="AD87" s="12" t="s">
        <v>2108</v>
      </c>
      <c r="AE87" s="12" t="s">
        <v>2109</v>
      </c>
      <c r="AF87" s="12" t="s">
        <v>598</v>
      </c>
      <c r="AG87" s="12">
        <v>53.0</v>
      </c>
      <c r="AH87" s="12">
        <v>63.0</v>
      </c>
      <c r="AI87" s="12">
        <v>70.0</v>
      </c>
      <c r="AJ87" s="12">
        <v>1.0</v>
      </c>
      <c r="AK87" s="12">
        <v>11.0</v>
      </c>
      <c r="AL87" s="12" t="s">
        <v>2065</v>
      </c>
      <c r="AM87" s="12" t="s">
        <v>2066</v>
      </c>
      <c r="AN87" s="12" t="s">
        <v>2067</v>
      </c>
      <c r="AO87" s="12" t="s">
        <v>2068</v>
      </c>
      <c r="AP87" s="12" t="s">
        <v>598</v>
      </c>
      <c r="AQ87" s="12" t="s">
        <v>598</v>
      </c>
      <c r="AR87" s="12" t="s">
        <v>2053</v>
      </c>
      <c r="AS87" s="12" t="s">
        <v>2069</v>
      </c>
      <c r="AT87" s="12" t="s">
        <v>2110</v>
      </c>
      <c r="AU87" s="12">
        <v>2013.0</v>
      </c>
      <c r="AV87" s="12">
        <v>8.0</v>
      </c>
      <c r="AW87" s="12">
        <v>1.0</v>
      </c>
      <c r="AX87" s="12" t="s">
        <v>598</v>
      </c>
      <c r="AY87" s="12" t="s">
        <v>598</v>
      </c>
      <c r="AZ87" s="12" t="s">
        <v>598</v>
      </c>
      <c r="BA87" s="12" t="s">
        <v>598</v>
      </c>
      <c r="BB87" s="12" t="s">
        <v>598</v>
      </c>
      <c r="BC87" s="12" t="s">
        <v>598</v>
      </c>
      <c r="BD87" s="12" t="s">
        <v>2111</v>
      </c>
      <c r="BE87" s="12" t="s">
        <v>2112</v>
      </c>
      <c r="BF87" s="13" t="str">
        <f>HYPERLINK("http://dx.doi.org/10.1371/journal.pone.0055461","http://dx.doi.org/10.1371/journal.pone.0055461")</f>
        <v>http://dx.doi.org/10.1371/journal.pone.0055461</v>
      </c>
      <c r="BG87" s="12" t="s">
        <v>598</v>
      </c>
      <c r="BH87" s="12" t="s">
        <v>598</v>
      </c>
      <c r="BI87" s="12">
        <v>9.0</v>
      </c>
      <c r="BJ87" s="12" t="s">
        <v>2073</v>
      </c>
      <c r="BK87" s="12" t="s">
        <v>618</v>
      </c>
      <c r="BL87" s="12" t="s">
        <v>2074</v>
      </c>
      <c r="BM87" s="12" t="s">
        <v>2113</v>
      </c>
      <c r="BN87" s="12">
        <v>2.3383196E7</v>
      </c>
      <c r="BO87" s="12" t="s">
        <v>1002</v>
      </c>
      <c r="BP87" s="12" t="s">
        <v>598</v>
      </c>
      <c r="BQ87" s="12" t="s">
        <v>598</v>
      </c>
      <c r="BR87" s="12" t="s">
        <v>620</v>
      </c>
      <c r="BS87" s="12" t="s">
        <v>2114</v>
      </c>
      <c r="BT87" s="12" t="str">
        <f>HYPERLINK("https%3A%2F%2Fwww.webofscience.com%2Fwos%2Fwoscc%2Ffull-record%2FWOS:000315483200052","View Full Record in Web of Science")</f>
        <v>View Full Record in Web of Science</v>
      </c>
    </row>
    <row r="88" ht="12.75" customHeight="1">
      <c r="A88" s="12" t="s">
        <v>596</v>
      </c>
      <c r="B88" s="12" t="s">
        <v>2115</v>
      </c>
      <c r="C88" s="12" t="s">
        <v>598</v>
      </c>
      <c r="D88" s="12" t="s">
        <v>598</v>
      </c>
      <c r="E88" s="12" t="s">
        <v>598</v>
      </c>
      <c r="F88" s="12" t="s">
        <v>2116</v>
      </c>
      <c r="G88" s="12" t="s">
        <v>598</v>
      </c>
      <c r="H88" s="12" t="s">
        <v>598</v>
      </c>
      <c r="I88" s="12" t="s">
        <v>175</v>
      </c>
      <c r="J88" s="12" t="s">
        <v>2117</v>
      </c>
      <c r="K88" s="12" t="s">
        <v>598</v>
      </c>
      <c r="L88" s="12" t="s">
        <v>598</v>
      </c>
      <c r="M88" s="12" t="s">
        <v>600</v>
      </c>
      <c r="N88" s="12" t="s">
        <v>601</v>
      </c>
      <c r="O88" s="12" t="s">
        <v>598</v>
      </c>
      <c r="P88" s="12" t="s">
        <v>598</v>
      </c>
      <c r="Q88" s="12" t="s">
        <v>598</v>
      </c>
      <c r="R88" s="12" t="s">
        <v>598</v>
      </c>
      <c r="S88" s="12" t="s">
        <v>598</v>
      </c>
      <c r="T88" s="12" t="s">
        <v>2118</v>
      </c>
      <c r="U88" s="12" t="s">
        <v>2119</v>
      </c>
      <c r="V88" s="12" t="s">
        <v>2120</v>
      </c>
      <c r="W88" s="12" t="s">
        <v>2121</v>
      </c>
      <c r="X88" s="12" t="s">
        <v>2122</v>
      </c>
      <c r="Y88" s="12" t="s">
        <v>2123</v>
      </c>
      <c r="Z88" s="12" t="s">
        <v>2124</v>
      </c>
      <c r="AA88" s="12" t="s">
        <v>2125</v>
      </c>
      <c r="AB88" s="12" t="s">
        <v>2126</v>
      </c>
      <c r="AC88" s="12" t="s">
        <v>2127</v>
      </c>
      <c r="AD88" s="12" t="s">
        <v>2128</v>
      </c>
      <c r="AE88" s="12" t="s">
        <v>2129</v>
      </c>
      <c r="AF88" s="12" t="s">
        <v>598</v>
      </c>
      <c r="AG88" s="12">
        <v>54.0</v>
      </c>
      <c r="AH88" s="12">
        <v>21.0</v>
      </c>
      <c r="AI88" s="12">
        <v>21.0</v>
      </c>
      <c r="AJ88" s="12">
        <v>1.0</v>
      </c>
      <c r="AK88" s="12">
        <v>105.0</v>
      </c>
      <c r="AL88" s="12" t="s">
        <v>708</v>
      </c>
      <c r="AM88" s="12" t="s">
        <v>709</v>
      </c>
      <c r="AN88" s="12" t="s">
        <v>710</v>
      </c>
      <c r="AO88" s="12" t="s">
        <v>2130</v>
      </c>
      <c r="AP88" s="12" t="s">
        <v>2131</v>
      </c>
      <c r="AQ88" s="12" t="s">
        <v>598</v>
      </c>
      <c r="AR88" s="12" t="s">
        <v>2132</v>
      </c>
      <c r="AS88" s="12" t="s">
        <v>2133</v>
      </c>
      <c r="AT88" s="12" t="s">
        <v>924</v>
      </c>
      <c r="AU88" s="12">
        <v>2013.0</v>
      </c>
      <c r="AV88" s="12">
        <v>16.0</v>
      </c>
      <c r="AW88" s="12">
        <v>2.0</v>
      </c>
      <c r="AX88" s="12" t="s">
        <v>598</v>
      </c>
      <c r="AY88" s="12" t="s">
        <v>598</v>
      </c>
      <c r="AZ88" s="12" t="s">
        <v>598</v>
      </c>
      <c r="BA88" s="12" t="s">
        <v>598</v>
      </c>
      <c r="BB88" s="12">
        <v>286.0</v>
      </c>
      <c r="BC88" s="12">
        <v>295.0</v>
      </c>
      <c r="BD88" s="12" t="s">
        <v>598</v>
      </c>
      <c r="BE88" s="12" t="s">
        <v>2134</v>
      </c>
      <c r="BF88" s="13" t="str">
        <f>HYPERLINK("http://dx.doi.org/10.1111/avsc.12001","http://dx.doi.org/10.1111/avsc.12001")</f>
        <v>http://dx.doi.org/10.1111/avsc.12001</v>
      </c>
      <c r="BG88" s="12" t="s">
        <v>598</v>
      </c>
      <c r="BH88" s="12" t="s">
        <v>598</v>
      </c>
      <c r="BI88" s="12">
        <v>10.0</v>
      </c>
      <c r="BJ88" s="12" t="s">
        <v>1247</v>
      </c>
      <c r="BK88" s="12" t="s">
        <v>618</v>
      </c>
      <c r="BL88" s="12" t="s">
        <v>1248</v>
      </c>
      <c r="BM88" s="12" t="s">
        <v>2135</v>
      </c>
      <c r="BN88" s="12" t="s">
        <v>598</v>
      </c>
      <c r="BO88" s="12" t="s">
        <v>598</v>
      </c>
      <c r="BP88" s="12" t="s">
        <v>598</v>
      </c>
      <c r="BQ88" s="12" t="s">
        <v>598</v>
      </c>
      <c r="BR88" s="12" t="s">
        <v>620</v>
      </c>
      <c r="BS88" s="12" t="s">
        <v>2136</v>
      </c>
      <c r="BT88" s="12" t="str">
        <f>HYPERLINK("https%3A%2F%2Fwww.webofscience.com%2Fwos%2Fwoscc%2Ffull-record%2FWOS:000315690500013","View Full Record in Web of Science")</f>
        <v>View Full Record in Web of Science</v>
      </c>
    </row>
    <row r="89" ht="12.75" customHeight="1">
      <c r="A89" s="12" t="s">
        <v>596</v>
      </c>
      <c r="B89" s="12" t="s">
        <v>2137</v>
      </c>
      <c r="C89" s="12" t="s">
        <v>598</v>
      </c>
      <c r="D89" s="12" t="s">
        <v>598</v>
      </c>
      <c r="E89" s="12" t="s">
        <v>598</v>
      </c>
      <c r="F89" s="12" t="s">
        <v>2138</v>
      </c>
      <c r="G89" s="12" t="s">
        <v>598</v>
      </c>
      <c r="H89" s="12" t="s">
        <v>598</v>
      </c>
      <c r="I89" s="12" t="s">
        <v>185</v>
      </c>
      <c r="J89" s="12" t="s">
        <v>2139</v>
      </c>
      <c r="K89" s="12" t="s">
        <v>598</v>
      </c>
      <c r="L89" s="12" t="s">
        <v>598</v>
      </c>
      <c r="M89" s="12" t="s">
        <v>600</v>
      </c>
      <c r="N89" s="12" t="s">
        <v>601</v>
      </c>
      <c r="O89" s="12" t="s">
        <v>598</v>
      </c>
      <c r="P89" s="12" t="s">
        <v>598</v>
      </c>
      <c r="Q89" s="12" t="s">
        <v>598</v>
      </c>
      <c r="R89" s="12" t="s">
        <v>598</v>
      </c>
      <c r="S89" s="12" t="s">
        <v>598</v>
      </c>
      <c r="T89" s="12" t="s">
        <v>2140</v>
      </c>
      <c r="U89" s="12" t="s">
        <v>2141</v>
      </c>
      <c r="V89" s="12" t="s">
        <v>2142</v>
      </c>
      <c r="W89" s="12" t="s">
        <v>2143</v>
      </c>
      <c r="X89" s="12" t="s">
        <v>2144</v>
      </c>
      <c r="Y89" s="12" t="s">
        <v>2145</v>
      </c>
      <c r="Z89" s="12" t="s">
        <v>2146</v>
      </c>
      <c r="AA89" s="12" t="s">
        <v>598</v>
      </c>
      <c r="AB89" s="12" t="s">
        <v>598</v>
      </c>
      <c r="AC89" s="12" t="s">
        <v>598</v>
      </c>
      <c r="AD89" s="12" t="s">
        <v>598</v>
      </c>
      <c r="AE89" s="12" t="s">
        <v>598</v>
      </c>
      <c r="AF89" s="12" t="s">
        <v>598</v>
      </c>
      <c r="AG89" s="12">
        <v>47.0</v>
      </c>
      <c r="AH89" s="12">
        <v>2.0</v>
      </c>
      <c r="AI89" s="12">
        <v>2.0</v>
      </c>
      <c r="AJ89" s="12">
        <v>0.0</v>
      </c>
      <c r="AK89" s="12">
        <v>56.0</v>
      </c>
      <c r="AL89" s="12" t="s">
        <v>670</v>
      </c>
      <c r="AM89" s="12" t="s">
        <v>671</v>
      </c>
      <c r="AN89" s="12" t="s">
        <v>672</v>
      </c>
      <c r="AO89" s="12" t="s">
        <v>2147</v>
      </c>
      <c r="AP89" s="12" t="s">
        <v>2148</v>
      </c>
      <c r="AQ89" s="12" t="s">
        <v>598</v>
      </c>
      <c r="AR89" s="12" t="s">
        <v>2149</v>
      </c>
      <c r="AS89" s="12" t="s">
        <v>2150</v>
      </c>
      <c r="AT89" s="12" t="s">
        <v>924</v>
      </c>
      <c r="AU89" s="12">
        <v>2013.0</v>
      </c>
      <c r="AV89" s="12">
        <v>87.0</v>
      </c>
      <c r="AW89" s="12">
        <v>2.0</v>
      </c>
      <c r="AX89" s="12" t="s">
        <v>598</v>
      </c>
      <c r="AY89" s="12" t="s">
        <v>598</v>
      </c>
      <c r="AZ89" s="12" t="s">
        <v>598</v>
      </c>
      <c r="BA89" s="12" t="s">
        <v>598</v>
      </c>
      <c r="BB89" s="12">
        <v>451.0</v>
      </c>
      <c r="BC89" s="12">
        <v>464.0</v>
      </c>
      <c r="BD89" s="12" t="s">
        <v>598</v>
      </c>
      <c r="BE89" s="12" t="s">
        <v>2151</v>
      </c>
      <c r="BF89" s="13" t="str">
        <f>HYPERLINK("http://dx.doi.org/10.1007/s10457-012-9566-9","http://dx.doi.org/10.1007/s10457-012-9566-9")</f>
        <v>http://dx.doi.org/10.1007/s10457-012-9566-9</v>
      </c>
      <c r="BG89" s="12" t="s">
        <v>598</v>
      </c>
      <c r="BH89" s="12" t="s">
        <v>598</v>
      </c>
      <c r="BI89" s="12">
        <v>14.0</v>
      </c>
      <c r="BJ89" s="12" t="s">
        <v>2152</v>
      </c>
      <c r="BK89" s="12" t="s">
        <v>618</v>
      </c>
      <c r="BL89" s="12" t="s">
        <v>2153</v>
      </c>
      <c r="BM89" s="12" t="s">
        <v>2154</v>
      </c>
      <c r="BN89" s="12" t="s">
        <v>598</v>
      </c>
      <c r="BO89" s="12" t="s">
        <v>598</v>
      </c>
      <c r="BP89" s="12" t="s">
        <v>598</v>
      </c>
      <c r="BQ89" s="12" t="s">
        <v>598</v>
      </c>
      <c r="BR89" s="12" t="s">
        <v>620</v>
      </c>
      <c r="BS89" s="12" t="s">
        <v>2155</v>
      </c>
      <c r="BT89" s="12" t="str">
        <f>HYPERLINK("https%3A%2F%2Fwww.webofscience.com%2Fwos%2Fwoscc%2Ffull-record%2FWOS:000316006500019","View Full Record in Web of Science")</f>
        <v>View Full Record in Web of Science</v>
      </c>
    </row>
    <row r="90" ht="12.75" customHeight="1">
      <c r="A90" s="12" t="s">
        <v>596</v>
      </c>
      <c r="B90" s="12" t="s">
        <v>2156</v>
      </c>
      <c r="C90" s="12" t="s">
        <v>598</v>
      </c>
      <c r="D90" s="12" t="s">
        <v>598</v>
      </c>
      <c r="E90" s="12" t="s">
        <v>598</v>
      </c>
      <c r="F90" s="12" t="s">
        <v>2157</v>
      </c>
      <c r="G90" s="12" t="s">
        <v>598</v>
      </c>
      <c r="H90" s="12" t="s">
        <v>598</v>
      </c>
      <c r="I90" s="12" t="s">
        <v>112</v>
      </c>
      <c r="J90" s="12" t="s">
        <v>700</v>
      </c>
      <c r="K90" s="12" t="s">
        <v>598</v>
      </c>
      <c r="L90" s="12" t="s">
        <v>598</v>
      </c>
      <c r="M90" s="12" t="s">
        <v>600</v>
      </c>
      <c r="N90" s="12" t="s">
        <v>601</v>
      </c>
      <c r="O90" s="12" t="s">
        <v>598</v>
      </c>
      <c r="P90" s="12" t="s">
        <v>598</v>
      </c>
      <c r="Q90" s="12" t="s">
        <v>598</v>
      </c>
      <c r="R90" s="12" t="s">
        <v>598</v>
      </c>
      <c r="S90" s="12" t="s">
        <v>598</v>
      </c>
      <c r="T90" s="12" t="s">
        <v>2158</v>
      </c>
      <c r="U90" s="12" t="s">
        <v>2159</v>
      </c>
      <c r="V90" s="12" t="s">
        <v>2160</v>
      </c>
      <c r="W90" s="12" t="s">
        <v>2161</v>
      </c>
      <c r="X90" s="12" t="s">
        <v>2162</v>
      </c>
      <c r="Y90" s="12" t="s">
        <v>2163</v>
      </c>
      <c r="Z90" s="12" t="s">
        <v>2164</v>
      </c>
      <c r="AA90" s="12" t="s">
        <v>2165</v>
      </c>
      <c r="AB90" s="12" t="s">
        <v>2166</v>
      </c>
      <c r="AC90" s="12" t="s">
        <v>2167</v>
      </c>
      <c r="AD90" s="12" t="s">
        <v>2168</v>
      </c>
      <c r="AE90" s="12" t="s">
        <v>2169</v>
      </c>
      <c r="AF90" s="12" t="s">
        <v>598</v>
      </c>
      <c r="AG90" s="12">
        <v>47.0</v>
      </c>
      <c r="AH90" s="12">
        <v>201.0</v>
      </c>
      <c r="AI90" s="12">
        <v>232.0</v>
      </c>
      <c r="AJ90" s="12">
        <v>2.0</v>
      </c>
      <c r="AK90" s="12">
        <v>745.0</v>
      </c>
      <c r="AL90" s="12" t="s">
        <v>1614</v>
      </c>
      <c r="AM90" s="12" t="s">
        <v>709</v>
      </c>
      <c r="AN90" s="12" t="s">
        <v>710</v>
      </c>
      <c r="AO90" s="12" t="s">
        <v>711</v>
      </c>
      <c r="AP90" s="12" t="s">
        <v>598</v>
      </c>
      <c r="AQ90" s="12" t="s">
        <v>598</v>
      </c>
      <c r="AR90" s="12" t="s">
        <v>713</v>
      </c>
      <c r="AS90" s="12" t="s">
        <v>714</v>
      </c>
      <c r="AT90" s="12" t="s">
        <v>924</v>
      </c>
      <c r="AU90" s="12">
        <v>2013.0</v>
      </c>
      <c r="AV90" s="12">
        <v>50.0</v>
      </c>
      <c r="AW90" s="12">
        <v>2.0</v>
      </c>
      <c r="AX90" s="12" t="s">
        <v>598</v>
      </c>
      <c r="AY90" s="12" t="s">
        <v>598</v>
      </c>
      <c r="AZ90" s="12" t="s">
        <v>598</v>
      </c>
      <c r="BA90" s="12" t="s">
        <v>598</v>
      </c>
      <c r="BB90" s="12">
        <v>355.0</v>
      </c>
      <c r="BC90" s="12">
        <v>364.0</v>
      </c>
      <c r="BD90" s="12" t="s">
        <v>598</v>
      </c>
      <c r="BE90" s="12" t="s">
        <v>2170</v>
      </c>
      <c r="BF90" s="13" t="str">
        <f>HYPERLINK("http://dx.doi.org/10.1111/1365-2664.12035","http://dx.doi.org/10.1111/1365-2664.12035")</f>
        <v>http://dx.doi.org/10.1111/1365-2664.12035</v>
      </c>
      <c r="BG90" s="12" t="s">
        <v>598</v>
      </c>
      <c r="BH90" s="12" t="s">
        <v>598</v>
      </c>
      <c r="BI90" s="12">
        <v>10.0</v>
      </c>
      <c r="BJ90" s="12" t="s">
        <v>717</v>
      </c>
      <c r="BK90" s="12" t="s">
        <v>618</v>
      </c>
      <c r="BL90" s="12" t="s">
        <v>679</v>
      </c>
      <c r="BM90" s="12" t="s">
        <v>2171</v>
      </c>
      <c r="BN90" s="12" t="s">
        <v>598</v>
      </c>
      <c r="BO90" s="12" t="s">
        <v>598</v>
      </c>
      <c r="BP90" s="12" t="s">
        <v>598</v>
      </c>
      <c r="BQ90" s="12" t="s">
        <v>598</v>
      </c>
      <c r="BR90" s="12" t="s">
        <v>620</v>
      </c>
      <c r="BS90" s="12" t="s">
        <v>2172</v>
      </c>
      <c r="BT90" s="12" t="str">
        <f>HYPERLINK("https%3A%2F%2Fwww.webofscience.com%2Fwos%2Fwoscc%2Ffull-record%2FWOS:000316969300009","View Full Record in Web of Science")</f>
        <v>View Full Record in Web of Science</v>
      </c>
    </row>
    <row r="91" ht="12.75" customHeight="1">
      <c r="A91" s="12" t="s">
        <v>596</v>
      </c>
      <c r="B91" s="12" t="s">
        <v>2173</v>
      </c>
      <c r="C91" s="12" t="s">
        <v>598</v>
      </c>
      <c r="D91" s="12" t="s">
        <v>598</v>
      </c>
      <c r="E91" s="12" t="s">
        <v>598</v>
      </c>
      <c r="F91" s="12" t="s">
        <v>2174</v>
      </c>
      <c r="G91" s="12" t="s">
        <v>598</v>
      </c>
      <c r="H91" s="12" t="s">
        <v>598</v>
      </c>
      <c r="I91" s="12" t="s">
        <v>2175</v>
      </c>
      <c r="J91" s="12" t="s">
        <v>2176</v>
      </c>
      <c r="K91" s="12" t="s">
        <v>598</v>
      </c>
      <c r="L91" s="12" t="s">
        <v>598</v>
      </c>
      <c r="M91" s="12" t="s">
        <v>600</v>
      </c>
      <c r="N91" s="12" t="s">
        <v>601</v>
      </c>
      <c r="O91" s="12" t="s">
        <v>598</v>
      </c>
      <c r="P91" s="12" t="s">
        <v>598</v>
      </c>
      <c r="Q91" s="12" t="s">
        <v>598</v>
      </c>
      <c r="R91" s="12" t="s">
        <v>598</v>
      </c>
      <c r="S91" s="12" t="s">
        <v>598</v>
      </c>
      <c r="T91" s="12" t="s">
        <v>2177</v>
      </c>
      <c r="U91" s="12" t="s">
        <v>2178</v>
      </c>
      <c r="V91" s="12" t="s">
        <v>2179</v>
      </c>
      <c r="W91" s="12" t="s">
        <v>2180</v>
      </c>
      <c r="X91" s="12" t="s">
        <v>2181</v>
      </c>
      <c r="Y91" s="12" t="s">
        <v>2182</v>
      </c>
      <c r="Z91" s="12" t="s">
        <v>2183</v>
      </c>
      <c r="AA91" s="12" t="s">
        <v>2184</v>
      </c>
      <c r="AB91" s="12" t="s">
        <v>2185</v>
      </c>
      <c r="AC91" s="12" t="s">
        <v>2186</v>
      </c>
      <c r="AD91" s="12" t="s">
        <v>2186</v>
      </c>
      <c r="AE91" s="12" t="s">
        <v>2187</v>
      </c>
      <c r="AF91" s="12" t="s">
        <v>598</v>
      </c>
      <c r="AG91" s="12">
        <v>31.0</v>
      </c>
      <c r="AH91" s="12">
        <v>104.0</v>
      </c>
      <c r="AI91" s="12">
        <v>120.0</v>
      </c>
      <c r="AJ91" s="12">
        <v>4.0</v>
      </c>
      <c r="AK91" s="12">
        <v>216.0</v>
      </c>
      <c r="AL91" s="12" t="s">
        <v>2188</v>
      </c>
      <c r="AM91" s="12" t="s">
        <v>2189</v>
      </c>
      <c r="AN91" s="12" t="s">
        <v>2190</v>
      </c>
      <c r="AO91" s="12" t="s">
        <v>2191</v>
      </c>
      <c r="AP91" s="12" t="s">
        <v>598</v>
      </c>
      <c r="AQ91" s="12" t="s">
        <v>598</v>
      </c>
      <c r="AR91" s="12" t="s">
        <v>2192</v>
      </c>
      <c r="AS91" s="12" t="s">
        <v>2193</v>
      </c>
      <c r="AT91" s="12" t="s">
        <v>2194</v>
      </c>
      <c r="AU91" s="12">
        <v>2013.0</v>
      </c>
      <c r="AV91" s="12">
        <v>110.0</v>
      </c>
      <c r="AW91" s="12">
        <v>21.0</v>
      </c>
      <c r="AX91" s="12" t="s">
        <v>598</v>
      </c>
      <c r="AY91" s="12" t="s">
        <v>598</v>
      </c>
      <c r="AZ91" s="12" t="s">
        <v>598</v>
      </c>
      <c r="BA91" s="12" t="s">
        <v>598</v>
      </c>
      <c r="BB91" s="12">
        <v>8387.0</v>
      </c>
      <c r="BC91" s="12">
        <v>8392.0</v>
      </c>
      <c r="BD91" s="12" t="s">
        <v>598</v>
      </c>
      <c r="BE91" s="12" t="s">
        <v>2195</v>
      </c>
      <c r="BF91" s="13" t="str">
        <f>HYPERLINK("http://dx.doi.org/10.1073/pnas.1210590110","http://dx.doi.org/10.1073/pnas.1210590110")</f>
        <v>http://dx.doi.org/10.1073/pnas.1210590110</v>
      </c>
      <c r="BG91" s="12" t="s">
        <v>598</v>
      </c>
      <c r="BH91" s="12" t="s">
        <v>598</v>
      </c>
      <c r="BI91" s="12">
        <v>6.0</v>
      </c>
      <c r="BJ91" s="12" t="s">
        <v>2073</v>
      </c>
      <c r="BK91" s="12" t="s">
        <v>618</v>
      </c>
      <c r="BL91" s="12" t="s">
        <v>2074</v>
      </c>
      <c r="BM91" s="12" t="s">
        <v>2196</v>
      </c>
      <c r="BN91" s="12">
        <v>2.3671073E7</v>
      </c>
      <c r="BO91" s="12" t="s">
        <v>2197</v>
      </c>
      <c r="BP91" s="12" t="s">
        <v>598</v>
      </c>
      <c r="BQ91" s="12" t="s">
        <v>598</v>
      </c>
      <c r="BR91" s="12" t="s">
        <v>620</v>
      </c>
      <c r="BS91" s="12" t="s">
        <v>2198</v>
      </c>
      <c r="BT91" s="12" t="str">
        <f>HYPERLINK("https%3A%2F%2Fwww.webofscience.com%2Fwos%2Fwoscc%2Ffull-record%2FWOS:000320328700029","View Full Record in Web of Science")</f>
        <v>View Full Record in Web of Science</v>
      </c>
    </row>
    <row r="92" ht="12.75" customHeight="1">
      <c r="A92" s="12" t="s">
        <v>596</v>
      </c>
      <c r="B92" s="12" t="s">
        <v>2199</v>
      </c>
      <c r="C92" s="12" t="s">
        <v>598</v>
      </c>
      <c r="D92" s="12" t="s">
        <v>598</v>
      </c>
      <c r="E92" s="12" t="s">
        <v>598</v>
      </c>
      <c r="F92" s="12" t="s">
        <v>2200</v>
      </c>
      <c r="G92" s="12" t="s">
        <v>598</v>
      </c>
      <c r="H92" s="12" t="s">
        <v>598</v>
      </c>
      <c r="I92" s="12" t="s">
        <v>133</v>
      </c>
      <c r="J92" s="12" t="s">
        <v>599</v>
      </c>
      <c r="K92" s="12" t="s">
        <v>598</v>
      </c>
      <c r="L92" s="12" t="s">
        <v>598</v>
      </c>
      <c r="M92" s="12" t="s">
        <v>600</v>
      </c>
      <c r="N92" s="12" t="s">
        <v>601</v>
      </c>
      <c r="O92" s="12" t="s">
        <v>598</v>
      </c>
      <c r="P92" s="12" t="s">
        <v>598</v>
      </c>
      <c r="Q92" s="12" t="s">
        <v>598</v>
      </c>
      <c r="R92" s="12" t="s">
        <v>598</v>
      </c>
      <c r="S92" s="12" t="s">
        <v>598</v>
      </c>
      <c r="T92" s="12" t="s">
        <v>2201</v>
      </c>
      <c r="U92" s="12" t="s">
        <v>2202</v>
      </c>
      <c r="V92" s="12" t="s">
        <v>2203</v>
      </c>
      <c r="W92" s="12" t="s">
        <v>2204</v>
      </c>
      <c r="X92" s="12" t="s">
        <v>2205</v>
      </c>
      <c r="Y92" s="12" t="s">
        <v>2206</v>
      </c>
      <c r="Z92" s="12" t="s">
        <v>2207</v>
      </c>
      <c r="AA92" s="12" t="s">
        <v>2208</v>
      </c>
      <c r="AB92" s="12" t="s">
        <v>2209</v>
      </c>
      <c r="AC92" s="12" t="s">
        <v>2210</v>
      </c>
      <c r="AD92" s="12" t="s">
        <v>2211</v>
      </c>
      <c r="AE92" s="12" t="s">
        <v>2212</v>
      </c>
      <c r="AF92" s="12" t="s">
        <v>598</v>
      </c>
      <c r="AG92" s="12">
        <v>96.0</v>
      </c>
      <c r="AH92" s="12">
        <v>18.0</v>
      </c>
      <c r="AI92" s="12">
        <v>20.0</v>
      </c>
      <c r="AJ92" s="12">
        <v>2.0</v>
      </c>
      <c r="AK92" s="12">
        <v>61.0</v>
      </c>
      <c r="AL92" s="12" t="s">
        <v>731</v>
      </c>
      <c r="AM92" s="12" t="s">
        <v>609</v>
      </c>
      <c r="AN92" s="12" t="s">
        <v>732</v>
      </c>
      <c r="AO92" s="12" t="s">
        <v>611</v>
      </c>
      <c r="AP92" s="12" t="s">
        <v>733</v>
      </c>
      <c r="AQ92" s="12" t="s">
        <v>598</v>
      </c>
      <c r="AR92" s="12" t="s">
        <v>612</v>
      </c>
      <c r="AS92" s="12" t="s">
        <v>613</v>
      </c>
      <c r="AT92" s="12" t="s">
        <v>2213</v>
      </c>
      <c r="AU92" s="12">
        <v>2013.0</v>
      </c>
      <c r="AV92" s="12">
        <v>302.0</v>
      </c>
      <c r="AW92" s="12" t="s">
        <v>598</v>
      </c>
      <c r="AX92" s="12" t="s">
        <v>598</v>
      </c>
      <c r="AY92" s="12" t="s">
        <v>598</v>
      </c>
      <c r="AZ92" s="12" t="s">
        <v>598</v>
      </c>
      <c r="BA92" s="12" t="s">
        <v>598</v>
      </c>
      <c r="BB92" s="12">
        <v>122.0</v>
      </c>
      <c r="BC92" s="12">
        <v>132.0</v>
      </c>
      <c r="BD92" s="12" t="s">
        <v>598</v>
      </c>
      <c r="BE92" s="12" t="s">
        <v>2214</v>
      </c>
      <c r="BF92" s="13" t="str">
        <f>HYPERLINK("http://dx.doi.org/10.1016/j.foreco.2013.03.018","http://dx.doi.org/10.1016/j.foreco.2013.03.018")</f>
        <v>http://dx.doi.org/10.1016/j.foreco.2013.03.018</v>
      </c>
      <c r="BG92" s="12" t="s">
        <v>598</v>
      </c>
      <c r="BH92" s="12" t="s">
        <v>598</v>
      </c>
      <c r="BI92" s="12">
        <v>11.0</v>
      </c>
      <c r="BJ92" s="12" t="s">
        <v>617</v>
      </c>
      <c r="BK92" s="12" t="s">
        <v>618</v>
      </c>
      <c r="BL92" s="12" t="s">
        <v>617</v>
      </c>
      <c r="BM92" s="12" t="s">
        <v>2215</v>
      </c>
      <c r="BN92" s="12" t="s">
        <v>598</v>
      </c>
      <c r="BO92" s="12" t="s">
        <v>598</v>
      </c>
      <c r="BP92" s="12" t="s">
        <v>598</v>
      </c>
      <c r="BQ92" s="12" t="s">
        <v>598</v>
      </c>
      <c r="BR92" s="12" t="s">
        <v>620</v>
      </c>
      <c r="BS92" s="12" t="s">
        <v>2216</v>
      </c>
      <c r="BT92" s="12" t="str">
        <f>HYPERLINK("https%3A%2F%2Fwww.webofscience.com%2Fwos%2Fwoscc%2Ffull-record%2FWOS:000320741300013","View Full Record in Web of Science")</f>
        <v>View Full Record in Web of Science</v>
      </c>
    </row>
    <row r="93" ht="12.75" customHeight="1">
      <c r="A93" s="12" t="s">
        <v>596</v>
      </c>
      <c r="B93" s="12" t="s">
        <v>2217</v>
      </c>
      <c r="C93" s="12" t="s">
        <v>598</v>
      </c>
      <c r="D93" s="12" t="s">
        <v>598</v>
      </c>
      <c r="E93" s="12" t="s">
        <v>598</v>
      </c>
      <c r="F93" s="12" t="s">
        <v>2218</v>
      </c>
      <c r="G93" s="12" t="s">
        <v>598</v>
      </c>
      <c r="H93" s="12" t="s">
        <v>598</v>
      </c>
      <c r="I93" s="12" t="s">
        <v>2219</v>
      </c>
      <c r="J93" s="12" t="s">
        <v>2220</v>
      </c>
      <c r="K93" s="12" t="s">
        <v>598</v>
      </c>
      <c r="L93" s="12" t="s">
        <v>598</v>
      </c>
      <c r="M93" s="12" t="s">
        <v>600</v>
      </c>
      <c r="N93" s="12" t="s">
        <v>601</v>
      </c>
      <c r="O93" s="12" t="s">
        <v>598</v>
      </c>
      <c r="P93" s="12" t="s">
        <v>598</v>
      </c>
      <c r="Q93" s="12" t="s">
        <v>598</v>
      </c>
      <c r="R93" s="12" t="s">
        <v>598</v>
      </c>
      <c r="S93" s="12" t="s">
        <v>598</v>
      </c>
      <c r="T93" s="12" t="s">
        <v>2221</v>
      </c>
      <c r="U93" s="12" t="s">
        <v>2222</v>
      </c>
      <c r="V93" s="12" t="s">
        <v>2223</v>
      </c>
      <c r="W93" s="12" t="s">
        <v>2224</v>
      </c>
      <c r="X93" s="12" t="s">
        <v>598</v>
      </c>
      <c r="Y93" s="12" t="s">
        <v>2225</v>
      </c>
      <c r="Z93" s="12" t="s">
        <v>2226</v>
      </c>
      <c r="AA93" s="12" t="s">
        <v>2227</v>
      </c>
      <c r="AB93" s="12" t="s">
        <v>2228</v>
      </c>
      <c r="AC93" s="12" t="s">
        <v>598</v>
      </c>
      <c r="AD93" s="12" t="s">
        <v>598</v>
      </c>
      <c r="AE93" s="12" t="s">
        <v>598</v>
      </c>
      <c r="AF93" s="12" t="s">
        <v>598</v>
      </c>
      <c r="AG93" s="12">
        <v>21.0</v>
      </c>
      <c r="AH93" s="12">
        <v>3.0</v>
      </c>
      <c r="AI93" s="12">
        <v>4.0</v>
      </c>
      <c r="AJ93" s="12">
        <v>0.0</v>
      </c>
      <c r="AK93" s="12">
        <v>16.0</v>
      </c>
      <c r="AL93" s="12" t="s">
        <v>2229</v>
      </c>
      <c r="AM93" s="12" t="s">
        <v>2230</v>
      </c>
      <c r="AN93" s="12" t="s">
        <v>2231</v>
      </c>
      <c r="AO93" s="12" t="s">
        <v>2232</v>
      </c>
      <c r="AP93" s="12" t="s">
        <v>2233</v>
      </c>
      <c r="AQ93" s="12" t="s">
        <v>598</v>
      </c>
      <c r="AR93" s="12" t="s">
        <v>2234</v>
      </c>
      <c r="AS93" s="12" t="s">
        <v>2235</v>
      </c>
      <c r="AT93" s="12" t="s">
        <v>598</v>
      </c>
      <c r="AU93" s="12">
        <v>2013.0</v>
      </c>
      <c r="AV93" s="12">
        <v>11.0</v>
      </c>
      <c r="AW93" s="12">
        <v>1.0</v>
      </c>
      <c r="AX93" s="12" t="s">
        <v>598</v>
      </c>
      <c r="AY93" s="12" t="s">
        <v>598</v>
      </c>
      <c r="AZ93" s="12" t="s">
        <v>598</v>
      </c>
      <c r="BA93" s="12" t="s">
        <v>598</v>
      </c>
      <c r="BB93" s="12">
        <v>123.0</v>
      </c>
      <c r="BC93" s="12">
        <v>136.0</v>
      </c>
      <c r="BD93" s="12" t="s">
        <v>598</v>
      </c>
      <c r="BE93" s="12" t="s">
        <v>2236</v>
      </c>
      <c r="BF93" s="13" t="str">
        <f>HYPERLINK("http://dx.doi.org/10.15666/aeer/1101_123136","http://dx.doi.org/10.15666/aeer/1101_123136")</f>
        <v>http://dx.doi.org/10.15666/aeer/1101_123136</v>
      </c>
      <c r="BG93" s="12" t="s">
        <v>598</v>
      </c>
      <c r="BH93" s="12" t="s">
        <v>598</v>
      </c>
      <c r="BI93" s="12">
        <v>14.0</v>
      </c>
      <c r="BJ93" s="12" t="s">
        <v>752</v>
      </c>
      <c r="BK93" s="12" t="s">
        <v>618</v>
      </c>
      <c r="BL93" s="12" t="s">
        <v>753</v>
      </c>
      <c r="BM93" s="12" t="s">
        <v>2237</v>
      </c>
      <c r="BN93" s="12" t="s">
        <v>598</v>
      </c>
      <c r="BO93" s="12" t="s">
        <v>719</v>
      </c>
      <c r="BP93" s="12" t="s">
        <v>598</v>
      </c>
      <c r="BQ93" s="12" t="s">
        <v>598</v>
      </c>
      <c r="BR93" s="12" t="s">
        <v>620</v>
      </c>
      <c r="BS93" s="12" t="s">
        <v>2238</v>
      </c>
      <c r="BT93" s="12" t="str">
        <f>HYPERLINK("https%3A%2F%2Fwww.webofscience.com%2Fwos%2Fwoscc%2Ffull-record%2FWOS:000320994600008","View Full Record in Web of Science")</f>
        <v>View Full Record in Web of Science</v>
      </c>
    </row>
    <row r="94" ht="12.75" customHeight="1">
      <c r="A94" s="12" t="s">
        <v>596</v>
      </c>
      <c r="B94" s="12" t="s">
        <v>2239</v>
      </c>
      <c r="C94" s="12" t="s">
        <v>598</v>
      </c>
      <c r="D94" s="12" t="s">
        <v>598</v>
      </c>
      <c r="E94" s="12" t="s">
        <v>598</v>
      </c>
      <c r="F94" s="12" t="s">
        <v>2240</v>
      </c>
      <c r="G94" s="12" t="s">
        <v>598</v>
      </c>
      <c r="H94" s="12" t="s">
        <v>598</v>
      </c>
      <c r="I94" s="12" t="s">
        <v>66</v>
      </c>
      <c r="J94" s="12" t="s">
        <v>2139</v>
      </c>
      <c r="K94" s="12" t="s">
        <v>598</v>
      </c>
      <c r="L94" s="12" t="s">
        <v>598</v>
      </c>
      <c r="M94" s="12" t="s">
        <v>600</v>
      </c>
      <c r="N94" s="12" t="s">
        <v>601</v>
      </c>
      <c r="O94" s="12" t="s">
        <v>598</v>
      </c>
      <c r="P94" s="12" t="s">
        <v>598</v>
      </c>
      <c r="Q94" s="12" t="s">
        <v>598</v>
      </c>
      <c r="R94" s="12" t="s">
        <v>598</v>
      </c>
      <c r="S94" s="12" t="s">
        <v>598</v>
      </c>
      <c r="T94" s="12" t="s">
        <v>2241</v>
      </c>
      <c r="U94" s="12" t="s">
        <v>2242</v>
      </c>
      <c r="V94" s="12" t="s">
        <v>2243</v>
      </c>
      <c r="W94" s="12" t="s">
        <v>2244</v>
      </c>
      <c r="X94" s="12" t="s">
        <v>2245</v>
      </c>
      <c r="Y94" s="12" t="s">
        <v>2246</v>
      </c>
      <c r="Z94" s="12" t="s">
        <v>2247</v>
      </c>
      <c r="AA94" s="12" t="s">
        <v>2248</v>
      </c>
      <c r="AB94" s="12" t="s">
        <v>2249</v>
      </c>
      <c r="AC94" s="12" t="s">
        <v>2250</v>
      </c>
      <c r="AD94" s="12" t="s">
        <v>2251</v>
      </c>
      <c r="AE94" s="12" t="s">
        <v>2252</v>
      </c>
      <c r="AF94" s="12" t="s">
        <v>598</v>
      </c>
      <c r="AG94" s="12">
        <v>65.0</v>
      </c>
      <c r="AH94" s="12">
        <v>27.0</v>
      </c>
      <c r="AI94" s="12">
        <v>35.0</v>
      </c>
      <c r="AJ94" s="12">
        <v>1.0</v>
      </c>
      <c r="AK94" s="12">
        <v>82.0</v>
      </c>
      <c r="AL94" s="12" t="s">
        <v>670</v>
      </c>
      <c r="AM94" s="12" t="s">
        <v>671</v>
      </c>
      <c r="AN94" s="12" t="s">
        <v>672</v>
      </c>
      <c r="AO94" s="12" t="s">
        <v>2147</v>
      </c>
      <c r="AP94" s="12" t="s">
        <v>2148</v>
      </c>
      <c r="AQ94" s="12" t="s">
        <v>598</v>
      </c>
      <c r="AR94" s="12" t="s">
        <v>2149</v>
      </c>
      <c r="AS94" s="12" t="s">
        <v>2150</v>
      </c>
      <c r="AT94" s="12" t="s">
        <v>750</v>
      </c>
      <c r="AU94" s="12">
        <v>2013.0</v>
      </c>
      <c r="AV94" s="12">
        <v>87.0</v>
      </c>
      <c r="AW94" s="12">
        <v>4.0</v>
      </c>
      <c r="AX94" s="12" t="s">
        <v>598</v>
      </c>
      <c r="AY94" s="12" t="s">
        <v>598</v>
      </c>
      <c r="AZ94" s="12" t="s">
        <v>598</v>
      </c>
      <c r="BA94" s="12" t="s">
        <v>598</v>
      </c>
      <c r="BB94" s="12">
        <v>767.0</v>
      </c>
      <c r="BC94" s="12">
        <v>779.0</v>
      </c>
      <c r="BD94" s="12" t="s">
        <v>598</v>
      </c>
      <c r="BE94" s="12" t="s">
        <v>2253</v>
      </c>
      <c r="BF94" s="13" t="str">
        <f>HYPERLINK("http://dx.doi.org/10.1007/s10457-013-9595-z","http://dx.doi.org/10.1007/s10457-013-9595-z")</f>
        <v>http://dx.doi.org/10.1007/s10457-013-9595-z</v>
      </c>
      <c r="BG94" s="12" t="s">
        <v>598</v>
      </c>
      <c r="BH94" s="12" t="s">
        <v>598</v>
      </c>
      <c r="BI94" s="12">
        <v>13.0</v>
      </c>
      <c r="BJ94" s="12" t="s">
        <v>2152</v>
      </c>
      <c r="BK94" s="12" t="s">
        <v>618</v>
      </c>
      <c r="BL94" s="12" t="s">
        <v>2153</v>
      </c>
      <c r="BM94" s="12" t="s">
        <v>2254</v>
      </c>
      <c r="BN94" s="12" t="s">
        <v>598</v>
      </c>
      <c r="BO94" s="12" t="s">
        <v>598</v>
      </c>
      <c r="BP94" s="12" t="s">
        <v>598</v>
      </c>
      <c r="BQ94" s="12" t="s">
        <v>598</v>
      </c>
      <c r="BR94" s="12" t="s">
        <v>620</v>
      </c>
      <c r="BS94" s="12" t="s">
        <v>2255</v>
      </c>
      <c r="BT94" s="12" t="str">
        <f>HYPERLINK("https%3A%2F%2Fwww.webofscience.com%2Fwos%2Fwoscc%2Ffull-record%2FWOS:000321519300004","View Full Record in Web of Science")</f>
        <v>View Full Record in Web of Science</v>
      </c>
    </row>
    <row r="95" ht="12.75" customHeight="1">
      <c r="A95" s="12" t="s">
        <v>596</v>
      </c>
      <c r="B95" s="12" t="s">
        <v>2256</v>
      </c>
      <c r="C95" s="12" t="s">
        <v>598</v>
      </c>
      <c r="D95" s="12" t="s">
        <v>598</v>
      </c>
      <c r="E95" s="12" t="s">
        <v>598</v>
      </c>
      <c r="F95" s="12" t="s">
        <v>2257</v>
      </c>
      <c r="G95" s="12" t="s">
        <v>598</v>
      </c>
      <c r="H95" s="12" t="s">
        <v>598</v>
      </c>
      <c r="I95" s="12" t="s">
        <v>127</v>
      </c>
      <c r="J95" s="12" t="s">
        <v>1505</v>
      </c>
      <c r="K95" s="12" t="s">
        <v>598</v>
      </c>
      <c r="L95" s="12" t="s">
        <v>598</v>
      </c>
      <c r="M95" s="12" t="s">
        <v>600</v>
      </c>
      <c r="N95" s="12" t="s">
        <v>601</v>
      </c>
      <c r="O95" s="12" t="s">
        <v>598</v>
      </c>
      <c r="P95" s="12" t="s">
        <v>598</v>
      </c>
      <c r="Q95" s="12" t="s">
        <v>598</v>
      </c>
      <c r="R95" s="12" t="s">
        <v>598</v>
      </c>
      <c r="S95" s="12" t="s">
        <v>598</v>
      </c>
      <c r="T95" s="12" t="s">
        <v>2258</v>
      </c>
      <c r="U95" s="12" t="s">
        <v>2259</v>
      </c>
      <c r="V95" s="12" t="s">
        <v>2260</v>
      </c>
      <c r="W95" s="12" t="s">
        <v>2261</v>
      </c>
      <c r="X95" s="12" t="s">
        <v>2262</v>
      </c>
      <c r="Y95" s="12" t="s">
        <v>2263</v>
      </c>
      <c r="Z95" s="12" t="s">
        <v>2104</v>
      </c>
      <c r="AA95" s="12" t="s">
        <v>2264</v>
      </c>
      <c r="AB95" s="12" t="s">
        <v>2265</v>
      </c>
      <c r="AC95" s="12" t="s">
        <v>2266</v>
      </c>
      <c r="AD95" s="12" t="s">
        <v>2267</v>
      </c>
      <c r="AE95" s="12" t="s">
        <v>2268</v>
      </c>
      <c r="AF95" s="12" t="s">
        <v>598</v>
      </c>
      <c r="AG95" s="12">
        <v>44.0</v>
      </c>
      <c r="AH95" s="12">
        <v>125.0</v>
      </c>
      <c r="AI95" s="12">
        <v>133.0</v>
      </c>
      <c r="AJ95" s="12">
        <v>1.0</v>
      </c>
      <c r="AK95" s="12">
        <v>170.0</v>
      </c>
      <c r="AL95" s="12" t="s">
        <v>1592</v>
      </c>
      <c r="AM95" s="12" t="s">
        <v>1593</v>
      </c>
      <c r="AN95" s="12" t="s">
        <v>1594</v>
      </c>
      <c r="AO95" s="12" t="s">
        <v>1519</v>
      </c>
      <c r="AP95" s="12" t="s">
        <v>1595</v>
      </c>
      <c r="AQ95" s="12" t="s">
        <v>598</v>
      </c>
      <c r="AR95" s="12" t="s">
        <v>1520</v>
      </c>
      <c r="AS95" s="12" t="s">
        <v>1521</v>
      </c>
      <c r="AT95" s="12" t="s">
        <v>1654</v>
      </c>
      <c r="AU95" s="12">
        <v>2013.0</v>
      </c>
      <c r="AV95" s="12">
        <v>14.0</v>
      </c>
      <c r="AW95" s="12">
        <v>6.0</v>
      </c>
      <c r="AX95" s="12" t="s">
        <v>598</v>
      </c>
      <c r="AY95" s="12" t="s">
        <v>598</v>
      </c>
      <c r="AZ95" s="12" t="s">
        <v>598</v>
      </c>
      <c r="BA95" s="12" t="s">
        <v>598</v>
      </c>
      <c r="BB95" s="12">
        <v>496.0</v>
      </c>
      <c r="BC95" s="12">
        <v>505.0</v>
      </c>
      <c r="BD95" s="12" t="s">
        <v>598</v>
      </c>
      <c r="BE95" s="12" t="s">
        <v>2269</v>
      </c>
      <c r="BF95" s="13" t="str">
        <f>HYPERLINK("http://dx.doi.org/10.1016/j.baae.2013.06.001","http://dx.doi.org/10.1016/j.baae.2013.06.001")</f>
        <v>http://dx.doi.org/10.1016/j.baae.2013.06.001</v>
      </c>
      <c r="BG95" s="12" t="s">
        <v>598</v>
      </c>
      <c r="BH95" s="12" t="s">
        <v>598</v>
      </c>
      <c r="BI95" s="12">
        <v>10.0</v>
      </c>
      <c r="BJ95" s="12" t="s">
        <v>1107</v>
      </c>
      <c r="BK95" s="12" t="s">
        <v>618</v>
      </c>
      <c r="BL95" s="12" t="s">
        <v>753</v>
      </c>
      <c r="BM95" s="12" t="s">
        <v>2270</v>
      </c>
      <c r="BN95" s="12" t="s">
        <v>598</v>
      </c>
      <c r="BO95" s="12" t="s">
        <v>1201</v>
      </c>
      <c r="BP95" s="12" t="s">
        <v>598</v>
      </c>
      <c r="BQ95" s="12" t="s">
        <v>598</v>
      </c>
      <c r="BR95" s="12" t="s">
        <v>620</v>
      </c>
      <c r="BS95" s="12" t="s">
        <v>2271</v>
      </c>
      <c r="BT95" s="12" t="str">
        <f>HYPERLINK("https%3A%2F%2Fwww.webofscience.com%2Fwos%2Fwoscc%2Ffull-record%2FWOS:000324035600006","View Full Record in Web of Science")</f>
        <v>View Full Record in Web of Science</v>
      </c>
    </row>
    <row r="96" ht="12.75" customHeight="1">
      <c r="A96" s="12" t="s">
        <v>596</v>
      </c>
      <c r="B96" s="12" t="s">
        <v>2272</v>
      </c>
      <c r="C96" s="12" t="s">
        <v>598</v>
      </c>
      <c r="D96" s="12" t="s">
        <v>598</v>
      </c>
      <c r="E96" s="12" t="s">
        <v>598</v>
      </c>
      <c r="F96" s="12" t="s">
        <v>2273</v>
      </c>
      <c r="G96" s="12" t="s">
        <v>598</v>
      </c>
      <c r="H96" s="12" t="s">
        <v>598</v>
      </c>
      <c r="I96" s="12" t="s">
        <v>183</v>
      </c>
      <c r="J96" s="12" t="s">
        <v>1166</v>
      </c>
      <c r="K96" s="12" t="s">
        <v>598</v>
      </c>
      <c r="L96" s="12" t="s">
        <v>598</v>
      </c>
      <c r="M96" s="12" t="s">
        <v>600</v>
      </c>
      <c r="N96" s="12" t="s">
        <v>601</v>
      </c>
      <c r="O96" s="12" t="s">
        <v>598</v>
      </c>
      <c r="P96" s="12" t="s">
        <v>598</v>
      </c>
      <c r="Q96" s="12" t="s">
        <v>598</v>
      </c>
      <c r="R96" s="12" t="s">
        <v>598</v>
      </c>
      <c r="S96" s="12" t="s">
        <v>598</v>
      </c>
      <c r="T96" s="12" t="s">
        <v>2274</v>
      </c>
      <c r="U96" s="12" t="s">
        <v>2275</v>
      </c>
      <c r="V96" s="12" t="s">
        <v>2276</v>
      </c>
      <c r="W96" s="12" t="s">
        <v>2277</v>
      </c>
      <c r="X96" s="12" t="s">
        <v>2278</v>
      </c>
      <c r="Y96" s="12" t="s">
        <v>2279</v>
      </c>
      <c r="Z96" s="12" t="s">
        <v>2280</v>
      </c>
      <c r="AA96" s="12" t="s">
        <v>2281</v>
      </c>
      <c r="AB96" s="12" t="s">
        <v>2282</v>
      </c>
      <c r="AC96" s="12" t="s">
        <v>2283</v>
      </c>
      <c r="AD96" s="12" t="s">
        <v>2284</v>
      </c>
      <c r="AE96" s="12" t="s">
        <v>2285</v>
      </c>
      <c r="AF96" s="12" t="s">
        <v>598</v>
      </c>
      <c r="AG96" s="12">
        <v>35.0</v>
      </c>
      <c r="AH96" s="12">
        <v>10.0</v>
      </c>
      <c r="AI96" s="12">
        <v>12.0</v>
      </c>
      <c r="AJ96" s="12">
        <v>3.0</v>
      </c>
      <c r="AK96" s="12">
        <v>93.0</v>
      </c>
      <c r="AL96" s="12" t="s">
        <v>1174</v>
      </c>
      <c r="AM96" s="12" t="s">
        <v>1175</v>
      </c>
      <c r="AN96" s="12" t="s">
        <v>1176</v>
      </c>
      <c r="AO96" s="12" t="s">
        <v>1177</v>
      </c>
      <c r="AP96" s="12" t="s">
        <v>1178</v>
      </c>
      <c r="AQ96" s="12" t="s">
        <v>598</v>
      </c>
      <c r="AR96" s="12" t="s">
        <v>1179</v>
      </c>
      <c r="AS96" s="12" t="s">
        <v>1180</v>
      </c>
      <c r="AT96" s="12" t="s">
        <v>715</v>
      </c>
      <c r="AU96" s="12">
        <v>2013.0</v>
      </c>
      <c r="AV96" s="12">
        <v>70.0</v>
      </c>
      <c r="AW96" s="12">
        <v>8.0</v>
      </c>
      <c r="AX96" s="12" t="s">
        <v>598</v>
      </c>
      <c r="AY96" s="12" t="s">
        <v>598</v>
      </c>
      <c r="AZ96" s="12" t="s">
        <v>598</v>
      </c>
      <c r="BA96" s="12" t="s">
        <v>598</v>
      </c>
      <c r="BB96" s="12">
        <v>845.0</v>
      </c>
      <c r="BC96" s="12">
        <v>861.0</v>
      </c>
      <c r="BD96" s="12" t="s">
        <v>598</v>
      </c>
      <c r="BE96" s="12" t="s">
        <v>2286</v>
      </c>
      <c r="BF96" s="13" t="str">
        <f>HYPERLINK("http://dx.doi.org/10.1007/s13595-013-0323-7","http://dx.doi.org/10.1007/s13595-013-0323-7")</f>
        <v>http://dx.doi.org/10.1007/s13595-013-0323-7</v>
      </c>
      <c r="BG96" s="12" t="s">
        <v>598</v>
      </c>
      <c r="BH96" s="12" t="s">
        <v>598</v>
      </c>
      <c r="BI96" s="12">
        <v>17.0</v>
      </c>
      <c r="BJ96" s="12" t="s">
        <v>617</v>
      </c>
      <c r="BK96" s="12" t="s">
        <v>618</v>
      </c>
      <c r="BL96" s="12" t="s">
        <v>617</v>
      </c>
      <c r="BM96" s="12" t="s">
        <v>2287</v>
      </c>
      <c r="BN96" s="12" t="s">
        <v>598</v>
      </c>
      <c r="BO96" s="12" t="s">
        <v>954</v>
      </c>
      <c r="BP96" s="12" t="s">
        <v>598</v>
      </c>
      <c r="BQ96" s="12" t="s">
        <v>598</v>
      </c>
      <c r="BR96" s="12" t="s">
        <v>620</v>
      </c>
      <c r="BS96" s="12" t="s">
        <v>2288</v>
      </c>
      <c r="BT96" s="12" t="str">
        <f>HYPERLINK("https%3A%2F%2Fwww.webofscience.com%2Fwos%2Fwoscc%2Ffull-record%2FWOS:000326598000009","View Full Record in Web of Science")</f>
        <v>View Full Record in Web of Science</v>
      </c>
    </row>
    <row r="97" ht="12.75" customHeight="1">
      <c r="A97" s="12" t="s">
        <v>596</v>
      </c>
      <c r="B97" s="12" t="s">
        <v>2289</v>
      </c>
      <c r="C97" s="12" t="s">
        <v>598</v>
      </c>
      <c r="D97" s="12" t="s">
        <v>598</v>
      </c>
      <c r="E97" s="12" t="s">
        <v>598</v>
      </c>
      <c r="F97" s="12" t="s">
        <v>2290</v>
      </c>
      <c r="G97" s="12" t="s">
        <v>598</v>
      </c>
      <c r="H97" s="12" t="s">
        <v>598</v>
      </c>
      <c r="I97" s="12" t="s">
        <v>171</v>
      </c>
      <c r="J97" s="12" t="s">
        <v>2291</v>
      </c>
      <c r="K97" s="12" t="s">
        <v>598</v>
      </c>
      <c r="L97" s="12" t="s">
        <v>598</v>
      </c>
      <c r="M97" s="12" t="s">
        <v>600</v>
      </c>
      <c r="N97" s="12" t="s">
        <v>601</v>
      </c>
      <c r="O97" s="12" t="s">
        <v>598</v>
      </c>
      <c r="P97" s="12" t="s">
        <v>598</v>
      </c>
      <c r="Q97" s="12" t="s">
        <v>598</v>
      </c>
      <c r="R97" s="12" t="s">
        <v>598</v>
      </c>
      <c r="S97" s="12" t="s">
        <v>598</v>
      </c>
      <c r="T97" s="12" t="s">
        <v>2292</v>
      </c>
      <c r="U97" s="12" t="s">
        <v>2293</v>
      </c>
      <c r="V97" s="12" t="s">
        <v>2294</v>
      </c>
      <c r="W97" s="12" t="s">
        <v>2295</v>
      </c>
      <c r="X97" s="12" t="s">
        <v>2296</v>
      </c>
      <c r="Y97" s="12" t="s">
        <v>2297</v>
      </c>
      <c r="Z97" s="12" t="s">
        <v>2298</v>
      </c>
      <c r="AA97" s="12" t="s">
        <v>598</v>
      </c>
      <c r="AB97" s="12" t="s">
        <v>598</v>
      </c>
      <c r="AC97" s="12" t="s">
        <v>2299</v>
      </c>
      <c r="AD97" s="12" t="s">
        <v>2300</v>
      </c>
      <c r="AE97" s="12" t="s">
        <v>2301</v>
      </c>
      <c r="AF97" s="12" t="s">
        <v>598</v>
      </c>
      <c r="AG97" s="12">
        <v>36.0</v>
      </c>
      <c r="AH97" s="12">
        <v>46.0</v>
      </c>
      <c r="AI97" s="12">
        <v>56.0</v>
      </c>
      <c r="AJ97" s="12">
        <v>5.0</v>
      </c>
      <c r="AK97" s="12">
        <v>134.0</v>
      </c>
      <c r="AL97" s="12" t="s">
        <v>670</v>
      </c>
      <c r="AM97" s="12" t="s">
        <v>1261</v>
      </c>
      <c r="AN97" s="12" t="s">
        <v>1496</v>
      </c>
      <c r="AO97" s="12" t="s">
        <v>2302</v>
      </c>
      <c r="AP97" s="12" t="s">
        <v>2303</v>
      </c>
      <c r="AQ97" s="12" t="s">
        <v>598</v>
      </c>
      <c r="AR97" s="12" t="s">
        <v>2291</v>
      </c>
      <c r="AS97" s="12" t="s">
        <v>2304</v>
      </c>
      <c r="AT97" s="12" t="s">
        <v>715</v>
      </c>
      <c r="AU97" s="12">
        <v>2013.0</v>
      </c>
      <c r="AV97" s="12">
        <v>173.0</v>
      </c>
      <c r="AW97" s="12">
        <v>4.0</v>
      </c>
      <c r="AX97" s="12" t="s">
        <v>598</v>
      </c>
      <c r="AY97" s="12" t="s">
        <v>598</v>
      </c>
      <c r="AZ97" s="12" t="s">
        <v>598</v>
      </c>
      <c r="BA97" s="12" t="s">
        <v>598</v>
      </c>
      <c r="BB97" s="12">
        <v>1513.0</v>
      </c>
      <c r="BC97" s="12">
        <v>1520.0</v>
      </c>
      <c r="BD97" s="12" t="s">
        <v>598</v>
      </c>
      <c r="BE97" s="12" t="s">
        <v>2305</v>
      </c>
      <c r="BF97" s="13" t="str">
        <f>HYPERLINK("http://dx.doi.org/10.1007/s00442-013-2722-8","http://dx.doi.org/10.1007/s00442-013-2722-8")</f>
        <v>http://dx.doi.org/10.1007/s00442-013-2722-8</v>
      </c>
      <c r="BG97" s="12" t="s">
        <v>598</v>
      </c>
      <c r="BH97" s="12" t="s">
        <v>598</v>
      </c>
      <c r="BI97" s="12">
        <v>8.0</v>
      </c>
      <c r="BJ97" s="12" t="s">
        <v>1107</v>
      </c>
      <c r="BK97" s="12" t="s">
        <v>618</v>
      </c>
      <c r="BL97" s="12" t="s">
        <v>753</v>
      </c>
      <c r="BM97" s="12" t="s">
        <v>2306</v>
      </c>
      <c r="BN97" s="12">
        <v>2.3839265E7</v>
      </c>
      <c r="BO97" s="12" t="s">
        <v>598</v>
      </c>
      <c r="BP97" s="12" t="s">
        <v>598</v>
      </c>
      <c r="BQ97" s="12" t="s">
        <v>598</v>
      </c>
      <c r="BR97" s="12" t="s">
        <v>620</v>
      </c>
      <c r="BS97" s="12" t="s">
        <v>2307</v>
      </c>
      <c r="BT97" s="12" t="str">
        <f>HYPERLINK("https%3A%2F%2Fwww.webofscience.com%2Fwos%2Fwoscc%2Ffull-record%2FWOS:000328210000032","View Full Record in Web of Science")</f>
        <v>View Full Record in Web of Science</v>
      </c>
    </row>
    <row r="98" ht="12.75" customHeight="1">
      <c r="A98" s="12" t="s">
        <v>596</v>
      </c>
      <c r="B98" s="12" t="s">
        <v>2308</v>
      </c>
      <c r="C98" s="12" t="s">
        <v>598</v>
      </c>
      <c r="D98" s="12" t="s">
        <v>598</v>
      </c>
      <c r="E98" s="12" t="s">
        <v>598</v>
      </c>
      <c r="F98" s="12" t="s">
        <v>2309</v>
      </c>
      <c r="G98" s="12" t="s">
        <v>598</v>
      </c>
      <c r="H98" s="12" t="s">
        <v>598</v>
      </c>
      <c r="I98" s="12" t="s">
        <v>120</v>
      </c>
      <c r="J98" s="12" t="s">
        <v>2310</v>
      </c>
      <c r="K98" s="12" t="s">
        <v>598</v>
      </c>
      <c r="L98" s="12" t="s">
        <v>598</v>
      </c>
      <c r="M98" s="12" t="s">
        <v>600</v>
      </c>
      <c r="N98" s="12" t="s">
        <v>601</v>
      </c>
      <c r="O98" s="12" t="s">
        <v>598</v>
      </c>
      <c r="P98" s="12" t="s">
        <v>598</v>
      </c>
      <c r="Q98" s="12" t="s">
        <v>598</v>
      </c>
      <c r="R98" s="12" t="s">
        <v>598</v>
      </c>
      <c r="S98" s="12" t="s">
        <v>598</v>
      </c>
      <c r="T98" s="12" t="s">
        <v>2311</v>
      </c>
      <c r="U98" s="12" t="s">
        <v>2312</v>
      </c>
      <c r="V98" s="12" t="s">
        <v>2313</v>
      </c>
      <c r="W98" s="12" t="s">
        <v>2314</v>
      </c>
      <c r="X98" s="12" t="s">
        <v>2315</v>
      </c>
      <c r="Y98" s="12" t="s">
        <v>2316</v>
      </c>
      <c r="Z98" s="12" t="s">
        <v>2317</v>
      </c>
      <c r="AA98" s="12" t="s">
        <v>598</v>
      </c>
      <c r="AB98" s="12" t="s">
        <v>2318</v>
      </c>
      <c r="AC98" s="12" t="s">
        <v>598</v>
      </c>
      <c r="AD98" s="12" t="s">
        <v>598</v>
      </c>
      <c r="AE98" s="12" t="s">
        <v>598</v>
      </c>
      <c r="AF98" s="12" t="s">
        <v>598</v>
      </c>
      <c r="AG98" s="12">
        <v>46.0</v>
      </c>
      <c r="AH98" s="12">
        <v>46.0</v>
      </c>
      <c r="AI98" s="12">
        <v>56.0</v>
      </c>
      <c r="AJ98" s="12">
        <v>5.0</v>
      </c>
      <c r="AK98" s="12">
        <v>135.0</v>
      </c>
      <c r="AL98" s="12" t="s">
        <v>2319</v>
      </c>
      <c r="AM98" s="12" t="s">
        <v>2320</v>
      </c>
      <c r="AN98" s="12" t="s">
        <v>2321</v>
      </c>
      <c r="AO98" s="12" t="s">
        <v>2322</v>
      </c>
      <c r="AP98" s="12" t="s">
        <v>2323</v>
      </c>
      <c r="AQ98" s="12" t="s">
        <v>598</v>
      </c>
      <c r="AR98" s="12" t="s">
        <v>2324</v>
      </c>
      <c r="AS98" s="12" t="s">
        <v>2325</v>
      </c>
      <c r="AT98" s="12" t="s">
        <v>852</v>
      </c>
      <c r="AU98" s="12">
        <v>2014.0</v>
      </c>
      <c r="AV98" s="12">
        <v>6.0</v>
      </c>
      <c r="AW98" s="12">
        <v>3.0</v>
      </c>
      <c r="AX98" s="12" t="s">
        <v>598</v>
      </c>
      <c r="AY98" s="12" t="s">
        <v>598</v>
      </c>
      <c r="AZ98" s="12" t="s">
        <v>598</v>
      </c>
      <c r="BA98" s="12" t="s">
        <v>598</v>
      </c>
      <c r="BB98" s="12">
        <v>324.0</v>
      </c>
      <c r="BC98" s="12">
        <v>333.0</v>
      </c>
      <c r="BD98" s="12" t="s">
        <v>598</v>
      </c>
      <c r="BE98" s="12" t="s">
        <v>2326</v>
      </c>
      <c r="BF98" s="13" t="str">
        <f>HYPERLINK("http://dx.doi.org/10.1007/s40333-013-0202-y","http://dx.doi.org/10.1007/s40333-013-0202-y")</f>
        <v>http://dx.doi.org/10.1007/s40333-013-0202-y</v>
      </c>
      <c r="BG98" s="12" t="s">
        <v>598</v>
      </c>
      <c r="BH98" s="12" t="s">
        <v>598</v>
      </c>
      <c r="BI98" s="12">
        <v>10.0</v>
      </c>
      <c r="BJ98" s="12" t="s">
        <v>2327</v>
      </c>
      <c r="BK98" s="12" t="s">
        <v>618</v>
      </c>
      <c r="BL98" s="12" t="s">
        <v>753</v>
      </c>
      <c r="BM98" s="12" t="s">
        <v>2328</v>
      </c>
      <c r="BN98" s="12" t="s">
        <v>598</v>
      </c>
      <c r="BO98" s="12" t="s">
        <v>598</v>
      </c>
      <c r="BP98" s="12" t="s">
        <v>598</v>
      </c>
      <c r="BQ98" s="12" t="s">
        <v>598</v>
      </c>
      <c r="BR98" s="12" t="s">
        <v>620</v>
      </c>
      <c r="BS98" s="12" t="s">
        <v>2329</v>
      </c>
      <c r="BT98" s="12" t="str">
        <f>HYPERLINK("https%3A%2F%2Fwww.webofscience.com%2Fwos%2Fwoscc%2Ffull-record%2FWOS:000330235300008","View Full Record in Web of Science")</f>
        <v>View Full Record in Web of Science</v>
      </c>
    </row>
    <row r="99" ht="12.75" customHeight="1">
      <c r="A99" s="12" t="s">
        <v>596</v>
      </c>
      <c r="B99" s="12" t="s">
        <v>2330</v>
      </c>
      <c r="C99" s="12" t="s">
        <v>598</v>
      </c>
      <c r="D99" s="12" t="s">
        <v>598</v>
      </c>
      <c r="E99" s="12" t="s">
        <v>598</v>
      </c>
      <c r="F99" s="12" t="s">
        <v>2331</v>
      </c>
      <c r="G99" s="12" t="s">
        <v>598</v>
      </c>
      <c r="H99" s="12" t="s">
        <v>598</v>
      </c>
      <c r="I99" s="12" t="s">
        <v>2332</v>
      </c>
      <c r="J99" s="12" t="s">
        <v>2333</v>
      </c>
      <c r="K99" s="12" t="s">
        <v>598</v>
      </c>
      <c r="L99" s="12" t="s">
        <v>598</v>
      </c>
      <c r="M99" s="12" t="s">
        <v>600</v>
      </c>
      <c r="N99" s="12" t="s">
        <v>601</v>
      </c>
      <c r="O99" s="12" t="s">
        <v>598</v>
      </c>
      <c r="P99" s="12" t="s">
        <v>598</v>
      </c>
      <c r="Q99" s="12" t="s">
        <v>598</v>
      </c>
      <c r="R99" s="12" t="s">
        <v>598</v>
      </c>
      <c r="S99" s="12" t="s">
        <v>598</v>
      </c>
      <c r="T99" s="12" t="s">
        <v>2334</v>
      </c>
      <c r="U99" s="12" t="s">
        <v>2335</v>
      </c>
      <c r="V99" s="12" t="s">
        <v>2336</v>
      </c>
      <c r="W99" s="12" t="s">
        <v>2337</v>
      </c>
      <c r="X99" s="12" t="s">
        <v>2338</v>
      </c>
      <c r="Y99" s="12" t="s">
        <v>2339</v>
      </c>
      <c r="Z99" s="12" t="s">
        <v>2340</v>
      </c>
      <c r="AA99" s="12" t="s">
        <v>2341</v>
      </c>
      <c r="AB99" s="12" t="s">
        <v>2342</v>
      </c>
      <c r="AC99" s="12" t="s">
        <v>598</v>
      </c>
      <c r="AD99" s="12" t="s">
        <v>598</v>
      </c>
      <c r="AE99" s="12" t="s">
        <v>598</v>
      </c>
      <c r="AF99" s="12" t="s">
        <v>598</v>
      </c>
      <c r="AG99" s="12">
        <v>50.0</v>
      </c>
      <c r="AH99" s="12">
        <v>122.0</v>
      </c>
      <c r="AI99" s="12">
        <v>144.0</v>
      </c>
      <c r="AJ99" s="12">
        <v>0.0</v>
      </c>
      <c r="AK99" s="12">
        <v>41.0</v>
      </c>
      <c r="AL99" s="12" t="s">
        <v>2343</v>
      </c>
      <c r="AM99" s="12" t="s">
        <v>783</v>
      </c>
      <c r="AN99" s="12" t="s">
        <v>2344</v>
      </c>
      <c r="AO99" s="12" t="s">
        <v>2345</v>
      </c>
      <c r="AP99" s="12" t="s">
        <v>2346</v>
      </c>
      <c r="AQ99" s="12" t="s">
        <v>598</v>
      </c>
      <c r="AR99" s="12" t="s">
        <v>2347</v>
      </c>
      <c r="AS99" s="12" t="s">
        <v>2348</v>
      </c>
      <c r="AT99" s="12" t="s">
        <v>2349</v>
      </c>
      <c r="AU99" s="12">
        <v>2013.0</v>
      </c>
      <c r="AV99" s="12">
        <v>368.0</v>
      </c>
      <c r="AW99" s="12">
        <v>1625.0</v>
      </c>
      <c r="AX99" s="12" t="s">
        <v>598</v>
      </c>
      <c r="AY99" s="12" t="s">
        <v>598</v>
      </c>
      <c r="AZ99" s="12" t="s">
        <v>598</v>
      </c>
      <c r="BA99" s="12" t="s">
        <v>598</v>
      </c>
      <c r="BB99" s="12" t="s">
        <v>598</v>
      </c>
      <c r="BC99" s="12" t="s">
        <v>598</v>
      </c>
      <c r="BD99" s="12">
        <v>2.0120302E7</v>
      </c>
      <c r="BE99" s="12" t="s">
        <v>2350</v>
      </c>
      <c r="BF99" s="13" t="str">
        <f>HYPERLINK("http://dx.doi.org/10.1098/rstb.2012.0302","http://dx.doi.org/10.1098/rstb.2012.0302")</f>
        <v>http://dx.doi.org/10.1098/rstb.2012.0302</v>
      </c>
      <c r="BG99" s="12" t="s">
        <v>598</v>
      </c>
      <c r="BH99" s="12" t="s">
        <v>598</v>
      </c>
      <c r="BI99" s="12">
        <v>10.0</v>
      </c>
      <c r="BJ99" s="12" t="s">
        <v>2351</v>
      </c>
      <c r="BK99" s="12" t="s">
        <v>618</v>
      </c>
      <c r="BL99" s="12" t="s">
        <v>2352</v>
      </c>
      <c r="BM99" s="12" t="s">
        <v>2353</v>
      </c>
      <c r="BN99" s="12">
        <v>2.3878332E7</v>
      </c>
      <c r="BO99" s="12" t="s">
        <v>954</v>
      </c>
      <c r="BP99" s="12" t="s">
        <v>598</v>
      </c>
      <c r="BQ99" s="12" t="s">
        <v>598</v>
      </c>
      <c r="BR99" s="12" t="s">
        <v>620</v>
      </c>
      <c r="BS99" s="12" t="s">
        <v>2354</v>
      </c>
      <c r="BT99" s="12" t="str">
        <f>HYPERLINK("https%3A%2F%2Fwww.webofscience.com%2Fwos%2Fwoscc%2Ffull-record%2FWOS:000331220500007","View Full Record in Web of Science")</f>
        <v>View Full Record in Web of Science</v>
      </c>
    </row>
    <row r="100" ht="12.75" customHeight="1">
      <c r="A100" s="12" t="s">
        <v>596</v>
      </c>
      <c r="B100" s="12" t="s">
        <v>2355</v>
      </c>
      <c r="C100" s="12" t="s">
        <v>598</v>
      </c>
      <c r="D100" s="12" t="s">
        <v>598</v>
      </c>
      <c r="E100" s="12" t="s">
        <v>598</v>
      </c>
      <c r="F100" s="12" t="s">
        <v>2356</v>
      </c>
      <c r="G100" s="12" t="s">
        <v>598</v>
      </c>
      <c r="H100" s="12" t="s">
        <v>598</v>
      </c>
      <c r="I100" s="12" t="s">
        <v>108</v>
      </c>
      <c r="J100" s="12" t="s">
        <v>2357</v>
      </c>
      <c r="K100" s="12" t="s">
        <v>598</v>
      </c>
      <c r="L100" s="12" t="s">
        <v>598</v>
      </c>
      <c r="M100" s="12" t="s">
        <v>600</v>
      </c>
      <c r="N100" s="12" t="s">
        <v>601</v>
      </c>
      <c r="O100" s="12" t="s">
        <v>598</v>
      </c>
      <c r="P100" s="12" t="s">
        <v>598</v>
      </c>
      <c r="Q100" s="12" t="s">
        <v>598</v>
      </c>
      <c r="R100" s="12" t="s">
        <v>598</v>
      </c>
      <c r="S100" s="12" t="s">
        <v>598</v>
      </c>
      <c r="T100" s="12" t="s">
        <v>598</v>
      </c>
      <c r="U100" s="12" t="s">
        <v>2358</v>
      </c>
      <c r="V100" s="12" t="s">
        <v>2359</v>
      </c>
      <c r="W100" s="12" t="s">
        <v>2360</v>
      </c>
      <c r="X100" s="12" t="s">
        <v>2361</v>
      </c>
      <c r="Y100" s="12" t="s">
        <v>2362</v>
      </c>
      <c r="Z100" s="12" t="s">
        <v>2363</v>
      </c>
      <c r="AA100" s="12" t="s">
        <v>2364</v>
      </c>
      <c r="AB100" s="12" t="s">
        <v>2365</v>
      </c>
      <c r="AC100" s="12" t="s">
        <v>2366</v>
      </c>
      <c r="AD100" s="12" t="s">
        <v>2367</v>
      </c>
      <c r="AE100" s="12" t="s">
        <v>2368</v>
      </c>
      <c r="AF100" s="12" t="s">
        <v>598</v>
      </c>
      <c r="AG100" s="12">
        <v>42.0</v>
      </c>
      <c r="AH100" s="12">
        <v>465.0</v>
      </c>
      <c r="AI100" s="12">
        <v>518.0</v>
      </c>
      <c r="AJ100" s="12">
        <v>35.0</v>
      </c>
      <c r="AK100" s="12">
        <v>1089.0</v>
      </c>
      <c r="AL100" s="12" t="s">
        <v>2369</v>
      </c>
      <c r="AM100" s="12" t="s">
        <v>783</v>
      </c>
      <c r="AN100" s="12" t="s">
        <v>2370</v>
      </c>
      <c r="AO100" s="12" t="s">
        <v>2371</v>
      </c>
      <c r="AP100" s="12" t="s">
        <v>2372</v>
      </c>
      <c r="AQ100" s="12" t="s">
        <v>598</v>
      </c>
      <c r="AR100" s="12" t="s">
        <v>2357</v>
      </c>
      <c r="AS100" s="12" t="s">
        <v>2373</v>
      </c>
      <c r="AT100" s="12" t="s">
        <v>2374</v>
      </c>
      <c r="AU100" s="12">
        <v>2014.0</v>
      </c>
      <c r="AV100" s="12">
        <v>508.0</v>
      </c>
      <c r="AW100" s="12">
        <v>7497.0</v>
      </c>
      <c r="AX100" s="12" t="s">
        <v>598</v>
      </c>
      <c r="AY100" s="12" t="s">
        <v>598</v>
      </c>
      <c r="AZ100" s="12" t="s">
        <v>598</v>
      </c>
      <c r="BA100" s="12" t="s">
        <v>598</v>
      </c>
      <c r="BB100" s="12">
        <v>521.0</v>
      </c>
      <c r="BC100" s="12" t="s">
        <v>2375</v>
      </c>
      <c r="BD100" s="12" t="s">
        <v>598</v>
      </c>
      <c r="BE100" s="12" t="s">
        <v>2376</v>
      </c>
      <c r="BF100" s="13" t="str">
        <f>HYPERLINK("http://dx.doi.org/10.1038/nature13014","http://dx.doi.org/10.1038/nature13014")</f>
        <v>http://dx.doi.org/10.1038/nature13014</v>
      </c>
      <c r="BG100" s="12" t="s">
        <v>598</v>
      </c>
      <c r="BH100" s="12" t="s">
        <v>598</v>
      </c>
      <c r="BI100" s="12">
        <v>10.0</v>
      </c>
      <c r="BJ100" s="12" t="s">
        <v>2073</v>
      </c>
      <c r="BK100" s="12" t="s">
        <v>618</v>
      </c>
      <c r="BL100" s="12" t="s">
        <v>2074</v>
      </c>
      <c r="BM100" s="12" t="s">
        <v>2377</v>
      </c>
      <c r="BN100" s="12">
        <v>2.4531763E7</v>
      </c>
      <c r="BO100" s="12" t="s">
        <v>1201</v>
      </c>
      <c r="BP100" s="12" t="s">
        <v>598</v>
      </c>
      <c r="BQ100" s="12" t="s">
        <v>598</v>
      </c>
      <c r="BR100" s="12" t="s">
        <v>620</v>
      </c>
      <c r="BS100" s="12" t="s">
        <v>2378</v>
      </c>
      <c r="BT100" s="12" t="str">
        <f>HYPERLINK("https%3A%2F%2Fwww.webofscience.com%2Fwos%2Fwoscc%2Ffull-record%2FWOS:000334741600036","View Full Record in Web of Science")</f>
        <v>View Full Record in Web of Science</v>
      </c>
    </row>
    <row r="101" ht="12.75" customHeight="1">
      <c r="A101" s="12" t="s">
        <v>596</v>
      </c>
      <c r="B101" s="12" t="s">
        <v>2379</v>
      </c>
      <c r="C101" s="12" t="s">
        <v>598</v>
      </c>
      <c r="D101" s="12" t="s">
        <v>598</v>
      </c>
      <c r="E101" s="12" t="s">
        <v>598</v>
      </c>
      <c r="F101" s="12" t="s">
        <v>2379</v>
      </c>
      <c r="G101" s="12" t="s">
        <v>598</v>
      </c>
      <c r="H101" s="12" t="s">
        <v>598</v>
      </c>
      <c r="I101" s="12" t="s">
        <v>2380</v>
      </c>
      <c r="J101" s="12" t="s">
        <v>700</v>
      </c>
      <c r="K101" s="12" t="s">
        <v>598</v>
      </c>
      <c r="L101" s="12" t="s">
        <v>598</v>
      </c>
      <c r="M101" s="12" t="s">
        <v>600</v>
      </c>
      <c r="N101" s="12" t="s">
        <v>601</v>
      </c>
      <c r="O101" s="12" t="s">
        <v>598</v>
      </c>
      <c r="P101" s="12" t="s">
        <v>598</v>
      </c>
      <c r="Q101" s="12" t="s">
        <v>598</v>
      </c>
      <c r="R101" s="12" t="s">
        <v>598</v>
      </c>
      <c r="S101" s="12" t="s">
        <v>598</v>
      </c>
      <c r="T101" s="12" t="s">
        <v>2381</v>
      </c>
      <c r="U101" s="12" t="s">
        <v>2382</v>
      </c>
      <c r="V101" s="12" t="s">
        <v>2383</v>
      </c>
      <c r="W101" s="12" t="s">
        <v>598</v>
      </c>
      <c r="X101" s="12" t="s">
        <v>598</v>
      </c>
      <c r="Y101" s="12" t="s">
        <v>2384</v>
      </c>
      <c r="Z101" s="12" t="s">
        <v>598</v>
      </c>
      <c r="AA101" s="12" t="s">
        <v>598</v>
      </c>
      <c r="AB101" s="12" t="s">
        <v>598</v>
      </c>
      <c r="AC101" s="12" t="s">
        <v>598</v>
      </c>
      <c r="AD101" s="12" t="s">
        <v>598</v>
      </c>
      <c r="AE101" s="12" t="s">
        <v>598</v>
      </c>
      <c r="AF101" s="12" t="s">
        <v>598</v>
      </c>
      <c r="AG101" s="12">
        <v>30.0</v>
      </c>
      <c r="AH101" s="12">
        <v>102.0</v>
      </c>
      <c r="AI101" s="12">
        <v>119.0</v>
      </c>
      <c r="AJ101" s="12">
        <v>0.0</v>
      </c>
      <c r="AK101" s="12">
        <v>47.0</v>
      </c>
      <c r="AL101" s="12" t="s">
        <v>2385</v>
      </c>
      <c r="AM101" s="12" t="s">
        <v>652</v>
      </c>
      <c r="AN101" s="12" t="s">
        <v>2386</v>
      </c>
      <c r="AO101" s="12" t="s">
        <v>711</v>
      </c>
      <c r="AP101" s="12" t="s">
        <v>598</v>
      </c>
      <c r="AQ101" s="12" t="s">
        <v>598</v>
      </c>
      <c r="AR101" s="12" t="s">
        <v>713</v>
      </c>
      <c r="AS101" s="12" t="s">
        <v>714</v>
      </c>
      <c r="AT101" s="12" t="s">
        <v>789</v>
      </c>
      <c r="AU101" s="12">
        <v>1994.0</v>
      </c>
      <c r="AV101" s="12">
        <v>31.0</v>
      </c>
      <c r="AW101" s="12">
        <v>1.0</v>
      </c>
      <c r="AX101" s="12" t="s">
        <v>598</v>
      </c>
      <c r="AY101" s="12" t="s">
        <v>598</v>
      </c>
      <c r="AZ101" s="12" t="s">
        <v>598</v>
      </c>
      <c r="BA101" s="12" t="s">
        <v>598</v>
      </c>
      <c r="BB101" s="12">
        <v>13.0</v>
      </c>
      <c r="BC101" s="12">
        <v>24.0</v>
      </c>
      <c r="BD101" s="12" t="s">
        <v>598</v>
      </c>
      <c r="BE101" s="12" t="s">
        <v>2387</v>
      </c>
      <c r="BF101" s="13" t="str">
        <f>HYPERLINK("http://dx.doi.org/10.2307/2404595","http://dx.doi.org/10.2307/2404595")</f>
        <v>http://dx.doi.org/10.2307/2404595</v>
      </c>
      <c r="BG101" s="12" t="s">
        <v>598</v>
      </c>
      <c r="BH101" s="12" t="s">
        <v>598</v>
      </c>
      <c r="BI101" s="12">
        <v>12.0</v>
      </c>
      <c r="BJ101" s="12" t="s">
        <v>717</v>
      </c>
      <c r="BK101" s="12" t="s">
        <v>618</v>
      </c>
      <c r="BL101" s="12" t="s">
        <v>679</v>
      </c>
      <c r="BM101" s="12" t="s">
        <v>2388</v>
      </c>
      <c r="BN101" s="12" t="s">
        <v>598</v>
      </c>
      <c r="BO101" s="12" t="s">
        <v>598</v>
      </c>
      <c r="BP101" s="12" t="s">
        <v>598</v>
      </c>
      <c r="BQ101" s="12" t="s">
        <v>598</v>
      </c>
      <c r="BR101" s="12" t="s">
        <v>620</v>
      </c>
      <c r="BS101" s="12" t="s">
        <v>2389</v>
      </c>
      <c r="BT101" s="12" t="str">
        <f>HYPERLINK("https%3A%2F%2Fwww.webofscience.com%2Fwos%2Fwoscc%2Ffull-record%2FWOS:A1994ND76300002","View Full Record in Web of Science")</f>
        <v>View Full Record in Web of Science</v>
      </c>
    </row>
    <row r="102" ht="12.75" customHeight="1">
      <c r="A102" s="12" t="s">
        <v>596</v>
      </c>
      <c r="B102" s="12" t="s">
        <v>2390</v>
      </c>
      <c r="C102" s="12" t="s">
        <v>598</v>
      </c>
      <c r="D102" s="12" t="s">
        <v>598</v>
      </c>
      <c r="E102" s="12" t="s">
        <v>598</v>
      </c>
      <c r="F102" s="12" t="s">
        <v>2390</v>
      </c>
      <c r="G102" s="12" t="s">
        <v>598</v>
      </c>
      <c r="H102" s="12" t="s">
        <v>598</v>
      </c>
      <c r="I102" s="12" t="s">
        <v>2391</v>
      </c>
      <c r="J102" s="12" t="s">
        <v>2392</v>
      </c>
      <c r="K102" s="12" t="s">
        <v>598</v>
      </c>
      <c r="L102" s="12" t="s">
        <v>598</v>
      </c>
      <c r="M102" s="12" t="s">
        <v>600</v>
      </c>
      <c r="N102" s="12" t="s">
        <v>601</v>
      </c>
      <c r="O102" s="12" t="s">
        <v>598</v>
      </c>
      <c r="P102" s="12" t="s">
        <v>598</v>
      </c>
      <c r="Q102" s="12" t="s">
        <v>598</v>
      </c>
      <c r="R102" s="12" t="s">
        <v>598</v>
      </c>
      <c r="S102" s="12" t="s">
        <v>598</v>
      </c>
      <c r="T102" s="12" t="s">
        <v>2393</v>
      </c>
      <c r="U102" s="12" t="s">
        <v>2394</v>
      </c>
      <c r="V102" s="12" t="s">
        <v>2395</v>
      </c>
      <c r="W102" s="12" t="s">
        <v>2396</v>
      </c>
      <c r="X102" s="12" t="s">
        <v>1155</v>
      </c>
      <c r="Y102" s="12" t="s">
        <v>2397</v>
      </c>
      <c r="Z102" s="12" t="s">
        <v>598</v>
      </c>
      <c r="AA102" s="12" t="s">
        <v>598</v>
      </c>
      <c r="AB102" s="12" t="s">
        <v>598</v>
      </c>
      <c r="AC102" s="12" t="s">
        <v>598</v>
      </c>
      <c r="AD102" s="12" t="s">
        <v>598</v>
      </c>
      <c r="AE102" s="12" t="s">
        <v>598</v>
      </c>
      <c r="AF102" s="12" t="s">
        <v>598</v>
      </c>
      <c r="AG102" s="12">
        <v>33.0</v>
      </c>
      <c r="AH102" s="12">
        <v>22.0</v>
      </c>
      <c r="AI102" s="12">
        <v>25.0</v>
      </c>
      <c r="AJ102" s="12">
        <v>1.0</v>
      </c>
      <c r="AK102" s="12">
        <v>7.0</v>
      </c>
      <c r="AL102" s="12" t="s">
        <v>2398</v>
      </c>
      <c r="AM102" s="12" t="s">
        <v>2399</v>
      </c>
      <c r="AN102" s="12" t="s">
        <v>2400</v>
      </c>
      <c r="AO102" s="12" t="s">
        <v>2401</v>
      </c>
      <c r="AP102" s="12" t="s">
        <v>598</v>
      </c>
      <c r="AQ102" s="12" t="s">
        <v>598</v>
      </c>
      <c r="AR102" s="12" t="s">
        <v>2402</v>
      </c>
      <c r="AS102" s="12" t="s">
        <v>2403</v>
      </c>
      <c r="AT102" s="12" t="s">
        <v>852</v>
      </c>
      <c r="AU102" s="12">
        <v>1995.0</v>
      </c>
      <c r="AV102" s="12">
        <v>78.0</v>
      </c>
      <c r="AW102" s="12">
        <v>2.0</v>
      </c>
      <c r="AX102" s="12" t="s">
        <v>598</v>
      </c>
      <c r="AY102" s="12" t="s">
        <v>598</v>
      </c>
      <c r="AZ102" s="12" t="s">
        <v>598</v>
      </c>
      <c r="BA102" s="12" t="s">
        <v>598</v>
      </c>
      <c r="BB102" s="12">
        <v>271.0</v>
      </c>
      <c r="BC102" s="12">
        <v>285.0</v>
      </c>
      <c r="BD102" s="12" t="s">
        <v>598</v>
      </c>
      <c r="BE102" s="12" t="s">
        <v>2404</v>
      </c>
      <c r="BF102" s="13" t="str">
        <f>HYPERLINK("http://dx.doi.org/10.2307/3495900","http://dx.doi.org/10.2307/3495900")</f>
        <v>http://dx.doi.org/10.2307/3495900</v>
      </c>
      <c r="BG102" s="12" t="s">
        <v>598</v>
      </c>
      <c r="BH102" s="12" t="s">
        <v>598</v>
      </c>
      <c r="BI102" s="12">
        <v>15.0</v>
      </c>
      <c r="BJ102" s="12" t="s">
        <v>2405</v>
      </c>
      <c r="BK102" s="12" t="s">
        <v>618</v>
      </c>
      <c r="BL102" s="12" t="s">
        <v>2405</v>
      </c>
      <c r="BM102" s="12" t="s">
        <v>2406</v>
      </c>
      <c r="BN102" s="12" t="s">
        <v>598</v>
      </c>
      <c r="BO102" s="12" t="s">
        <v>1201</v>
      </c>
      <c r="BP102" s="12" t="s">
        <v>598</v>
      </c>
      <c r="BQ102" s="12" t="s">
        <v>598</v>
      </c>
      <c r="BR102" s="12" t="s">
        <v>620</v>
      </c>
      <c r="BS102" s="12" t="s">
        <v>2407</v>
      </c>
      <c r="BT102" s="12" t="str">
        <f>HYPERLINK("https%3A%2F%2Fwww.webofscience.com%2Fwos%2Fwoscc%2Ffull-record%2FWOS:A1995RF56400007","View Full Record in Web of Science")</f>
        <v>View Full Record in Web of Science</v>
      </c>
    </row>
    <row r="103" ht="12.75" customHeight="1">
      <c r="A103" s="12" t="s">
        <v>596</v>
      </c>
      <c r="B103" s="12" t="s">
        <v>2408</v>
      </c>
      <c r="C103" s="12" t="s">
        <v>598</v>
      </c>
      <c r="D103" s="12" t="s">
        <v>598</v>
      </c>
      <c r="E103" s="12" t="s">
        <v>598</v>
      </c>
      <c r="F103" s="12" t="s">
        <v>2408</v>
      </c>
      <c r="G103" s="12" t="s">
        <v>598</v>
      </c>
      <c r="H103" s="12" t="s">
        <v>598</v>
      </c>
      <c r="I103" s="12" t="s">
        <v>2409</v>
      </c>
      <c r="J103" s="12" t="s">
        <v>739</v>
      </c>
      <c r="K103" s="12" t="s">
        <v>598</v>
      </c>
      <c r="L103" s="12" t="s">
        <v>598</v>
      </c>
      <c r="M103" s="12" t="s">
        <v>600</v>
      </c>
      <c r="N103" s="12" t="s">
        <v>601</v>
      </c>
      <c r="O103" s="12" t="s">
        <v>598</v>
      </c>
      <c r="P103" s="12" t="s">
        <v>598</v>
      </c>
      <c r="Q103" s="12" t="s">
        <v>598</v>
      </c>
      <c r="R103" s="12" t="s">
        <v>598</v>
      </c>
      <c r="S103" s="12" t="s">
        <v>598</v>
      </c>
      <c r="T103" s="12" t="s">
        <v>2410</v>
      </c>
      <c r="U103" s="12" t="s">
        <v>2411</v>
      </c>
      <c r="V103" s="12" t="s">
        <v>2412</v>
      </c>
      <c r="W103" s="12" t="s">
        <v>2413</v>
      </c>
      <c r="X103" s="12" t="s">
        <v>2414</v>
      </c>
      <c r="Y103" s="12" t="s">
        <v>598</v>
      </c>
      <c r="Z103" s="12" t="s">
        <v>598</v>
      </c>
      <c r="AA103" s="12" t="s">
        <v>2415</v>
      </c>
      <c r="AB103" s="12" t="s">
        <v>2416</v>
      </c>
      <c r="AC103" s="12" t="s">
        <v>598</v>
      </c>
      <c r="AD103" s="12" t="s">
        <v>598</v>
      </c>
      <c r="AE103" s="12" t="s">
        <v>598</v>
      </c>
      <c r="AF103" s="12" t="s">
        <v>598</v>
      </c>
      <c r="AG103" s="12">
        <v>77.0</v>
      </c>
      <c r="AH103" s="12">
        <v>322.0</v>
      </c>
      <c r="AI103" s="12">
        <v>409.0</v>
      </c>
      <c r="AJ103" s="12">
        <v>1.0</v>
      </c>
      <c r="AK103" s="12">
        <v>198.0</v>
      </c>
      <c r="AL103" s="12" t="s">
        <v>2417</v>
      </c>
      <c r="AM103" s="12" t="s">
        <v>2418</v>
      </c>
      <c r="AN103" s="12" t="s">
        <v>2419</v>
      </c>
      <c r="AO103" s="12" t="s">
        <v>746</v>
      </c>
      <c r="AP103" s="12" t="s">
        <v>598</v>
      </c>
      <c r="AQ103" s="12" t="s">
        <v>598</v>
      </c>
      <c r="AR103" s="12" t="s">
        <v>748</v>
      </c>
      <c r="AS103" s="12" t="s">
        <v>749</v>
      </c>
      <c r="AT103" s="12" t="s">
        <v>693</v>
      </c>
      <c r="AU103" s="12">
        <v>1995.0</v>
      </c>
      <c r="AV103" s="12">
        <v>5.0</v>
      </c>
      <c r="AW103" s="12">
        <v>4.0</v>
      </c>
      <c r="AX103" s="12" t="s">
        <v>598</v>
      </c>
      <c r="AY103" s="12" t="s">
        <v>598</v>
      </c>
      <c r="AZ103" s="12" t="s">
        <v>598</v>
      </c>
      <c r="BA103" s="12" t="s">
        <v>598</v>
      </c>
      <c r="BB103" s="12">
        <v>1098.0</v>
      </c>
      <c r="BC103" s="12">
        <v>1112.0</v>
      </c>
      <c r="BD103" s="12" t="s">
        <v>598</v>
      </c>
      <c r="BE103" s="12" t="s">
        <v>2420</v>
      </c>
      <c r="BF103" s="13" t="str">
        <f>HYPERLINK("http://dx.doi.org/10.2307/2269357","http://dx.doi.org/10.2307/2269357")</f>
        <v>http://dx.doi.org/10.2307/2269357</v>
      </c>
      <c r="BG103" s="12" t="s">
        <v>598</v>
      </c>
      <c r="BH103" s="12" t="s">
        <v>598</v>
      </c>
      <c r="BI103" s="12">
        <v>15.0</v>
      </c>
      <c r="BJ103" s="12" t="s">
        <v>752</v>
      </c>
      <c r="BK103" s="12" t="s">
        <v>618</v>
      </c>
      <c r="BL103" s="12" t="s">
        <v>753</v>
      </c>
      <c r="BM103" s="12" t="s">
        <v>2421</v>
      </c>
      <c r="BN103" s="12" t="s">
        <v>598</v>
      </c>
      <c r="BO103" s="12" t="s">
        <v>598</v>
      </c>
      <c r="BP103" s="12" t="s">
        <v>598</v>
      </c>
      <c r="BQ103" s="12" t="s">
        <v>598</v>
      </c>
      <c r="BR103" s="12" t="s">
        <v>620</v>
      </c>
      <c r="BS103" s="12" t="s">
        <v>2422</v>
      </c>
      <c r="BT103" s="12" t="str">
        <f>HYPERLINK("https%3A%2F%2Fwww.webofscience.com%2Fwos%2Fwoscc%2Ffull-record%2FWOS:A1995TF37500022","View Full Record in Web of Science")</f>
        <v>View Full Record in Web of Science</v>
      </c>
    </row>
    <row r="104" ht="12.75" customHeight="1">
      <c r="A104" s="12" t="s">
        <v>596</v>
      </c>
      <c r="B104" s="12" t="s">
        <v>2423</v>
      </c>
      <c r="C104" s="12" t="s">
        <v>598</v>
      </c>
      <c r="D104" s="12" t="s">
        <v>598</v>
      </c>
      <c r="E104" s="12" t="s">
        <v>598</v>
      </c>
      <c r="F104" s="12" t="s">
        <v>2423</v>
      </c>
      <c r="G104" s="12" t="s">
        <v>598</v>
      </c>
      <c r="H104" s="12" t="s">
        <v>598</v>
      </c>
      <c r="I104" s="12" t="s">
        <v>2424</v>
      </c>
      <c r="J104" s="12" t="s">
        <v>2425</v>
      </c>
      <c r="K104" s="12" t="s">
        <v>598</v>
      </c>
      <c r="L104" s="12" t="s">
        <v>598</v>
      </c>
      <c r="M104" s="12" t="s">
        <v>600</v>
      </c>
      <c r="N104" s="12" t="s">
        <v>601</v>
      </c>
      <c r="O104" s="12" t="s">
        <v>598</v>
      </c>
      <c r="P104" s="12" t="s">
        <v>598</v>
      </c>
      <c r="Q104" s="12" t="s">
        <v>598</v>
      </c>
      <c r="R104" s="12" t="s">
        <v>598</v>
      </c>
      <c r="S104" s="12" t="s">
        <v>598</v>
      </c>
      <c r="T104" s="12" t="s">
        <v>2426</v>
      </c>
      <c r="U104" s="12" t="s">
        <v>2427</v>
      </c>
      <c r="V104" s="12" t="s">
        <v>2428</v>
      </c>
      <c r="W104" s="12" t="s">
        <v>598</v>
      </c>
      <c r="X104" s="12" t="s">
        <v>598</v>
      </c>
      <c r="Y104" s="12" t="s">
        <v>2429</v>
      </c>
      <c r="Z104" s="12" t="s">
        <v>598</v>
      </c>
      <c r="AA104" s="12" t="s">
        <v>598</v>
      </c>
      <c r="AB104" s="12" t="s">
        <v>598</v>
      </c>
      <c r="AC104" s="12" t="s">
        <v>598</v>
      </c>
      <c r="AD104" s="12" t="s">
        <v>598</v>
      </c>
      <c r="AE104" s="12" t="s">
        <v>598</v>
      </c>
      <c r="AF104" s="12" t="s">
        <v>598</v>
      </c>
      <c r="AG104" s="12">
        <v>23.0</v>
      </c>
      <c r="AH104" s="12">
        <v>17.0</v>
      </c>
      <c r="AI104" s="12">
        <v>18.0</v>
      </c>
      <c r="AJ104" s="12">
        <v>1.0</v>
      </c>
      <c r="AK104" s="12">
        <v>17.0</v>
      </c>
      <c r="AL104" s="12" t="s">
        <v>2430</v>
      </c>
      <c r="AM104" s="12" t="s">
        <v>2431</v>
      </c>
      <c r="AN104" s="12" t="s">
        <v>2432</v>
      </c>
      <c r="AO104" s="12" t="s">
        <v>2433</v>
      </c>
      <c r="AP104" s="12" t="s">
        <v>598</v>
      </c>
      <c r="AQ104" s="12" t="s">
        <v>598</v>
      </c>
      <c r="AR104" s="12" t="s">
        <v>2434</v>
      </c>
      <c r="AS104" s="12" t="s">
        <v>2435</v>
      </c>
      <c r="AT104" s="12" t="s">
        <v>598</v>
      </c>
      <c r="AU104" s="12">
        <v>1996.0</v>
      </c>
      <c r="AV104" s="12">
        <v>143.0</v>
      </c>
      <c r="AW104" s="12" t="s">
        <v>2436</v>
      </c>
      <c r="AX104" s="12" t="s">
        <v>598</v>
      </c>
      <c r="AY104" s="12" t="s">
        <v>598</v>
      </c>
      <c r="AZ104" s="12" t="s">
        <v>598</v>
      </c>
      <c r="BA104" s="12" t="s">
        <v>598</v>
      </c>
      <c r="BB104" s="12">
        <v>451.0</v>
      </c>
      <c r="BC104" s="12">
        <v>461.0</v>
      </c>
      <c r="BD104" s="12" t="s">
        <v>598</v>
      </c>
      <c r="BE104" s="12" t="s">
        <v>2437</v>
      </c>
      <c r="BF104" s="13" t="str">
        <f>HYPERLINK("http://dx.doi.org/10.1080/12538078.1996.10515741","http://dx.doi.org/10.1080/12538078.1996.10515741")</f>
        <v>http://dx.doi.org/10.1080/12538078.1996.10515741</v>
      </c>
      <c r="BG104" s="12" t="s">
        <v>598</v>
      </c>
      <c r="BH104" s="12" t="s">
        <v>598</v>
      </c>
      <c r="BI104" s="12">
        <v>11.0</v>
      </c>
      <c r="BJ104" s="12" t="s">
        <v>1679</v>
      </c>
      <c r="BK104" s="12" t="s">
        <v>618</v>
      </c>
      <c r="BL104" s="12" t="s">
        <v>1679</v>
      </c>
      <c r="BM104" s="12" t="s">
        <v>2438</v>
      </c>
      <c r="BN104" s="12" t="s">
        <v>598</v>
      </c>
      <c r="BO104" s="12" t="s">
        <v>719</v>
      </c>
      <c r="BP104" s="12" t="s">
        <v>598</v>
      </c>
      <c r="BQ104" s="12" t="s">
        <v>598</v>
      </c>
      <c r="BR104" s="12" t="s">
        <v>620</v>
      </c>
      <c r="BS104" s="12" t="s">
        <v>2439</v>
      </c>
      <c r="BT104" s="12" t="str">
        <f>HYPERLINK("https%3A%2F%2Fwww.webofscience.com%2Fwos%2Fwoscc%2Ffull-record%2FWOS:A1996XZ61700023","View Full Record in Web of Science")</f>
        <v>View Full Record in Web of Science</v>
      </c>
    </row>
    <row r="105" ht="12.75" customHeight="1">
      <c r="A105" s="12" t="s">
        <v>596</v>
      </c>
      <c r="B105" s="12" t="s">
        <v>2440</v>
      </c>
      <c r="C105" s="12" t="s">
        <v>598</v>
      </c>
      <c r="D105" s="12" t="s">
        <v>598</v>
      </c>
      <c r="E105" s="12" t="s">
        <v>598</v>
      </c>
      <c r="F105" s="12" t="s">
        <v>2440</v>
      </c>
      <c r="G105" s="12" t="s">
        <v>598</v>
      </c>
      <c r="H105" s="12" t="s">
        <v>598</v>
      </c>
      <c r="I105" s="12" t="s">
        <v>114</v>
      </c>
      <c r="J105" s="12" t="s">
        <v>2441</v>
      </c>
      <c r="K105" s="12" t="s">
        <v>598</v>
      </c>
      <c r="L105" s="12" t="s">
        <v>598</v>
      </c>
      <c r="M105" s="12" t="s">
        <v>600</v>
      </c>
      <c r="N105" s="12" t="s">
        <v>601</v>
      </c>
      <c r="O105" s="12" t="s">
        <v>598</v>
      </c>
      <c r="P105" s="12" t="s">
        <v>598</v>
      </c>
      <c r="Q105" s="12" t="s">
        <v>598</v>
      </c>
      <c r="R105" s="12" t="s">
        <v>598</v>
      </c>
      <c r="S105" s="12" t="s">
        <v>598</v>
      </c>
      <c r="T105" s="12" t="s">
        <v>2442</v>
      </c>
      <c r="U105" s="12" t="s">
        <v>2443</v>
      </c>
      <c r="V105" s="12" t="s">
        <v>2444</v>
      </c>
      <c r="W105" s="12" t="s">
        <v>2445</v>
      </c>
      <c r="X105" s="12" t="s">
        <v>2446</v>
      </c>
      <c r="Y105" s="12" t="s">
        <v>2447</v>
      </c>
      <c r="Z105" s="12" t="s">
        <v>598</v>
      </c>
      <c r="AA105" s="12" t="s">
        <v>598</v>
      </c>
      <c r="AB105" s="12" t="s">
        <v>598</v>
      </c>
      <c r="AC105" s="12" t="s">
        <v>598</v>
      </c>
      <c r="AD105" s="12" t="s">
        <v>598</v>
      </c>
      <c r="AE105" s="12" t="s">
        <v>598</v>
      </c>
      <c r="AF105" s="12" t="s">
        <v>598</v>
      </c>
      <c r="AG105" s="12">
        <v>44.0</v>
      </c>
      <c r="AH105" s="12">
        <v>182.0</v>
      </c>
      <c r="AI105" s="12">
        <v>221.0</v>
      </c>
      <c r="AJ105" s="12">
        <v>0.0</v>
      </c>
      <c r="AK105" s="12">
        <v>67.0</v>
      </c>
      <c r="AL105" s="12" t="s">
        <v>708</v>
      </c>
      <c r="AM105" s="12" t="s">
        <v>709</v>
      </c>
      <c r="AN105" s="12" t="s">
        <v>710</v>
      </c>
      <c r="AO105" s="12" t="s">
        <v>2448</v>
      </c>
      <c r="AP105" s="12" t="s">
        <v>2449</v>
      </c>
      <c r="AQ105" s="12" t="s">
        <v>598</v>
      </c>
      <c r="AR105" s="12" t="s">
        <v>2450</v>
      </c>
      <c r="AS105" s="12" t="s">
        <v>2451</v>
      </c>
      <c r="AT105" s="12" t="s">
        <v>1197</v>
      </c>
      <c r="AU105" s="12">
        <v>1997.0</v>
      </c>
      <c r="AV105" s="12">
        <v>61.0</v>
      </c>
      <c r="AW105" s="12">
        <v>1.0</v>
      </c>
      <c r="AX105" s="12" t="s">
        <v>598</v>
      </c>
      <c r="AY105" s="12" t="s">
        <v>598</v>
      </c>
      <c r="AZ105" s="12" t="s">
        <v>598</v>
      </c>
      <c r="BA105" s="12" t="s">
        <v>598</v>
      </c>
      <c r="BB105" s="12">
        <v>159.0</v>
      </c>
      <c r="BC105" s="12">
        <v>171.0</v>
      </c>
      <c r="BD105" s="12" t="s">
        <v>598</v>
      </c>
      <c r="BE105" s="12" t="s">
        <v>2452</v>
      </c>
      <c r="BF105" s="13" t="str">
        <f>HYPERLINK("http://dx.doi.org/10.2307/3802425","http://dx.doi.org/10.2307/3802425")</f>
        <v>http://dx.doi.org/10.2307/3802425</v>
      </c>
      <c r="BG105" s="12" t="s">
        <v>598</v>
      </c>
      <c r="BH105" s="12" t="s">
        <v>598</v>
      </c>
      <c r="BI105" s="12">
        <v>13.0</v>
      </c>
      <c r="BJ105" s="12" t="s">
        <v>807</v>
      </c>
      <c r="BK105" s="12" t="s">
        <v>618</v>
      </c>
      <c r="BL105" s="12" t="s">
        <v>808</v>
      </c>
      <c r="BM105" s="12" t="s">
        <v>2453</v>
      </c>
      <c r="BN105" s="12" t="s">
        <v>598</v>
      </c>
      <c r="BO105" s="12" t="s">
        <v>598</v>
      </c>
      <c r="BP105" s="12" t="s">
        <v>598</v>
      </c>
      <c r="BQ105" s="12" t="s">
        <v>598</v>
      </c>
      <c r="BR105" s="12" t="s">
        <v>620</v>
      </c>
      <c r="BS105" s="12" t="s">
        <v>2454</v>
      </c>
      <c r="BT105" s="12" t="str">
        <f>HYPERLINK("https%3A%2F%2Fwww.webofscience.com%2Fwos%2Fwoscc%2Ffull-record%2FWOS:A1997WL78800017","View Full Record in Web of Science")</f>
        <v>View Full Record in Web of Science</v>
      </c>
    </row>
    <row r="106" ht="12.75" customHeight="1">
      <c r="A106" s="12" t="s">
        <v>596</v>
      </c>
      <c r="B106" s="12" t="s">
        <v>2455</v>
      </c>
      <c r="C106" s="12" t="s">
        <v>598</v>
      </c>
      <c r="D106" s="12" t="s">
        <v>598</v>
      </c>
      <c r="E106" s="12" t="s">
        <v>598</v>
      </c>
      <c r="F106" s="12" t="s">
        <v>2455</v>
      </c>
      <c r="G106" s="12" t="s">
        <v>598</v>
      </c>
      <c r="H106" s="12" t="s">
        <v>598</v>
      </c>
      <c r="I106" s="12" t="s">
        <v>200</v>
      </c>
      <c r="J106" s="12" t="s">
        <v>599</v>
      </c>
      <c r="K106" s="12" t="s">
        <v>598</v>
      </c>
      <c r="L106" s="12" t="s">
        <v>598</v>
      </c>
      <c r="M106" s="12" t="s">
        <v>600</v>
      </c>
      <c r="N106" s="12" t="s">
        <v>601</v>
      </c>
      <c r="O106" s="12" t="s">
        <v>598</v>
      </c>
      <c r="P106" s="12" t="s">
        <v>598</v>
      </c>
      <c r="Q106" s="12" t="s">
        <v>598</v>
      </c>
      <c r="R106" s="12" t="s">
        <v>598</v>
      </c>
      <c r="S106" s="12" t="s">
        <v>598</v>
      </c>
      <c r="T106" s="12" t="s">
        <v>2456</v>
      </c>
      <c r="U106" s="12" t="s">
        <v>2457</v>
      </c>
      <c r="V106" s="12" t="s">
        <v>2458</v>
      </c>
      <c r="W106" s="12" t="s">
        <v>2459</v>
      </c>
      <c r="X106" s="12" t="s">
        <v>2460</v>
      </c>
      <c r="Y106" s="12" t="s">
        <v>598</v>
      </c>
      <c r="Z106" s="12" t="s">
        <v>598</v>
      </c>
      <c r="AA106" s="12" t="s">
        <v>598</v>
      </c>
      <c r="AB106" s="12" t="s">
        <v>598</v>
      </c>
      <c r="AC106" s="12" t="s">
        <v>598</v>
      </c>
      <c r="AD106" s="12" t="s">
        <v>598</v>
      </c>
      <c r="AE106" s="12" t="s">
        <v>598</v>
      </c>
      <c r="AF106" s="12" t="s">
        <v>598</v>
      </c>
      <c r="AG106" s="12">
        <v>57.0</v>
      </c>
      <c r="AH106" s="12">
        <v>42.0</v>
      </c>
      <c r="AI106" s="12">
        <v>53.0</v>
      </c>
      <c r="AJ106" s="12">
        <v>0.0</v>
      </c>
      <c r="AK106" s="12">
        <v>18.0</v>
      </c>
      <c r="AL106" s="12" t="s">
        <v>608</v>
      </c>
      <c r="AM106" s="12" t="s">
        <v>609</v>
      </c>
      <c r="AN106" s="12" t="s">
        <v>610</v>
      </c>
      <c r="AO106" s="12" t="s">
        <v>611</v>
      </c>
      <c r="AP106" s="12" t="s">
        <v>598</v>
      </c>
      <c r="AQ106" s="12" t="s">
        <v>598</v>
      </c>
      <c r="AR106" s="12" t="s">
        <v>612</v>
      </c>
      <c r="AS106" s="12" t="s">
        <v>613</v>
      </c>
      <c r="AT106" s="12" t="s">
        <v>2213</v>
      </c>
      <c r="AU106" s="12">
        <v>1997.0</v>
      </c>
      <c r="AV106" s="12">
        <v>96.0</v>
      </c>
      <c r="AW106" s="12" t="s">
        <v>2461</v>
      </c>
      <c r="AX106" s="12" t="s">
        <v>598</v>
      </c>
      <c r="AY106" s="12" t="s">
        <v>598</v>
      </c>
      <c r="AZ106" s="12" t="s">
        <v>598</v>
      </c>
      <c r="BA106" s="12" t="s">
        <v>598</v>
      </c>
      <c r="BB106" s="12">
        <v>27.0</v>
      </c>
      <c r="BC106" s="12">
        <v>36.0</v>
      </c>
      <c r="BD106" s="12" t="s">
        <v>598</v>
      </c>
      <c r="BE106" s="12" t="s">
        <v>2462</v>
      </c>
      <c r="BF106" s="13" t="str">
        <f>HYPERLINK("http://dx.doi.org/10.1016/S0378-1127(97)00052-2","http://dx.doi.org/10.1016/S0378-1127(97)00052-2")</f>
        <v>http://dx.doi.org/10.1016/S0378-1127(97)00052-2</v>
      </c>
      <c r="BG106" s="12" t="s">
        <v>598</v>
      </c>
      <c r="BH106" s="12" t="s">
        <v>598</v>
      </c>
      <c r="BI106" s="12">
        <v>10.0</v>
      </c>
      <c r="BJ106" s="12" t="s">
        <v>617</v>
      </c>
      <c r="BK106" s="12" t="s">
        <v>618</v>
      </c>
      <c r="BL106" s="12" t="s">
        <v>617</v>
      </c>
      <c r="BM106" s="12" t="s">
        <v>2463</v>
      </c>
      <c r="BN106" s="12" t="s">
        <v>598</v>
      </c>
      <c r="BO106" s="12" t="s">
        <v>598</v>
      </c>
      <c r="BP106" s="12" t="s">
        <v>598</v>
      </c>
      <c r="BQ106" s="12" t="s">
        <v>598</v>
      </c>
      <c r="BR106" s="12" t="s">
        <v>620</v>
      </c>
      <c r="BS106" s="12" t="s">
        <v>2464</v>
      </c>
      <c r="BT106" s="12" t="str">
        <f>HYPERLINK("https%3A%2F%2Fwww.webofscience.com%2Fwos%2Fwoscc%2Ffull-record%2FWOS:A1997XV22000003","View Full Record in Web of Science")</f>
        <v>View Full Record in Web of Science</v>
      </c>
    </row>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BT$106">
    <sortState ref="A1:BT106">
      <sortCondition ref="BS1:BS106"/>
      <sortCondition ref="BE1:BE106"/>
    </sortState>
  </autoFilter>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B2" s="10" t="s">
        <v>2465</v>
      </c>
    </row>
    <row r="3" ht="15.75" customHeight="1">
      <c r="B3" s="11" t="s">
        <v>2466</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