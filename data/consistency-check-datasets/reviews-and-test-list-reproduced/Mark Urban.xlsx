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Raw - 1" sheetId="2" r:id="rId6"/>
    <sheet state="visible" name="Raw - 2" sheetId="3" r:id="rId7"/>
    <sheet state="visible" name="Enriched" sheetId="4" r:id="rId8"/>
    <sheet state="visible" name="Curated - Labels" sheetId="5" r:id="rId9"/>
    <sheet state="visible" name="Serving - Labels" sheetId="6" r:id="rId10"/>
    <sheet state="hidden" name="Sheet8" sheetId="7" r:id="rId11"/>
    <sheet state="hidden" name="Archived- Curated - Urban et al" sheetId="8" r:id="rId12"/>
    <sheet state="hidden" name="Archived- Curated - Validaiton " sheetId="9" r:id="rId13"/>
    <sheet state="visible" name="Test List" sheetId="10" r:id="rId14"/>
    <sheet state="visible" name="Query" sheetId="11" r:id="rId15"/>
    <sheet state="hidden" name="Sheet4" sheetId="12" r:id="rId16"/>
  </sheets>
  <definedNames>
    <definedName hidden="1" localSheetId="1" name="_xlnm._FilterDatabase">'Raw - 1'!$A$1:$H$132</definedName>
    <definedName hidden="1" localSheetId="3" name="_xlnm._FilterDatabase">Enriched!$A$1:$M$132</definedName>
    <definedName hidden="1" localSheetId="4" name="_xlnm._FilterDatabase">'Curated - Labels'!$A$1:$CA$1000</definedName>
    <definedName hidden="1" localSheetId="5" name="_xlnm._FilterDatabase">'Serving - Labels'!$A$1:$K$1000</definedName>
    <definedName hidden="1" localSheetId="7" name="_xlnm._FilterDatabase">'Archived- Curated - Urban et al'!$A$1:$BY$118</definedName>
  </definedNames>
  <calcPr/>
</workbook>
</file>

<file path=xl/sharedStrings.xml><?xml version="1.0" encoding="utf-8"?>
<sst xmlns="http://schemas.openxmlformats.org/spreadsheetml/2006/main" count="39875" uniqueCount="3608">
  <si>
    <t>https://www.science.org/doi/10.1126/science.aaa4984</t>
  </si>
  <si>
    <t>Dataset:</t>
  </si>
  <si>
    <t>https://datadryad.org/dataset/doi:10.5061/dryad.3rv62</t>
  </si>
  <si>
    <t>Raw - 1</t>
  </si>
  <si>
    <t>131 Records reproduced as table from Supplementary table S1</t>
  </si>
  <si>
    <t>Raw - 2</t>
  </si>
  <si>
    <t>Annotated data available in author's data</t>
  </si>
  <si>
    <t>Enriched</t>
  </si>
  <si>
    <t xml:space="preserve">In "Raw - 1" data, add DOI and presence boolean in WOS, recreate taxa cols for each document </t>
  </si>
  <si>
    <t>Curated - Labels</t>
  </si>
  <si>
    <t xml:space="preserve">Export WOS for 109 records present in the dataset.
Labels standardization:
- In region, remove "Marine" and "Western Hemisphere" records from labels. These don't meet the IPBES geographic mapping. 6 documents in total
- In region/ sub-region/ country labels, standardize naming as per IPBES Geographic mapping
- Based on taxa labels, add kingdom, phylum, order labels by manually looking through GBIF taxonomy. Only logical split of labels is made. Logic of author's labelling is carried. 
</t>
  </si>
  <si>
    <t>Test List</t>
  </si>
  <si>
    <t>112 records of raw data present in DOI</t>
  </si>
  <si>
    <t>Query</t>
  </si>
  <si>
    <t>- Search string for test list</t>
  </si>
  <si>
    <t>Section</t>
  </si>
  <si>
    <t xml:space="preserve">Records </t>
  </si>
  <si>
    <t>Desc</t>
  </si>
  <si>
    <t>Enriched Data</t>
  </si>
  <si>
    <t>Enriched data for DOs and presence in WOS</t>
  </si>
  <si>
    <t>Curated Data</t>
  </si>
  <si>
    <t>WOS Export of 117 records present in WOS</t>
  </si>
  <si>
    <t>Query of WOS to reproduce</t>
  </si>
  <si>
    <t>Authors</t>
  </si>
  <si>
    <t>Year</t>
  </si>
  <si>
    <t>Region</t>
  </si>
  <si>
    <t>Taxa</t>
  </si>
  <si>
    <t>Endemic</t>
  </si>
  <si>
    <t>Model</t>
  </si>
  <si>
    <t>Dispersal</t>
  </si>
  <si>
    <t>Reference number in paper</t>
  </si>
  <si>
    <t>Hering et al. (139)</t>
  </si>
  <si>
    <t>Europe</t>
  </si>
  <si>
    <t>Invertebrates</t>
  </si>
  <si>
    <t>N</t>
  </si>
  <si>
    <t>Exp</t>
  </si>
  <si>
    <t>NA</t>
  </si>
  <si>
    <t>139</t>
  </si>
  <si>
    <t>Martínez-Freiría et al. (172)</t>
  </si>
  <si>
    <t>Africa</t>
  </si>
  <si>
    <t>Reptiles</t>
  </si>
  <si>
    <t>Y</t>
  </si>
  <si>
    <t>SDM</t>
  </si>
  <si>
    <t>N, U</t>
  </si>
  <si>
    <t>172</t>
  </si>
  <si>
    <t>Li et al. (171)</t>
  </si>
  <si>
    <t>Asia</t>
  </si>
  <si>
    <t>Mammals, Birds, Reptiles, Amphibians</t>
  </si>
  <si>
    <t>171</t>
  </si>
  <si>
    <t>Bambach et al. (165)</t>
  </si>
  <si>
    <t>South America</t>
  </si>
  <si>
    <t>Plants</t>
  </si>
  <si>
    <t>165</t>
  </si>
  <si>
    <t>Svenning &amp; Skov (108)</t>
  </si>
  <si>
    <t>108</t>
  </si>
  <si>
    <t>Peterson &amp; Marinez-Meyer (117)</t>
  </si>
  <si>
    <t>Mammals</t>
  </si>
  <si>
    <t>117</t>
  </si>
  <si>
    <t>Levinsky et al. (115)</t>
  </si>
  <si>
    <t>115</t>
  </si>
  <si>
    <t>Heikkinen et al. (142)</t>
  </si>
  <si>
    <t>142</t>
  </si>
  <si>
    <t>Sauer et al. (154)</t>
  </si>
  <si>
    <t>U</t>
  </si>
  <si>
    <t>154</t>
  </si>
  <si>
    <t>Preston (106)</t>
  </si>
  <si>
    <t>North America</t>
  </si>
  <si>
    <t>Fish</t>
  </si>
  <si>
    <t>Mech</t>
  </si>
  <si>
    <t>106</t>
  </si>
  <si>
    <t>Brereton et al. (58)</t>
  </si>
  <si>
    <t>Australia</t>
  </si>
  <si>
    <t>Mammals, Birds, Reptiles, Amphibians, Invertebrates</t>
  </si>
  <si>
    <t>58</t>
  </si>
  <si>
    <t>Khanum et al. (170)</t>
  </si>
  <si>
    <t>170</t>
  </si>
  <si>
    <t>Jarvis et al. (124)</t>
  </si>
  <si>
    <t>World</t>
  </si>
  <si>
    <t>N, I, U</t>
  </si>
  <si>
    <t>124</t>
  </si>
  <si>
    <t>Shoo et al. (96)</t>
  </si>
  <si>
    <t>Birds</t>
  </si>
  <si>
    <t>96</t>
  </si>
  <si>
    <t>Virkkala et al. (136)</t>
  </si>
  <si>
    <t>136</t>
  </si>
  <si>
    <t>Gallardo &amp; Aldridge (168)</t>
  </si>
  <si>
    <t>168</t>
  </si>
  <si>
    <t>Meynecke (84)</t>
  </si>
  <si>
    <t>Mammals, Birds, Amphibians, Reptiles</t>
  </si>
  <si>
    <t>84</t>
  </si>
  <si>
    <t>Beaumont et al. (90)</t>
  </si>
  <si>
    <t>90</t>
  </si>
  <si>
    <t>Harrison et al. (101)</t>
  </si>
  <si>
    <t>Mammals, Birds, Invertebrates, Plants</t>
  </si>
  <si>
    <t>101</t>
  </si>
  <si>
    <t>del Barrio et al. (100)</t>
  </si>
  <si>
    <t>Invertebrates, Plants</t>
  </si>
  <si>
    <t>100</t>
  </si>
  <si>
    <t>Iverson et al. (123)</t>
  </si>
  <si>
    <t>123</t>
  </si>
  <si>
    <t>Evangelista et al. (152)</t>
  </si>
  <si>
    <t>152</t>
  </si>
  <si>
    <t>Bakkenes et al. (99)</t>
  </si>
  <si>
    <t>SDM, SAR</t>
  </si>
  <si>
    <t>99</t>
  </si>
  <si>
    <t>Normand et al. (116)</t>
  </si>
  <si>
    <t>116</t>
  </si>
  <si>
    <t>Midgley et al. (79)</t>
  </si>
  <si>
    <t>79</t>
  </si>
  <si>
    <t>Box et al. (65)</t>
  </si>
  <si>
    <t>65</t>
  </si>
  <si>
    <t>Mohseni et al. (80)</t>
  </si>
  <si>
    <t>80</t>
  </si>
  <si>
    <t>Peterson et al. (74)</t>
  </si>
  <si>
    <t>Mammals, Birds, Invertebrates</t>
  </si>
  <si>
    <t>N, C, U</t>
  </si>
  <si>
    <t>74</t>
  </si>
  <si>
    <t>Thomas et al. (2)</t>
  </si>
  <si>
    <t>Mammals, Birds, Amphibians, Reptiles, Invertebrates, Plants</t>
  </si>
  <si>
    <t>SAR</t>
  </si>
  <si>
    <t>2</t>
  </si>
  <si>
    <t>Balint et al. (147)</t>
  </si>
  <si>
    <t>147</t>
  </si>
  <si>
    <t>Dullinger et al. (42)</t>
  </si>
  <si>
    <t>Hyb</t>
  </si>
  <si>
    <t>N, S, U</t>
  </si>
  <si>
    <t>42</t>
  </si>
  <si>
    <t>Warren et al. (3)</t>
  </si>
  <si>
    <t>Animals, Plants</t>
  </si>
  <si>
    <t>3</t>
  </si>
  <si>
    <t>Johnston &amp; Schmitz (62)</t>
  </si>
  <si>
    <t>62</t>
  </si>
  <si>
    <t>Beaumont &amp; Hughes (70)</t>
  </si>
  <si>
    <t>70</t>
  </si>
  <si>
    <t>Erasmus et al. (71)</t>
  </si>
  <si>
    <t>Animals</t>
  </si>
  <si>
    <t>71</t>
  </si>
  <si>
    <t>Peterson &amp; Townsend (81)</t>
  </si>
  <si>
    <t>81</t>
  </si>
  <si>
    <t>Roy et al. (69)</t>
  </si>
  <si>
    <t>69</t>
  </si>
  <si>
    <t>Saetersdal et al. (64)</t>
  </si>
  <si>
    <t>64</t>
  </si>
  <si>
    <t>Dirnböck et al. (76)</t>
  </si>
  <si>
    <t>76</t>
  </si>
  <si>
    <t>Midgley et al. (73)</t>
  </si>
  <si>
    <t>73</t>
  </si>
  <si>
    <t>McDonald &amp; Brown (56)</t>
  </si>
  <si>
    <t>56</t>
  </si>
  <si>
    <t>Bond et al. (148)</t>
  </si>
  <si>
    <t>148</t>
  </si>
  <si>
    <t>Thuiller et al. (97)</t>
  </si>
  <si>
    <t>97</t>
  </si>
  <si>
    <t>Kueppers et al. (93)</t>
  </si>
  <si>
    <t>93</t>
  </si>
  <si>
    <t>Wenger et al. (156)</t>
  </si>
  <si>
    <t>156</t>
  </si>
  <si>
    <t>Schloss et al. (16)</t>
  </si>
  <si>
    <t>Western Hemisphere</t>
  </si>
  <si>
    <t>S</t>
  </si>
  <si>
    <t>16</t>
  </si>
  <si>
    <t>Buckley (118)</t>
  </si>
  <si>
    <t>Mech, SDM</t>
  </si>
  <si>
    <t>118</t>
  </si>
  <si>
    <t>Ritchie &amp; Bolitho (131)</t>
  </si>
  <si>
    <t>131</t>
  </si>
  <si>
    <t>Pompe et al. (129)</t>
  </si>
  <si>
    <t>129</t>
  </si>
  <si>
    <t>Hill et al. (72)</t>
  </si>
  <si>
    <t>72</t>
  </si>
  <si>
    <t>Williams et al. (10)</t>
  </si>
  <si>
    <t>Vertebrates</t>
  </si>
  <si>
    <t>10</t>
  </si>
  <si>
    <t>Anderson et al. (137)</t>
  </si>
  <si>
    <t>137</t>
  </si>
  <si>
    <t>Cabral et al. (166)</t>
  </si>
  <si>
    <t>166</t>
  </si>
  <si>
    <t>Domisch et al. (167)</t>
  </si>
  <si>
    <t>167</t>
  </si>
  <si>
    <t>Fordham et al. (43)</t>
  </si>
  <si>
    <t>SDM, Hyb, Mech</t>
  </si>
  <si>
    <t>43</t>
  </si>
  <si>
    <t>Peck et al. (86)</t>
  </si>
  <si>
    <t>Marine</t>
  </si>
  <si>
    <t>86</t>
  </si>
  <si>
    <t>Skov &amp; Svenning (89)</t>
  </si>
  <si>
    <t>N, S</t>
  </si>
  <si>
    <t>89</t>
  </si>
  <si>
    <t>Domisch et al. (149)</t>
  </si>
  <si>
    <t>149</t>
  </si>
  <si>
    <t>Araújo et al. (83)</t>
  </si>
  <si>
    <t>83</t>
  </si>
  <si>
    <t>Bomhard et al. (91)</t>
  </si>
  <si>
    <t>91</t>
  </si>
  <si>
    <t>Thuiller et al. (110)</t>
  </si>
  <si>
    <t>110</t>
  </si>
  <si>
    <t>Lawler et al. (103)</t>
  </si>
  <si>
    <t>103</t>
  </si>
  <si>
    <t>Ohlemüller et al. (105)</t>
  </si>
  <si>
    <t>105</t>
  </si>
  <si>
    <t>Beaumont et al. (31)</t>
  </si>
  <si>
    <t>31</t>
  </si>
  <si>
    <t>Luoto &amp; Heikkinen (127)</t>
  </si>
  <si>
    <t>127</t>
  </si>
  <si>
    <t>Trivedi et al. (135)</t>
  </si>
  <si>
    <t>135</t>
  </si>
  <si>
    <t>Fitzpatrick et al. (120)</t>
  </si>
  <si>
    <t>120</t>
  </si>
  <si>
    <t>Raxworthy et al. (130)</t>
  </si>
  <si>
    <t>Amphibians, Reptiles</t>
  </si>
  <si>
    <t>130</t>
  </si>
  <si>
    <t>Randin et al. (141)</t>
  </si>
  <si>
    <t>141</t>
  </si>
  <si>
    <t>Rebelo et al. (145)</t>
  </si>
  <si>
    <t>145</t>
  </si>
  <si>
    <t>Lasram et al. (143)</t>
  </si>
  <si>
    <t>143</t>
  </si>
  <si>
    <t>Engler et al. (151)</t>
  </si>
  <si>
    <t>151</t>
  </si>
  <si>
    <t>Fordham et al. (157)</t>
  </si>
  <si>
    <t>SDM, Hyb</t>
  </si>
  <si>
    <t>157</t>
  </si>
  <si>
    <t>Ihlow et al. (161)</t>
  </si>
  <si>
    <t>161</t>
  </si>
  <si>
    <t>Hughes et al. (160)</t>
  </si>
  <si>
    <t>160</t>
  </si>
  <si>
    <t>Morin et al. (128)</t>
  </si>
  <si>
    <t>128</t>
  </si>
  <si>
    <t>Chu et al. (92)</t>
  </si>
  <si>
    <t>C</t>
  </si>
  <si>
    <t>92</t>
  </si>
  <si>
    <t>Thuiller et al. (109)</t>
  </si>
  <si>
    <t>109</t>
  </si>
  <si>
    <t>Midgley et al. (104)</t>
  </si>
  <si>
    <t>104</t>
  </si>
  <si>
    <t>Buckley et al. (23)</t>
  </si>
  <si>
    <t>Reptiles, Invertebrates</t>
  </si>
  <si>
    <t>SDM, Mech</t>
  </si>
  <si>
    <t>23</t>
  </si>
  <si>
    <t>Early &amp; Sax (150)</t>
  </si>
  <si>
    <t>Amphibians</t>
  </si>
  <si>
    <t>150</t>
  </si>
  <si>
    <t>Sheldon et al. (155)</t>
  </si>
  <si>
    <t>Birds, Reptiles, Amphibians, Invertebrates</t>
  </si>
  <si>
    <t>155</t>
  </si>
  <si>
    <t>Miles et al. (85)</t>
  </si>
  <si>
    <t>85</t>
  </si>
  <si>
    <t>Garzón et al. (153)</t>
  </si>
  <si>
    <t>Hyb, SDM</t>
  </si>
  <si>
    <t>153</t>
  </si>
  <si>
    <t>Yates et al. (146)</t>
  </si>
  <si>
    <t>146</t>
  </si>
  <si>
    <t>Renwick et al. (162)</t>
  </si>
  <si>
    <t>162</t>
  </si>
  <si>
    <t>Huntley et al. (102)</t>
  </si>
  <si>
    <t>102</t>
  </si>
  <si>
    <t>Malcolm et al. (1)</t>
  </si>
  <si>
    <t>Plants, Vertebrates</t>
  </si>
  <si>
    <t>1</t>
  </si>
  <si>
    <t>Carroll (112)</t>
  </si>
  <si>
    <t>112</t>
  </si>
  <si>
    <t>Gomez-Mendoza &amp; Arriaga (113)</t>
  </si>
  <si>
    <t>113</t>
  </si>
  <si>
    <t>Sekercioglu et al. (133)</t>
  </si>
  <si>
    <t>133</t>
  </si>
  <si>
    <t>Engler et al. (138)</t>
  </si>
  <si>
    <t>138</t>
  </si>
  <si>
    <t>Parra-Olea et al. (95)</t>
  </si>
  <si>
    <t>95</t>
  </si>
  <si>
    <t>Li et al. (144)</t>
  </si>
  <si>
    <t>144</t>
  </si>
  <si>
    <t>Albouy et al. (164)</t>
  </si>
  <si>
    <t>164</t>
  </si>
  <si>
    <t>Saupe et al. (174)</t>
  </si>
  <si>
    <t>174</t>
  </si>
  <si>
    <t>Colwell et al. (119)</t>
  </si>
  <si>
    <t>119</t>
  </si>
  <si>
    <t>Sinervo et al. (11)</t>
  </si>
  <si>
    <t>11</t>
  </si>
  <si>
    <t>Peterson et al. (87)</t>
  </si>
  <si>
    <t>87</t>
  </si>
  <si>
    <t>Jetz et al. (114)</t>
  </si>
  <si>
    <t>114</t>
  </si>
  <si>
    <t>Huntley et al. (122)</t>
  </si>
  <si>
    <t>122</t>
  </si>
  <si>
    <t>Loarie et al. (126)</t>
  </si>
  <si>
    <t>126</t>
  </si>
  <si>
    <t>Gardali et al. (158)</t>
  </si>
  <si>
    <t>158</t>
  </si>
  <si>
    <t>Hof et al. (159)</t>
  </si>
  <si>
    <t>159</t>
  </si>
  <si>
    <t>Jones et al. (169)</t>
  </si>
  <si>
    <t>169</t>
  </si>
  <si>
    <t>Moyle et al. (44)</t>
  </si>
  <si>
    <t>44</t>
  </si>
  <si>
    <t>Foden et al. (4)</t>
  </si>
  <si>
    <t>Birds, Amphibians, Invertebrates</t>
  </si>
  <si>
    <t>4</t>
  </si>
  <si>
    <t>Sánchez-Guillén et al. (173)</t>
  </si>
  <si>
    <t>173</t>
  </si>
  <si>
    <t>Laidre et al. (125)</t>
  </si>
  <si>
    <t>Arctic</t>
  </si>
  <si>
    <t>125</t>
  </si>
  <si>
    <t>Schweiger et al. (132)</t>
  </si>
  <si>
    <t>132</t>
  </si>
  <si>
    <t>Morin et al. (140)</t>
  </si>
  <si>
    <t>U, S</t>
  </si>
  <si>
    <t>140</t>
  </si>
  <si>
    <t>Huntley et al. (59)</t>
  </si>
  <si>
    <t>59</t>
  </si>
  <si>
    <t>Hughes et al. (61)</t>
  </si>
  <si>
    <t>61</t>
  </si>
  <si>
    <t>Simmons et al. (88)</t>
  </si>
  <si>
    <t>88</t>
  </si>
  <si>
    <t>Garzón et al. (121)</t>
  </si>
  <si>
    <t>121</t>
  </si>
  <si>
    <t>Eaton &amp; Scheller (60)</t>
  </si>
  <si>
    <t>60</t>
  </si>
  <si>
    <t>McClean et al. (94)</t>
  </si>
  <si>
    <t>94</t>
  </si>
  <si>
    <t>Romo et al. (163)</t>
  </si>
  <si>
    <t>163</t>
  </si>
  <si>
    <t>Murphy &amp; Weiss (57)</t>
  </si>
  <si>
    <t>Mammals, Invertebrates, Plants</t>
  </si>
  <si>
    <t>57</t>
  </si>
  <si>
    <t>Zockler &amp; Lysenko (67)</t>
  </si>
  <si>
    <t>67</t>
  </si>
  <si>
    <t>Berry et al. (75)</t>
  </si>
  <si>
    <t>Birds, Amphibians, Invertebrates, Plants</t>
  </si>
  <si>
    <t>75</t>
  </si>
  <si>
    <t>Harrison et al. (78)</t>
  </si>
  <si>
    <t>78</t>
  </si>
  <si>
    <t>Guisan &amp; Theurillat (66)</t>
  </si>
  <si>
    <t>66</t>
  </si>
  <si>
    <t>Siqueira &amp; Peterson (82)</t>
  </si>
  <si>
    <t>82</t>
  </si>
  <si>
    <t>Peterson &amp; Vieglais (68)</t>
  </si>
  <si>
    <t>68</t>
  </si>
  <si>
    <t>Anciães &amp; Peterson (98)</t>
  </si>
  <si>
    <t>98</t>
  </si>
  <si>
    <t>Halloy &amp; Mark (77)</t>
  </si>
  <si>
    <t>New Zealand</t>
  </si>
  <si>
    <t>77</t>
  </si>
  <si>
    <t>Iverson &amp; Prasad (63)</t>
  </si>
  <si>
    <t>63</t>
  </si>
  <si>
    <t>Schwartz et al. (107)</t>
  </si>
  <si>
    <t>Birds, Plants</t>
  </si>
  <si>
    <t>107</t>
  </si>
  <si>
    <t>Settele et al. (134)</t>
  </si>
  <si>
    <t>134</t>
  </si>
  <si>
    <t>van Vuuren et al. (111)</t>
  </si>
  <si>
    <t>111</t>
  </si>
  <si>
    <t>Author</t>
  </si>
  <si>
    <t>Year.Pred</t>
  </si>
  <si>
    <t>Model.Type</t>
  </si>
  <si>
    <t>Disp.Mod</t>
  </si>
  <si>
    <t>Threshold</t>
  </si>
  <si>
    <t>N.Ext</t>
  </si>
  <si>
    <t>Total.N</t>
  </si>
  <si>
    <t>Percent</t>
  </si>
  <si>
    <t>Weight</t>
  </si>
  <si>
    <t>Logit</t>
  </si>
  <si>
    <t>Pre.Ind.Rise</t>
  </si>
  <si>
    <t>Temperature.Model.Scale</t>
  </si>
  <si>
    <t>McDonald</t>
  </si>
  <si>
    <t>NAmerica</t>
  </si>
  <si>
    <t>mammals</t>
  </si>
  <si>
    <t>None</t>
  </si>
  <si>
    <t>Global</t>
  </si>
  <si>
    <t>Murphy</t>
  </si>
  <si>
    <t>Inverts</t>
  </si>
  <si>
    <t>plants</t>
  </si>
  <si>
    <t>Brereton</t>
  </si>
  <si>
    <t>AustraliaNewZealand</t>
  </si>
  <si>
    <t>Universal</t>
  </si>
  <si>
    <t>birds</t>
  </si>
  <si>
    <t>reptiles</t>
  </si>
  <si>
    <t>amphibians</t>
  </si>
  <si>
    <t>Huntley</t>
  </si>
  <si>
    <t>Hughes</t>
  </si>
  <si>
    <t>Eaton</t>
  </si>
  <si>
    <t>fish</t>
  </si>
  <si>
    <t>Mechanistic</t>
  </si>
  <si>
    <t>Johnston</t>
  </si>
  <si>
    <t>US</t>
  </si>
  <si>
    <t>Saetersdal</t>
  </si>
  <si>
    <t>Iverson</t>
  </si>
  <si>
    <t>Box</t>
  </si>
  <si>
    <t>Guisan</t>
  </si>
  <si>
    <t>Zockler</t>
  </si>
  <si>
    <t>Peterson</t>
  </si>
  <si>
    <t>Contiguous</t>
  </si>
  <si>
    <t>Roy</t>
  </si>
  <si>
    <t>UK</t>
  </si>
  <si>
    <t>birdsmammalsbutterflies</t>
  </si>
  <si>
    <t>Beaumont</t>
  </si>
  <si>
    <t>Midgley</t>
  </si>
  <si>
    <t>Erasmus</t>
  </si>
  <si>
    <t>animals</t>
  </si>
  <si>
    <t>Hill</t>
  </si>
  <si>
    <t>Williams</t>
  </si>
  <si>
    <t>vertebrates</t>
  </si>
  <si>
    <t>Siqueira</t>
  </si>
  <si>
    <t>SAmerica</t>
  </si>
  <si>
    <t>Dirnbock</t>
  </si>
  <si>
    <t>Austria</t>
  </si>
  <si>
    <t>Berry</t>
  </si>
  <si>
    <t>Harrison</t>
  </si>
  <si>
    <t>Mohseni</t>
  </si>
  <si>
    <t>Halloy</t>
  </si>
  <si>
    <t>NewZealand</t>
  </si>
  <si>
    <t>Thomas</t>
  </si>
  <si>
    <t xml:space="preserve">birds </t>
  </si>
  <si>
    <t>Meynecke</t>
  </si>
  <si>
    <t>Araujo</t>
  </si>
  <si>
    <t>Skov</t>
  </si>
  <si>
    <t>SpSpecific</t>
  </si>
  <si>
    <t>Simmons</t>
  </si>
  <si>
    <t>Miles</t>
  </si>
  <si>
    <t>Peck</t>
  </si>
  <si>
    <t>Ocean</t>
  </si>
  <si>
    <t>Thuiller</t>
  </si>
  <si>
    <t>Bomhard</t>
  </si>
  <si>
    <t>Shoo</t>
  </si>
  <si>
    <t>McClean</t>
  </si>
  <si>
    <t>ParraOlea</t>
  </si>
  <si>
    <t>Kueppers</t>
  </si>
  <si>
    <t>Chu</t>
  </si>
  <si>
    <t>Malcolm</t>
  </si>
  <si>
    <t>Anciaes</t>
  </si>
  <si>
    <t>Bakkenes</t>
  </si>
  <si>
    <t>vanVuuren</t>
  </si>
  <si>
    <t>Intermediate</t>
  </si>
  <si>
    <t>Ohlemuller</t>
  </si>
  <si>
    <t>Svenning</t>
  </si>
  <si>
    <t>delBarrio</t>
  </si>
  <si>
    <t>Lawler</t>
  </si>
  <si>
    <t>Whemisphere</t>
  </si>
  <si>
    <t>Preston</t>
  </si>
  <si>
    <t>Schwartz</t>
  </si>
  <si>
    <t>Levinsky</t>
  </si>
  <si>
    <t>Jetz</t>
  </si>
  <si>
    <t>Carroll</t>
  </si>
  <si>
    <t xml:space="preserve">Normand </t>
  </si>
  <si>
    <t>Gomez</t>
  </si>
  <si>
    <t>Colwell</t>
  </si>
  <si>
    <t>Sekercioglu</t>
  </si>
  <si>
    <t>Morin</t>
  </si>
  <si>
    <t>Fitzpatrick</t>
  </si>
  <si>
    <t>Raxworthy</t>
  </si>
  <si>
    <t>Settele</t>
  </si>
  <si>
    <t>Trivedi</t>
  </si>
  <si>
    <t>Pompe</t>
  </si>
  <si>
    <t>Ritchie</t>
  </si>
  <si>
    <t>Luoto</t>
  </si>
  <si>
    <t>Jarvis</t>
  </si>
  <si>
    <t>Loarie</t>
  </si>
  <si>
    <t>Buckley</t>
  </si>
  <si>
    <t>Garzon</t>
  </si>
  <si>
    <t>Laidre</t>
  </si>
  <si>
    <t>Expert</t>
  </si>
  <si>
    <t>Schweiger</t>
  </si>
  <si>
    <t>butterflyplant</t>
  </si>
  <si>
    <t>Virkkala</t>
  </si>
  <si>
    <t>Engler</t>
  </si>
  <si>
    <t>Randin</t>
  </si>
  <si>
    <t>Hering</t>
  </si>
  <si>
    <t>Anderson</t>
  </si>
  <si>
    <t>Rebelo</t>
  </si>
  <si>
    <t>Sinervo</t>
  </si>
  <si>
    <t>Yates</t>
  </si>
  <si>
    <t>Heikkinen</t>
  </si>
  <si>
    <t>Li</t>
  </si>
  <si>
    <t>Lasram</t>
  </si>
  <si>
    <t>Sheldon</t>
  </si>
  <si>
    <t>Balint</t>
  </si>
  <si>
    <t>Evangelista</t>
  </si>
  <si>
    <t>Sauer</t>
  </si>
  <si>
    <t>Domisch</t>
  </si>
  <si>
    <t>Wenger</t>
  </si>
  <si>
    <t>Bond</t>
  </si>
  <si>
    <t>Early</t>
  </si>
  <si>
    <t>Ihlow</t>
  </si>
  <si>
    <t>Schloss</t>
  </si>
  <si>
    <t>Dullinger</t>
  </si>
  <si>
    <t>Hof</t>
  </si>
  <si>
    <t>Romo</t>
  </si>
  <si>
    <t>Fordham</t>
  </si>
  <si>
    <t>Renwick</t>
  </si>
  <si>
    <t>Gardali</t>
  </si>
  <si>
    <t>Sanchez</t>
  </si>
  <si>
    <t>Martinez</t>
  </si>
  <si>
    <t>Moyle</t>
  </si>
  <si>
    <t>Gallardo</t>
  </si>
  <si>
    <t>SarmentoCabral</t>
  </si>
  <si>
    <t>Albouy</t>
  </si>
  <si>
    <t>Warren</t>
  </si>
  <si>
    <t>Foden</t>
  </si>
  <si>
    <t>Bambach</t>
  </si>
  <si>
    <t>Khanum</t>
  </si>
  <si>
    <t>Jones</t>
  </si>
  <si>
    <t>Saupe</t>
  </si>
  <si>
    <t>DOI-2</t>
  </si>
  <si>
    <t>DOI</t>
  </si>
  <si>
    <t>DO</t>
  </si>
  <si>
    <t>DO String Search</t>
  </si>
  <si>
    <t>WOS Status</t>
  </si>
  <si>
    <t>http://dx.doi.org/10.1007/s00027-009-9159-5</t>
  </si>
  <si>
    <t>10.1007/s00027-009-9159-5</t>
  </si>
  <si>
    <t>"10.1007/s00027-009-9159-5" OR</t>
  </si>
  <si>
    <t>Yes</t>
  </si>
  <si>
    <t>http://dx.doi.org/10.1007/s00114-013-1088-4</t>
  </si>
  <si>
    <t>10.1007/s00114-013-1088-4</t>
  </si>
  <si>
    <t>"10.1007/s00114-013-1088-4" OR</t>
  </si>
  <si>
    <t>http://dx.doi.org/10.1007/s10113-012-0344-z</t>
  </si>
  <si>
    <t>10.1007/s10113-012-0344-z</t>
  </si>
  <si>
    <t>"10.1007/s10113-012-0344-z" OR</t>
  </si>
  <si>
    <t>http://dx.doi.org/10.1007/s10113-013-0425-7</t>
  </si>
  <si>
    <t>10.1007/s10113-013-0425-7</t>
  </si>
  <si>
    <t>"10.1007/s10113-013-0425-7" OR</t>
  </si>
  <si>
    <t>http://dx.doi.org/10.1007/s10531-005-1345-8</t>
  </si>
  <si>
    <t>10.1007/s10531-005-1345-8</t>
  </si>
  <si>
    <t>"10.1007/s10531-005-1345-8" OR</t>
  </si>
  <si>
    <t>http://dx.doi.org/10.1007/s10531-007-9152-z</t>
  </si>
  <si>
    <t>10.1007/s10531-007-9152-z</t>
  </si>
  <si>
    <t>"10.1007/s10531-007-9152-z" OR</t>
  </si>
  <si>
    <t>http://dx.doi.org/10.1007/s10531-007-9181-7</t>
  </si>
  <si>
    <t>10.1007/s10531-007-9181-7</t>
  </si>
  <si>
    <t>"10.1007/s10531-007-9181-7" OR</t>
  </si>
  <si>
    <t>http://dx.doi.org/10.1007/s10531-009-9728-x</t>
  </si>
  <si>
    <t>10.1007/s10531-009-9728-x</t>
  </si>
  <si>
    <t>"10.1007/s10531-009-9728-x" OR</t>
  </si>
  <si>
    <t>http://dx.doi.org/10.1007/s10531-011-0140-y</t>
  </si>
  <si>
    <t>10.1007/s10531-011-0140-y</t>
  </si>
  <si>
    <t>"10.1007/s10531-011-0140-y" OR</t>
  </si>
  <si>
    <t>http://dx.doi.org/10.1007/s10584-005-9014-1</t>
  </si>
  <si>
    <t>10.1007/s10584-005-9014-1</t>
  </si>
  <si>
    <t>"10.1007/s10584-005-9014-1" OR</t>
  </si>
  <si>
    <t>https://doi.org/10.1016/0006-3207(94)00016-J</t>
  </si>
  <si>
    <t>10.1016/0006-3207(94)00016-J</t>
  </si>
  <si>
    <t>"10.1016/0006-3207(94)00016-J" OR</t>
  </si>
  <si>
    <t>http://dx.doi.org/10.1016/j.actao.2013.02.007</t>
  </si>
  <si>
    <t>10.1016/j.actao.2013.02.007</t>
  </si>
  <si>
    <t>"10.1016/j.actao.2013.02.007" OR</t>
  </si>
  <si>
    <t>http://dx.doi.org/10.1016/j.agee.2008.01.013</t>
  </si>
  <si>
    <t>10.1016/j.agee.2008.01.013</t>
  </si>
  <si>
    <t>"10.1016/j.agee.2008.01.013" OR</t>
  </si>
  <si>
    <t>https://doi.org/10.1016/j.biocon.2005.04.003</t>
  </si>
  <si>
    <t>10.1016/j.biocon.2005.04.003</t>
  </si>
  <si>
    <t>"10.1016/j.biocon.2005.04.003" OR</t>
  </si>
  <si>
    <t>https://doi.org/10.1016/j.biocon.2008.03.007</t>
  </si>
  <si>
    <t>10.1016/j.biocon.2008.03.007</t>
  </si>
  <si>
    <t>"10.1016/j.biocon.2008.03.007" OR</t>
  </si>
  <si>
    <t>https://doi.org/10.1016/j.biocon.2013.02.001</t>
  </si>
  <si>
    <t>10.1016/j.biocon.2013.02.001</t>
  </si>
  <si>
    <t>"10.1016/j.biocon.2013.02.001" OR</t>
  </si>
  <si>
    <t>http://dx.doi.org/10.1016/j.ecolmodel.2003.07.012</t>
  </si>
  <si>
    <t>10.1016/j.ecolmodel.2003.07.012</t>
  </si>
  <si>
    <t>"10.1016/j.ecolmodel.2003.07.012" OR</t>
  </si>
  <si>
    <t>http://dx.doi.org/10.1016/j.ecolmodel.2005.01.030</t>
  </si>
  <si>
    <t>10.1016/j.ecolmodel.2005.01.030</t>
  </si>
  <si>
    <t>"10.1016/j.ecolmodel.2005.01.030" OR</t>
  </si>
  <si>
    <t>http://dx.doi.org/10.1016/j.envsci.2005.11.003</t>
  </si>
  <si>
    <t>10.1016/j.envsci.2005.11.003</t>
  </si>
  <si>
    <t>"10.1016/j.envsci.2005.11.003" OR</t>
  </si>
  <si>
    <t>http://dx.doi.org/10.1016/j.envsci.2005.11.005</t>
  </si>
  <si>
    <t>10.1016/j.envsci.2005.11.005</t>
  </si>
  <si>
    <t>"10.1016/j.envsci.2005.11.005" OR</t>
  </si>
  <si>
    <t>http://dx.doi.org/10.1016/j.foreco.2007.07.023</t>
  </si>
  <si>
    <t>10.1016/j.foreco.2007.07.023</t>
  </si>
  <si>
    <t>"10.1016/j.foreco.2007.07.023" OR</t>
  </si>
  <si>
    <t>http://dx.doi.org/10.1016/j.foreco.2011.03.036</t>
  </si>
  <si>
    <t>10.1016/j.foreco.2011.03.036</t>
  </si>
  <si>
    <t>"10.1016/j.foreco.2011.03.036" OR</t>
  </si>
  <si>
    <t>http://dx.doi.org/10.1016/j.gloenvcha.2005.11.001</t>
  </si>
  <si>
    <t>10.1016/j.gloenvcha.2005.11.001</t>
  </si>
  <si>
    <t>"10.1016/j.gloenvcha.2005.11.001" OR</t>
  </si>
  <si>
    <t>http://dx.doi.org/10.1016/j.jnc.2006.09.001</t>
  </si>
  <si>
    <t>10.1016/j.jnc.2006.09.001</t>
  </si>
  <si>
    <t>"10.1016/j.jnc.2006.09.001" OR</t>
  </si>
  <si>
    <t>https://doi.org/10.1016/S0006-3207(02)00414-7</t>
  </si>
  <si>
    <t>10.1016/S0006-3207(02)00414-7</t>
  </si>
  <si>
    <t>"10.1016/S0006-3207(02)00414-7" OR</t>
  </si>
  <si>
    <t>http://dx.doi.org/10.1023/A:1005483507351</t>
  </si>
  <si>
    <t>10.1023/A:1005483507351</t>
  </si>
  <si>
    <t>"10.1023/A:1005483507351" OR</t>
  </si>
  <si>
    <t>http://dx.doi.org/10.1023/A:1024847723344</t>
  </si>
  <si>
    <t>10.1023/A:1024847723344</t>
  </si>
  <si>
    <t>"10.1023/A:1024847723344" OR</t>
  </si>
  <si>
    <t>http://dx.doi.org/10.1038/416626a</t>
  </si>
  <si>
    <t>10.1038/416626a</t>
  </si>
  <si>
    <t>"10.1038/416626a" OR</t>
  </si>
  <si>
    <t>http://dx.doi.org/10.1038/nature02121</t>
  </si>
  <si>
    <t>10.1038/nature02121</t>
  </si>
  <si>
    <t>"10.1038/nature02121" OR</t>
  </si>
  <si>
    <t>http://dx.doi.org/10.1038/nclimate1191</t>
  </si>
  <si>
    <t>10.1038/nclimate1191</t>
  </si>
  <si>
    <t>"10.1038/nclimate1191" OR</t>
  </si>
  <si>
    <t>http://dx.doi.org/10.1038/nclimate1514</t>
  </si>
  <si>
    <t>10.1038/nclimate1514</t>
  </si>
  <si>
    <t>"10.1038/nclimate1514" OR</t>
  </si>
  <si>
    <t>http://dx.doi.org/10.1038/nclimate1887</t>
  </si>
  <si>
    <t>10.1038/nclimate1887</t>
  </si>
  <si>
    <t>"10.1038/nclimate1887" OR</t>
  </si>
  <si>
    <t>http://dx.doi.org/10.1046/j.1365-2486.1997.00093.x</t>
  </si>
  <si>
    <t>10.1046/j.1365-2486.1997.00093.x</t>
  </si>
  <si>
    <t>"10.1046/j.1365-2486.1997.00093.x" OR</t>
  </si>
  <si>
    <t>http://dx.doi.org/10.1046/j.1365-2486.2002.00490.x</t>
  </si>
  <si>
    <t>10.1046/j.1365-2486.2002.00490.x</t>
  </si>
  <si>
    <t>"10.1046/j.1365-2486.2002.00490.x" OR</t>
  </si>
  <si>
    <t>http://dx.doi.org/10.1046/j.1365-2486.2002.00502.x</t>
  </si>
  <si>
    <t>10.1046/j.1365-2486.2002.00502.x</t>
  </si>
  <si>
    <t>"10.1046/j.1365-2486.2002.00502.x" OR</t>
  </si>
  <si>
    <t>http://dx.doi.org/10.1046/j.1365-2486.2003.00616.x</t>
  </si>
  <si>
    <t>10.1046/j.1365-2486.2003.00616.x</t>
  </si>
  <si>
    <t>"10.1046/j.1365-2486.2003.00616.x" OR</t>
  </si>
  <si>
    <t>http://dx.doi.org/10.1046/j.1365-2656.2001.00480.x</t>
  </si>
  <si>
    <t>10.1046/j.1365-2656.2001.00480.x</t>
  </si>
  <si>
    <t>"10.1046/j.1365-2656.2001.00480.x" OR</t>
  </si>
  <si>
    <t>http://dx.doi.org/10.1046/j.1365-2699.1998.251192.x</t>
  </si>
  <si>
    <t>10.1046/j.1365-2699.1998.251192.x</t>
  </si>
  <si>
    <t>"10.1046/j.1365-2699.1998.251192.x" OR</t>
  </si>
  <si>
    <t>http://dx.doi.org/10.1046/j.1365-2699.2003.00839.x</t>
  </si>
  <si>
    <t>10.1046/j.1365-2699.2003.00839.x</t>
  </si>
  <si>
    <t>"10.1046/j.1365-2699.2003.00839.x" OR</t>
  </si>
  <si>
    <t>http://dx.doi.org/10.1046/j.1466-822X.2002.00307.x</t>
  </si>
  <si>
    <t>10.1046/j.1466-822X.2002.00307.x</t>
  </si>
  <si>
    <t>"10.1046/j.1466-822X.2002.00307.x" OR</t>
  </si>
  <si>
    <t>http://dx.doi.org/10.1046/j.1523-1739.1992.06030409.x</t>
  </si>
  <si>
    <t>10.1046/j.1523-1739.1992.06030409.x</t>
  </si>
  <si>
    <t>"10.1046/j.1523-1739.1992.06030409.x" OR</t>
  </si>
  <si>
    <t>http://dx.doi.org/10.1071/MF10286</t>
  </si>
  <si>
    <t>10.1071/MF10286</t>
  </si>
  <si>
    <t>"10.1071/MF10286" OR</t>
  </si>
  <si>
    <t>http://dx.doi.org/10.1073/pnas.0409902102</t>
  </si>
  <si>
    <t>10.1073/pnas.0409902102</t>
  </si>
  <si>
    <t>"10.1073/pnas.0409902102" OR</t>
  </si>
  <si>
    <t>http://dx.doi.org/10.1073/pnas.0501427102</t>
  </si>
  <si>
    <t>10.1073/pnas.0501427102</t>
  </si>
  <si>
    <t>"10.1073/pnas.0501427102" OR</t>
  </si>
  <si>
    <t>https://doi.org/10.1073/pnas.1103097108</t>
  </si>
  <si>
    <t>10.1073/pnas.1103097108</t>
  </si>
  <si>
    <t>"10.1073/pnas.1103097108" OR</t>
  </si>
  <si>
    <t>http://dx.doi.org/10.1073/pnas.1116791109</t>
  </si>
  <si>
    <t>10.1073/pnas.1116791109</t>
  </si>
  <si>
    <t>"10.1073/pnas.1116791109" OR</t>
  </si>
  <si>
    <t>http://dx.doi.org/10.1086/523949</t>
  </si>
  <si>
    <t>10.1086/523949</t>
  </si>
  <si>
    <t>"10.1086/523949" OR</t>
  </si>
  <si>
    <t>http://dx.doi.org/10.1086/588171</t>
  </si>
  <si>
    <t>10.1086/588171</t>
  </si>
  <si>
    <t>"10.1086/588171" OR</t>
  </si>
  <si>
    <t>http://dx.doi.org/10.1098/rsbl.2008.0231</t>
  </si>
  <si>
    <t>10.1098/rsbl.2008.0231</t>
  </si>
  <si>
    <t>"10.1098/rsbl.2008.0231" OR</t>
  </si>
  <si>
    <t>http://dx.doi.org/10.1098/rspb.2002.2134</t>
  </si>
  <si>
    <t>10.1098/rspb.2002.2134</t>
  </si>
  <si>
    <t>"10.1098/rspb.2002.2134" OR</t>
  </si>
  <si>
    <t>http://dx.doi.org/10.1098/rspb.2003.2464</t>
  </si>
  <si>
    <t>10.1098/rspb.2003.2464</t>
  </si>
  <si>
    <t>"10.1098/rspb.2003.2464" OR</t>
  </si>
  <si>
    <t>http://dx.doi.org/10.1098/rspb.2008.1681</t>
  </si>
  <si>
    <t>10.1098/rspb.2008.1681</t>
  </si>
  <si>
    <t>"10.1098/rspb.2008.1681" OR</t>
  </si>
  <si>
    <t>http://dx.doi.org/10.1111/ddi.12011</t>
  </si>
  <si>
    <t>10.1111/ddi.12011</t>
  </si>
  <si>
    <t>"10.1111/ddi.12011" OR</t>
  </si>
  <si>
    <t>http://dx.doi.org/10.1111/gcb.12107</t>
  </si>
  <si>
    <t>10.1111/gcb.12107</t>
  </si>
  <si>
    <t>"10.1111/gcb.12107" OR</t>
  </si>
  <si>
    <t>http://dx.doi.org/10.1111/gcb.12289</t>
  </si>
  <si>
    <t>10.1111/gcb.12289</t>
  </si>
  <si>
    <t>"10.1111/gcb.12289" OR</t>
  </si>
  <si>
    <t>http://dx.doi.org/10.1111/j.0269-8463.2004.00903.x</t>
  </si>
  <si>
    <t>10.1111/j.0269-8463.2004.00903.x</t>
  </si>
  <si>
    <t>"10.1111/j.0269-8463.2004.00903.x" OR</t>
  </si>
  <si>
    <t>http://dx.doi.org/10.1111/j.0906-7590.2004.03823.x</t>
  </si>
  <si>
    <t>10.1111/j.0906-7590.2004.03823.x</t>
  </si>
  <si>
    <t>"10.1111/j.0906-7590.2004.03823.x" OR</t>
  </si>
  <si>
    <t>http://dx.doi.org/10.1111/j.1365-2427.2011.02631.x</t>
  </si>
  <si>
    <t>10.1111/j.1365-2427.2011.02631.x</t>
  </si>
  <si>
    <t>"10.1111/j.1365-2427.2011.02631.x" OR</t>
  </si>
  <si>
    <t>http://dx.doi.org/10.1111/j.1365-2486.2004.00828.x</t>
  </si>
  <si>
    <t>10.1111/j.1365-2486.2004.00828.x</t>
  </si>
  <si>
    <t>"10.1111/j.1365-2486.2004.00828.x" OR</t>
  </si>
  <si>
    <t>http://dx.doi.org/10.1111/j.1365-2486.2005.00997.x</t>
  </si>
  <si>
    <t>10.1111/j.1365-2486.2005.00997.x</t>
  </si>
  <si>
    <t>"10.1111/j.1365-2486.2005.00997.x" OR</t>
  </si>
  <si>
    <t>http://dx.doi.org/10.1111/j.1365-2486.2006.01115.x</t>
  </si>
  <si>
    <t>10.1111/j.1365-2486.2006.01115.x</t>
  </si>
  <si>
    <t>"10.1111/j.1365-2486.2006.01115.x" OR</t>
  </si>
  <si>
    <t>http://dx.doi.org/10.1111/j.1365-2486.2006.01191.x</t>
  </si>
  <si>
    <t>10.1111/j.1365-2486.2006.01191.x</t>
  </si>
  <si>
    <t>"10.1111/j.1365-2486.2006.01191.x" OR</t>
  </si>
  <si>
    <t>http://dx.doi.org/10.1111/j.1365-2486.2006.01231.x</t>
  </si>
  <si>
    <t>10.1111/j.1365-2486.2006.01231.x</t>
  </si>
  <si>
    <t>"10.1111/j.1365-2486.2006.01231.x" OR</t>
  </si>
  <si>
    <t>http://dx.doi.org/10.1111/j.1365-2486.2007.01357.x</t>
  </si>
  <si>
    <t>10.1111/j.1365-2486.2007.01357.x</t>
  </si>
  <si>
    <t>"10.1111/j.1365-2486.2007.01357.x" OR</t>
  </si>
  <si>
    <t>http://dx.doi.org/10.1111/j.1365-2486.2007.01527.x</t>
  </si>
  <si>
    <t>10.1111/j.1365-2486.2007.01527.x</t>
  </si>
  <si>
    <t>"10.1111/j.1365-2486.2007.01527.x" OR</t>
  </si>
  <si>
    <t>http://dx.doi.org/10.1111/j.1365-2486.2008.01553.x</t>
  </si>
  <si>
    <t>10.1111/j.1365-2486.2008.01553.x</t>
  </si>
  <si>
    <t>"10.1111/j.1365-2486.2008.01553.x" OR</t>
  </si>
  <si>
    <t>http://dx.doi.org/10.1111/j.1365-2486.2008.01559.x</t>
  </si>
  <si>
    <t>10.1111/j.1365-2486.2008.01559.x</t>
  </si>
  <si>
    <t>"10.1111/j.1365-2486.2008.01559.x" OR</t>
  </si>
  <si>
    <t>http://dx.doi.org/10.1111/j.1365-2486.2008.01596.x</t>
  </si>
  <si>
    <t>10.1111/j.1365-2486.2008.01596.x</t>
  </si>
  <si>
    <t>"10.1111/j.1365-2486.2008.01596.x" OR</t>
  </si>
  <si>
    <t>http://dx.doi.org/10.1111/j.1365-2486.2008.01766.x</t>
  </si>
  <si>
    <t>10.1111/j.1365-2486.2008.01766.x</t>
  </si>
  <si>
    <t>"10.1111/j.1365-2486.2008.01766.x" OR</t>
  </si>
  <si>
    <t>http://dx.doi.org/10.1111/j.1365-2486.2009.02021.x</t>
  </si>
  <si>
    <t>10.1111/j.1365-2486.2009.02021.x</t>
  </si>
  <si>
    <t>"10.1111/j.1365-2486.2009.02021.x" OR</t>
  </si>
  <si>
    <t>http://dx.doi.org/10.1111/j.1365-2486.2010.02224.x</t>
  </si>
  <si>
    <t>10.1111/j.1365-2486.2010.02224.x</t>
  </si>
  <si>
    <t>"10.1111/j.1365-2486.2010.02224.x" OR</t>
  </si>
  <si>
    <t>http://dx.doi.org/10.1111/j.1365-2486.2010.02393.x</t>
  </si>
  <si>
    <t>10.1111/j.1365-2486.2010.02393.x</t>
  </si>
  <si>
    <t>"10.1111/j.1365-2486.2010.02393.x" OR</t>
  </si>
  <si>
    <t>http://dx.doi.org/10.1111/j.1365-2486.2011.02614.x</t>
  </si>
  <si>
    <t>10.1111/j.1365-2486.2011.02614.x</t>
  </si>
  <si>
    <t>"10.1111/j.1365-2486.2011.02614.x" OR</t>
  </si>
  <si>
    <t>http://dx.doi.org/10.1111/j.1365-2486.2011.02623.x</t>
  </si>
  <si>
    <t>10.1111/j.1365-2486.2011.02623.x</t>
  </si>
  <si>
    <t>"10.1111/j.1365-2486.2011.02623.x" OR</t>
  </si>
  <si>
    <t>http://dx.doi.org/10.1111/j.1365-2486.2012.02641.x</t>
  </si>
  <si>
    <t>10.1111/j.1365-2486.2012.02641.x</t>
  </si>
  <si>
    <t>"10.1111/j.1365-2486.2012.02641.x" OR</t>
  </si>
  <si>
    <t>http://dx.doi.org/10.1111/j.1365-2745.2008.01369.x</t>
  </si>
  <si>
    <t>10.1111/j.1365-2745.2008.01369.x</t>
  </si>
  <si>
    <t>"10.1111/j.1365-2745.2008.01369.x" OR</t>
  </si>
  <si>
    <t>http://dx.doi.org/10.1111/j.1366-9516.2005.00153.x</t>
  </si>
  <si>
    <t>10.1111/j.1366-9516.2005.00153.x</t>
  </si>
  <si>
    <t>"10.1111/j.1366-9516.2005.00153.x" OR</t>
  </si>
  <si>
    <t>http://dx.doi.org/10.1111/j.1366-9516.2006.00216.x</t>
  </si>
  <si>
    <t>10.1111/j.1366-9516.2006.00216.x</t>
  </si>
  <si>
    <t>"10.1111/j.1366-9516.2006.00216.x" OR</t>
  </si>
  <si>
    <t>http://dx.doi.org/10.1111/j.1366-9516.2006.00273.x</t>
  </si>
  <si>
    <t>10.1111/j.1366-9516.2006.00273.x</t>
  </si>
  <si>
    <t>"10.1111/j.1366-9516.2006.00273.x" OR</t>
  </si>
  <si>
    <t>https://doi.org/10.1111/j.1461-0248.2010.01479.x</t>
  </si>
  <si>
    <t>10.1111/j.1461-0248.2010.01479.x</t>
  </si>
  <si>
    <t>"10.1111/j.1461-0248.2010.01479.x" OR</t>
  </si>
  <si>
    <t>http://dx.doi.org/10.1111/j.1461-0248.2011.01681.x</t>
  </si>
  <si>
    <t>10.1111/j.1461-0248.2011.01681.x</t>
  </si>
  <si>
    <t>"10.1111/j.1461-0248.2011.01681.x" OR</t>
  </si>
  <si>
    <t>http://dx.doi.org/10.1111/j.1461-0248.2011.01689.x</t>
  </si>
  <si>
    <t>10.1111/j.1461-0248.2011.01689.x</t>
  </si>
  <si>
    <t>"10.1111/j.1461-0248.2011.01689.x" OR</t>
  </si>
  <si>
    <t>http://dx.doi.org/10.1111/j.1466-822X.2004.00105.x</t>
  </si>
  <si>
    <t>10.1111/j.1466-822X.2004.00105.x</t>
  </si>
  <si>
    <t>"10.1111/j.1466-822X.2004.00105.x" OR</t>
  </si>
  <si>
    <t>http://dx.doi.org/10.1111/j.1466-8238.2010.00646.x</t>
  </si>
  <si>
    <t>10.1111/j.1466-8238.2010.00646.x</t>
  </si>
  <si>
    <t>"10.1111/j.1466-8238.2010.00646.x" OR</t>
  </si>
  <si>
    <t>http://dx.doi.org/10.1111/j.1472-4642.2009.00623.x</t>
  </si>
  <si>
    <t>10.1111/j.1472-4642.2009.00623.x</t>
  </si>
  <si>
    <t>"10.1111/j.1472-4642.2009.00623.x" OR</t>
  </si>
  <si>
    <t>http://dx.doi.org/10.1111/j.1472-4642.2011.00827.x</t>
  </si>
  <si>
    <t>10.1111/j.1472-4642.2011.00827.x</t>
  </si>
  <si>
    <t>"10.1111/j.1472-4642.2011.00827.x" OR</t>
  </si>
  <si>
    <t>http://dx.doi.org/10.1111/j.1474-919X.2006.00523.x</t>
  </si>
  <si>
    <t>10.1111/j.1474-919X.2006.00523.x</t>
  </si>
  <si>
    <t>"10.1111/j.1474-919X.2006.00523.x" OR</t>
  </si>
  <si>
    <t>http://dx.doi.org/10.1111/j.1523-1739.2006.00364.x</t>
  </si>
  <si>
    <t>10.1111/j.1523-1739.2006.00364.x</t>
  </si>
  <si>
    <t>"10.1111/j.1523-1739.2006.00364.x" OR</t>
  </si>
  <si>
    <t>http://dx.doi.org/10.1111/j.1523-1739.2007.00719.x</t>
  </si>
  <si>
    <t>10.1111/j.1523-1739.2007.00719.x</t>
  </si>
  <si>
    <t>"10.1111/j.1523-1739.2007.00719.x" OR</t>
  </si>
  <si>
    <t>http://dx.doi.org/10.1111/j.1523-1739.2007.00814.x</t>
  </si>
  <si>
    <t>10.1111/j.1523-1739.2007.00814.x</t>
  </si>
  <si>
    <t>"10.1111/j.1523-1739.2007.00814.x" OR</t>
  </si>
  <si>
    <t>http://dx.doi.org/10.1111/j.1523-1739.2007.00852.x</t>
  </si>
  <si>
    <t>10.1111/j.1523-1739.2007.00852.x</t>
  </si>
  <si>
    <t>"10.1111/j.1523-1739.2007.00852.x" OR</t>
  </si>
  <si>
    <t>http://dx.doi.org/10.1111/j.1600-0587.2009.05789.x</t>
  </si>
  <si>
    <t>10.1111/j.1600-0587.2009.05789.x</t>
  </si>
  <si>
    <t>"10.1111/j.1600-0587.2009.05789.x" OR</t>
  </si>
  <si>
    <t>http://dx.doi.org/10.1111/j.1744-7429.2005.00027.x</t>
  </si>
  <si>
    <t>10.1111/j.1744-7429.2005.00027.x</t>
  </si>
  <si>
    <t>"10.1111/j.1744-7429.2005.00027.x" OR</t>
  </si>
  <si>
    <t>http://dx.doi.org/10.1111/j.1749-4877.2010.00198.x</t>
  </si>
  <si>
    <t>10.1111/j.1749-4877.2010.00198.x</t>
  </si>
  <si>
    <t>"10.1111/j.1749-4877.2010.00198.x" OR</t>
  </si>
  <si>
    <t>http://dx.doi.org/10.1111/jbi.12013</t>
  </si>
  <si>
    <t>10.1111/jbi.12013</t>
  </si>
  <si>
    <t>"10.1111/jbi.12013" OR</t>
  </si>
  <si>
    <t>http://dx.doi.org/10.1111/jbi.12289</t>
  </si>
  <si>
    <t>10.1111/jbi.12289</t>
  </si>
  <si>
    <t>"10.1111/jbi.12289" OR</t>
  </si>
  <si>
    <t>http://dx.doi.org/10.1126/science.1162547</t>
  </si>
  <si>
    <t>10.1126/science.1162547</t>
  </si>
  <si>
    <t>"10.1126/science.1162547" OR</t>
  </si>
  <si>
    <t>http://dx.doi.org/10.1126/science.1184695</t>
  </si>
  <si>
    <t>10.1126/science.1184695</t>
  </si>
  <si>
    <t>"10.1126/science.1184695" OR</t>
  </si>
  <si>
    <t>http://dx.doi.org/10.1139/z04-064</t>
  </si>
  <si>
    <t>10.1139/z04-064</t>
  </si>
  <si>
    <t>"10.1139/z04-064" OR</t>
  </si>
  <si>
    <t>http://dx.doi.org/10.1371/journal.pbio.0050157</t>
  </si>
  <si>
    <t>10.1371/journal.pbio.0050157</t>
  </si>
  <si>
    <t>"10.1371/journal.pbio.0050157" OR</t>
  </si>
  <si>
    <t>http://dx.doi.org/10.1371/journal.pone.0001439</t>
  </si>
  <si>
    <t>10.1371/journal.pone.0001439</t>
  </si>
  <si>
    <t>"10.1371/journal.pone.0001439" OR</t>
  </si>
  <si>
    <t>http://dx.doi.org/10.1371/journal.pone.0002502</t>
  </si>
  <si>
    <t>10.1371/journal.pone.0002502</t>
  </si>
  <si>
    <t>"10.1371/journal.pone.0002502" OR</t>
  </si>
  <si>
    <t>http://dx.doi.org/10.1371/journal.pone.0029507</t>
  </si>
  <si>
    <t>10.1371/journal.pone.0029507</t>
  </si>
  <si>
    <t>"10.1371/journal.pone.0029507" OR</t>
  </si>
  <si>
    <t>http://dx.doi.org/10.1371/journal.pone.0052574</t>
  </si>
  <si>
    <t>10.1371/journal.pone.0052574</t>
  </si>
  <si>
    <t>"10.1371/journal.pone.0052574" OR</t>
  </si>
  <si>
    <t>http://dx.doi.org/10.1371/journal.pone.0054216</t>
  </si>
  <si>
    <t>10.1371/journal.pone.0054216</t>
  </si>
  <si>
    <t>"10.1371/journal.pone.0054216" OR</t>
  </si>
  <si>
    <t>http://dx.doi.org/10.1371/journal.pone.0063883</t>
  </si>
  <si>
    <t>10.1371/journal.pone.0063883</t>
  </si>
  <si>
    <t>"10.1371/journal.pone.0063883" OR</t>
  </si>
  <si>
    <t>http://dx.doi.org/10.1371/journal.pone.0065427</t>
  </si>
  <si>
    <t>10.1371/journal.pone.0065427</t>
  </si>
  <si>
    <t>"10.1371/journal.pone.0065427" OR</t>
  </si>
  <si>
    <t>http://dx.doi.org/10.1371/journal.pone.0080531</t>
  </si>
  <si>
    <t>10.1371/journal.pone.0080531</t>
  </si>
  <si>
    <t>"10.1371/journal.pone.0080531" OR</t>
  </si>
  <si>
    <t>http://dx.doi.org/10.1890/06-0546.1</t>
  </si>
  <si>
    <t>10.1890/06-0546.1</t>
  </si>
  <si>
    <t>"10.1890/06-0546.1" OR</t>
  </si>
  <si>
    <t>http://dx.doi.org/10.1890/07-1748.1</t>
  </si>
  <si>
    <t>10.1890/07-1748.1</t>
  </si>
  <si>
    <t>"10.1890/07-1748.1" OR</t>
  </si>
  <si>
    <t>http://dx.doi.org/10.1890/08-0134.1</t>
  </si>
  <si>
    <t>10.1890/08-0134.1</t>
  </si>
  <si>
    <t>"10.1890/08-0134.1" OR</t>
  </si>
  <si>
    <t>http://dx.doi.org/10.2307/2845830</t>
  </si>
  <si>
    <t>10.2307/2845830</t>
  </si>
  <si>
    <t>"10.2307/2845830" OR</t>
  </si>
  <si>
    <t>http://dx.doi.org/10.2307/2997467</t>
  </si>
  <si>
    <t>10.2307/2997467</t>
  </si>
  <si>
    <t>"10.2307/2997467" OR</t>
  </si>
  <si>
    <t>http://dx.doi.org/10.2989/00306520409485458</t>
  </si>
  <si>
    <t>10.2989/00306520409485458</t>
  </si>
  <si>
    <t>"10.2989/00306520409485458" OR</t>
  </si>
  <si>
    <t>http://dx.doi.org/10.3170/2008-7-18348</t>
  </si>
  <si>
    <t>10.3170/2008-7-18348</t>
  </si>
  <si>
    <t>"10.3170/2008-7-18348" OR</t>
  </si>
  <si>
    <t>http://dx.doi.org/10.4319/lo.1996.41.5.1109</t>
  </si>
  <si>
    <t>10.4319/lo.1996.41.5.1109</t>
  </si>
  <si>
    <t>"10.4319/lo.1996.41.5.1109" OR</t>
  </si>
  <si>
    <t>UNK</t>
  </si>
  <si>
    <t>http://dx.doi.org/10.1078/1617-1381-00030</t>
  </si>
  <si>
    <t>10.1078/1617-1381-00030</t>
  </si>
  <si>
    <t>"10.1078/1617-1381-00030" OR</t>
  </si>
  <si>
    <t>No</t>
  </si>
  <si>
    <t>http://dx.doi.org/10.1078/1617-1381-00036</t>
  </si>
  <si>
    <t>10.1078/1617-1381-00036</t>
  </si>
  <si>
    <t>"10.1078/1617-1381-00036" OR</t>
  </si>
  <si>
    <t>http://dx.doi.org/10.1127/phyto/30/2000/353</t>
  </si>
  <si>
    <t>10.1127/phyto/30/2000/353</t>
  </si>
  <si>
    <t>"10.1127/phyto/30/2000/353" OR</t>
  </si>
  <si>
    <t>http://dx.doi.org/10.1590/S1676-06032003000200005</t>
  </si>
  <si>
    <t>10.1590/S1676-06032003000200005</t>
  </si>
  <si>
    <t>"10.1590/S1676-06032003000200005" OR</t>
  </si>
  <si>
    <t>http://dx.doi.org/10.1641/0006-3568(2001)051%5b0363:PSIUEN%5d2.0.CO;2</t>
  </si>
  <si>
    <t>10.1641/0006-3568(2001)051%5b0363:PSIUEN%5d2.0.CO;2</t>
  </si>
  <si>
    <t>"10.1641/0006-3568(2001)051%5b0363:PSIUEN%5d2.0.CO;2" OR</t>
  </si>
  <si>
    <t>http://dx.doi.org/10.1650/0010-5422(2006)108%5b778:CCEONM%5d2.0.CO;2</t>
  </si>
  <si>
    <t>10.1650/0010-5422(2006)108%5b778:CCEONM%5d2.0.CO;2</t>
  </si>
  <si>
    <t>"10.1650/0010-5422(2006)108%5b778:CCEONM%5d2.0.CO;2" OR</t>
  </si>
  <si>
    <t>http://dx.doi.org/10.1657/1523-0430(2003)035%5b0248:CEOAPB%5d2.0.CO;2</t>
  </si>
  <si>
    <t>10.1657/1523-0430(2003)035%5b0248:CEOAPB%5d2.0.CO;2</t>
  </si>
  <si>
    <t>"10.1657/1523-0430(2003)035%5b0248:CEOAPB%5d2.0.CO;2" OR</t>
  </si>
  <si>
    <t>http://dx.doi.org/10.1890/0012-9615(1998)068%5b0465:PAOTSF%5d2.0.CO;2</t>
  </si>
  <si>
    <t>10.1890/0012-9615(1998)068%5b0465:PAOTSF%5d2.0.CO;2</t>
  </si>
  <si>
    <t>"10.1890/0012-9615(1998)068%5b0465:PAOTSF%5d2.0.CO;2" OR</t>
  </si>
  <si>
    <t>http://dx.doi.org/10.1890/0012-9658(2006)87%5b1611:PEAARO%5d2.0.CO;2</t>
  </si>
  <si>
    <t>10.1890/0012-9658(2006)87%5b1611:PEAARO%5d2.0.CO;2</t>
  </si>
  <si>
    <t>"10.1890/0012-9658(2006)87%5b1611:PEAARO%5d2.0.CO;2" OR</t>
  </si>
  <si>
    <t>http://dx.doi.org/10.3897/biorisk.1</t>
  </si>
  <si>
    <t>10.3897/biorisk.1</t>
  </si>
  <si>
    <t>"10.3897/biorisk.1" OR</t>
  </si>
  <si>
    <t>https://doi.org/10.5751/ES-01818-110225</t>
  </si>
  <si>
    <t>10.5751/ES-01818-110225</t>
  </si>
  <si>
    <t>"10.5751/ES-01818-110225" OR</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</si>
  <si>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</si>
  <si>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</si>
  <si>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</si>
  <si>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</si>
  <si>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</si>
  <si>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</si>
  <si>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</si>
  <si>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</si>
  <si>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</si>
  <si>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</si>
  <si>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</si>
  <si>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</si>
  <si>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</si>
  <si>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</si>
  <si>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</si>
  <si>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</si>
  <si>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</si>
  <si>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</si>
  <si>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</si>
  <si>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</si>
  <si>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</si>
  <si>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</si>
  <si>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</si>
  <si>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</si>
  <si>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</si>
  <si>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</si>
  <si>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</si>
  <si>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</si>
  <si>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</si>
  <si>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</si>
  <si>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</si>
  <si>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</si>
  <si>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</si>
  <si>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</si>
  <si>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</si>
  <si>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</si>
  <si>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</si>
  <si>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</si>
  <si>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</si>
  <si>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</si>
  <si>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</si>
  <si>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</si>
  <si>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</si>
  <si>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</si>
  <si>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</si>
  <si>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</si>
  <si>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</si>
  <si>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</si>
  <si>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</si>
  <si>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</si>
  <si>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</si>
  <si>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</si>
  <si>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</si>
  <si>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</si>
  <si>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</si>
  <si>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</si>
  <si>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</si>
  <si>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</si>
  <si>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</si>
  <si>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</si>
  <si>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</si>
  <si>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</si>
  <si>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</si>
  <si>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</si>
  <si>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</si>
  <si>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</si>
  <si>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</si>
  <si>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</si>
  <si>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</si>
  <si>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region</t>
  </si>
  <si>
    <t>sub-region</t>
  </si>
  <si>
    <t>country</t>
  </si>
  <si>
    <t>kingdom</t>
  </si>
  <si>
    <t>phylum</t>
  </si>
  <si>
    <t>class</t>
  </si>
  <si>
    <t>Web of Science Record</t>
  </si>
  <si>
    <t>J</t>
  </si>
  <si>
    <t>Johnston, KM; Schmitz, OJ</t>
  </si>
  <si>
    <t/>
  </si>
  <si>
    <t>Wildlife and climate change:: Assessing the sensitivity of selected species to simulated doubling of atmospheric CO2</t>
  </si>
  <si>
    <t>GLOBAL CHANGE BIOLOGY</t>
  </si>
  <si>
    <t>English</t>
  </si>
  <si>
    <t>Article</t>
  </si>
  <si>
    <t>chipmunk; climate change; elk; ground squirrel; habitat association; species distributions; white-tailed deer</t>
  </si>
  <si>
    <t>WHITE-TAILED DEER; SCALE; CONSTRAINTS; VEGETATION; ECOLOGY; MODELS</t>
  </si>
  <si>
    <t>We explored, using computer simulations, the sensitivity of four mammal species (elk, Cervus canadensis; white-tailed deer, Odocoileus virginianus; Columbian ground squirrel, Spermophilus columbianus; and chipmunk, Tamias striatus) within the continental USA to the effect of anticipated levels of global climate change brought about by a doubling of atmospheric CO2. Sensitivity to the direct effects of climate change were evaluated using a climate-space approach to delineate the range of thermal conditions tolerable by each species. Sensitivity to indirect effects were evaluated by quantifying the association of each species to the current vegetation distribution within the continental USA and using this association to assess whether wildlife species distributions might shift in response to vegetation shifts under climate change. Results indicate that altered thermal conditions alone should have little or no effect on the wildlife species' distributions as physiological tolerance to heat load would allow them to survive. Analyses of the effects of vegetation change indicate that deer and chipmunks should retain their current distributions and possibly expand westward in the USA. For Elk and ground squirrels, there is a possibility that their current distributions would shrink and there is little possibility that each species would spread to new regions. This work emphasizes that the distributions of the four mammalian species are likely to be influenced more by vegetation changes than by thermal conditions. Future efforts to understand the effects of global change on wildlife species should focus on animal-habitat and climate-vegetation linkages.</t>
  </si>
  <si>
    <t>Yale Univ, Sch Forestry &amp; Environm Studies, New Haven, CT 06511 USA; Ctr Computat Ecol, New Haven, CT 06511 USA</t>
  </si>
  <si>
    <t>Yale University</t>
  </si>
  <si>
    <t>Schmitz, OJ (corresponding author), Yale Univ, Sch Forestry &amp; Environm Studies, 370 Prospect St, New Haven, CT 06511 USA.</t>
  </si>
  <si>
    <t>BLACKWELL SCIENCE LTD</t>
  </si>
  <si>
    <t>OXFORD</t>
  </si>
  <si>
    <t>P O BOX 88, OSNEY MEAD, OXFORD OX2 0NE, OXON, ENGLAND</t>
  </si>
  <si>
    <t>1354-1013</t>
  </si>
  <si>
    <t>GLOB CHANGE BIOL</t>
  </si>
  <si>
    <t>Glob. Change Biol.</t>
  </si>
  <si>
    <t>DEC</t>
  </si>
  <si>
    <t>Biodiversity Conservation; Ecology; Environmental Sciences</t>
  </si>
  <si>
    <t>Science Citation Index Expanded (SCI-EXPANDED)</t>
  </si>
  <si>
    <t>Biodiversity &amp; Conservation; Environmental Sciences &amp; Ecology</t>
  </si>
  <si>
    <t>YN906</t>
  </si>
  <si>
    <t>2025-12-26</t>
  </si>
  <si>
    <t>WOS:000071220600007</t>
  </si>
  <si>
    <t>["Americas"]</t>
  </si>
  <si>
    <t>["North America"]</t>
  </si>
  <si>
    <t>["Animalia"]</t>
  </si>
  <si>
    <t>["Chordata"]</t>
  </si>
  <si>
    <t>["Mammalia"]</t>
  </si>
  <si>
    <t>Saetersdal, M; Birks, HJB; Peglar, SM</t>
  </si>
  <si>
    <t>Predicting changes in Fennoscandian vascular-plant species richness as a result of future climatic change</t>
  </si>
  <si>
    <t>JOURNAL OF BIOGEOGRAPHY</t>
  </si>
  <si>
    <t>climate change; Fennoscandia; greenhouse effect; species richness; vascular plants</t>
  </si>
  <si>
    <t>RESPONSE SURFACES; NUMERICAL-ANALYSIS; FALLOPIA-JAPONICA; RESERVE SELECTION; WESTERN NORWAY; DIVERSITY; PATTERNS; NORTH; FORESTS; SCALE</t>
  </si>
  <si>
    <t>It's is anticipated that future climatic warming following the currently enhanced greenhouse effect will change the distribution limits of many vascular plant species. Using annual accumulated respiration equivalents. calculated from January and July mean temperatures and total annual precipitation. simple presence-absence response surface plots are constructed for 1521 native vascular-plant species in 229 75 x 75-km grid squares within Fennoscandia. The contemporary occurrences in relation to present-day climate and to predicted changes in climate land hence annual accumulated respiration equivalents) are used to predict possible Future immigrations and extinctions within each grid square. The percentage of potential change in species richness for each grid square is estimated from these predictions. Results from this study suggest a mean increase in species richness per grid square of 26%. Increases in species richness are greatest in the southern parts of the alpine/boreal regions in Fennoscandia. There are ten species that potentially may become extinct in Fennoscandia as a result of predicted climatic warming. Possible conservation strategies to protect such endangered species are outlined.</t>
  </si>
  <si>
    <t>Univ Bergen, Inst Bot, N-5007 Bergen, Norway; UCL, Environm Change Res Ctr, London WC1H 0AP, England</t>
  </si>
  <si>
    <t>University of Bergen; University of London; University College London</t>
  </si>
  <si>
    <t>Saetersdal, M (corresponding author), Norwegian Forest Res Inst, Fanaflaten 4, N-5047 Fana, Norway.</t>
  </si>
  <si>
    <t>magne.setersdal@nisk.no</t>
  </si>
  <si>
    <t>Birks, H John B/C-3103-2008</t>
  </si>
  <si>
    <t>Birks, H John B/0000-0002-5891-9859</t>
  </si>
  <si>
    <t>WILEY-BLACKWELL</t>
  </si>
  <si>
    <t>MALDEN</t>
  </si>
  <si>
    <t>COMMERCE PLACE, 350 MAIN ST, MALDEN 02148, MA USA</t>
  </si>
  <si>
    <t>0305-0270</t>
  </si>
  <si>
    <t>J BIOGEOGR</t>
  </si>
  <si>
    <t>J. Biogeogr.</t>
  </si>
  <si>
    <t>JAN</t>
  </si>
  <si>
    <t>Ecology; Geography, Physical</t>
  </si>
  <si>
    <t>Environmental Sciences &amp; Ecology; Physical Geography</t>
  </si>
  <si>
    <t>ZK939</t>
  </si>
  <si>
    <t>WOS:000073382800011</t>
  </si>
  <si>
    <t>["Europe and Central Asia"]</t>
  </si>
  <si>
    <t>["Plantae"]</t>
  </si>
  <si>
    <t>Box, EO; Crumpacker, DW; Hardin, ED</t>
  </si>
  <si>
    <t>Predicted effects climatic change on distribution of ecologically important native tree and shrub species in Florida</t>
  </si>
  <si>
    <t>CLIMATIC CHANGE</t>
  </si>
  <si>
    <t>EASTERN NORTH-AMERICA; LOW-FREQUENCY VARIABILITY; ATMOSPHERIC CO2; VEGETATION; MODEL; SENSITIVITY; GREENHOUSE; FORESTS; PLANTS</t>
  </si>
  <si>
    <t>A previously developed plant species-climatic envelope model was evaluated further and used to predict effects of hypothesized climatic change on the potential distribution of 124 native woody plant species in Florida, U.S.A. Twelve scenarios were investigated. These included mean annual temperature increases of 1 degrees C or 2 degrees C, achieved either by equal 1 degrees C or 2 degrees C increases on a monthly basis throughout the year, or by disproportionately larger seasonal increases in winter and smaller ones in summer. The various temperature increases were then combined with each of several precipitation changes, ranging from +10% to -20%, to produce the final set of scenarios. Mon detailed analysis involving six of the scenarios and a subset of 28 representative, ecologically important species suggested that (1) large decreases in the Florida range of many temperate species would result if 1 degrees C warming occurs predominantly in winter or with a 20% decrease in annual precipitation, or (2) if 2 degrees C warming occurs, with or without decrease in annual precipitation, and regardless of whether there is a uniform. monthly warming pattern or one that is higher in winter than in summer. Available information concerning other factors that might also affect climatic-change responses suggests that these large predicted impacts on temperate Florida species may be underestimates. Subtropical Florida species will tend to move north and inland with warming but extensive human assistance may be needed, if they are to realize their newly expanded, potential natural ranges.</t>
  </si>
  <si>
    <t>Univ Georgia, Dept Geog, Athens, GA 30602 USA; Univ Colorado, Dept Environm Populat &amp; Organ Biol, Boulder, CO 80309 USA; Florida Div Forestry, Tallahassee, FL 32399 USA</t>
  </si>
  <si>
    <t>University System of Georgia; University of Georgia; University of Colorado System; University of Colorado Boulder</t>
  </si>
  <si>
    <t>Box, EO (corresponding author), Univ Georgia, Dept Geog, Athens, GA 30602 USA.</t>
  </si>
  <si>
    <t>KLUWER ACADEMIC PUBL</t>
  </si>
  <si>
    <t>DORDRECHT</t>
  </si>
  <si>
    <t>SPUIBOULEVARD 50, PO BOX 17, 3300 AA DORDRECHT, NETHERLANDS</t>
  </si>
  <si>
    <t>0165-0009</t>
  </si>
  <si>
    <t>Clim. Change</t>
  </si>
  <si>
    <t>FEB</t>
  </si>
  <si>
    <t>Environmental Sciences; Meteorology &amp; Atmospheric Sciences</t>
  </si>
  <si>
    <t>Environmental Sciences &amp; Ecology; Meteorology &amp; Atmospheric Sciences</t>
  </si>
  <si>
    <t>169MC</t>
  </si>
  <si>
    <t>WOS:000078751700005</t>
  </si>
  <si>
    <t>Roy, DB; Rothery, P; Moss, D; Pollard, E; Thomas, JA</t>
  </si>
  <si>
    <t>Butterfly numbers and weather: predicting historical trends in abundance and the future effects of climate change</t>
  </si>
  <si>
    <t>JOURNAL OF ANIMAL ECOLOGY</t>
  </si>
  <si>
    <t>Butterfly Monitoring Scheme; rainfall; regression models; temperature</t>
  </si>
  <si>
    <t>HABITAT AVAILABILITY; AGLAIS-URTICAE; ENGLAND; RANGE; SERIES; PRECIPITATION; CONSERVATION; TEMPERATURE; SELECTION; PATTERNS</t>
  </si>
  <si>
    <t>1. The effect of weather on the size of British butterfly populations was studied using national weather records and the Butterfly Monitoring Scheme (BMS), a national database that has measured butterfly abundance since 1976. 2. Strong associations between weather and population fluctuations and trends were found in 28 of 31 species studied The main positive associations were with warm summer (especially June) temperature during the current and previous year, low rainfall in the current year and high rainfall in the previous year. Most bivoltine species benefited from warm June weather in the current year, three spring species and two that overwinter as adults benefited from warm weather in the previous summer, and most species with moist or semi-shaded habitats increased following high rainfall and cooler weather in the previous year. 3. Simple models incorporating weather variables and density effects were constructed for each species using the first 15 years' population data(1976-90) These fitted the observed data for that period well (median R-2 = 70%). Models were less good at predicting changes in abundance over the next 7 years (1991-97), although significant predictive success was obtained. 4. Parameter values of models were then adjusted to incorporate the full 22-year data-run For the eight species whose models had best predicted population changes or fitted the data well (R-2 &gt; 85%), models were run from 1767 to 1997, using historical weather records, to 'predict' trends in abundance over the past two centuries. For three species it was possible to compare predicted past trends with contemporary accounts of abundance since 1800. In each case, the match between predictions and these qualitative assessments was good. 5. Models were also used to predict future changes in abundance, using three published scenarios for climate change. Most, but not all, species are predicted to increase in the UK under warmer climates, a few species stayed stable, and only one species - the agricultural pest Pieris brassicae (Cabbage White) - is predicted to decline.</t>
  </si>
  <si>
    <t>Ctr Ecol &amp; Hydrol, Huntingdon PE28 2LS, Cambs, England; Springhill Farm, Cranbrook TN17 4LA, Kent, England; Ctr Ecol &amp; Hydrol, Winfrith Technol Ctr, Dorchester BH20 5AS, Dorset, England</t>
  </si>
  <si>
    <t>UK Centre for Ecology &amp; Hydrology (UKCEH); UK Centre for Ecology &amp; Hydrology (UKCEH)</t>
  </si>
  <si>
    <t>Roy, DB (corresponding author), Ctr Ecol &amp; Hydrol, Monks Wood, Huntingdon PE28 2LS, Cambs, England.</t>
  </si>
  <si>
    <t>Roy, David/A-6619-2009</t>
  </si>
  <si>
    <t>Roy, David/0000-0002-5147-0331</t>
  </si>
  <si>
    <t>0021-8790</t>
  </si>
  <si>
    <t>J ANIM ECOL</t>
  </si>
  <si>
    <t>J. Anim. Ecol.</t>
  </si>
  <si>
    <t>MAR</t>
  </si>
  <si>
    <t>Ecology; Zoology</t>
  </si>
  <si>
    <t>Environmental Sciences &amp; Ecology; Zoology</t>
  </si>
  <si>
    <t>437VM</t>
  </si>
  <si>
    <t>WOS:000169014300004</t>
  </si>
  <si>
    <t>Peterson, AT; Ortega-Huerta, MA; Bartley, J; Sánchez-Cordero, V; Soberón, J; Buddemeier, RH; Stockwell, DRB</t>
  </si>
  <si>
    <t>Future projections for Mexican faunas under global climate change scenarios</t>
  </si>
  <si>
    <t>NATURE</t>
  </si>
  <si>
    <t>SPECIES RANGE; BIODIVERSITY; NICHES</t>
  </si>
  <si>
    <t>Global climates are changing rapidly, with unexpected consequences(1). Because elements of biodiversity respond intimately to climate as an important driving force of distributional limitation(2), distributional shifts and biodiversity losses are expected(3,4). Nevertheless, in spite of modelling efforts focused on single species(2) or entire ecosystems(5), a few preliminary surveys of fauna-wide effects(6,7), and evidence of climate change-mediated shifts in several species(8,9), the likely effects of climate change on species' distributions remain little known, and fauna-wide or community-level effects are almost completely unexplored(6). Here, using a genetic algorithm and museum specimen occurrence data, we develop ecological niche models for 1,870 species occurring in Mexico and project them onto two climate surfaces modelled for 2055. Although extinctions and drastic range reductions are predicted to be relatively few, species turnover in some local communities is predicted to be high (&gt; 40% of species), suggesting that severe ecological perturbations may result.</t>
  </si>
  <si>
    <t>Univ Kansas, Museum Nat Hist, Lawrence, KS 66045 USA; Univ Kansas, Dept Geog, Lawrence, KS 66045 USA; Univ Kansas, Kansas Appl Remote Sensing Program, Lawrence, KS 66045 USA; Univ Kansas, Kansas Geol Survey, Lawrence, KS 66045 USA; Univ Nacl Autonoma Mexico, Inst Biol, Dept Zool, Mexico City 04510, DF, Mexico; Univ Nacl Autonoma Mexico, Inst Ecol, Dept Ecol Evolut, Mexico City 04510, DF, Mexico; Univ Calif San Diego, San Diego Supercomp Ctr, La Jolla, CA 92093 USA</t>
  </si>
  <si>
    <t>University of Kansas; University of Kansas; University of Kansas; University of Kansas; Universidad Nacional Autonoma de Mexico; Universidad Nacional Autonoma de Mexico; University of California System; University of California San Diego</t>
  </si>
  <si>
    <t>Peterson, AT (corresponding author), Univ Kansas, Museum Nat Hist, Lawrence, KS 66045 USA.</t>
  </si>
  <si>
    <t>Soberon, Jorge/N-7444-2015; Peterson, A Townsend/I-5697-2013</t>
  </si>
  <si>
    <t>Soberon, Jorge/0000-0003-2160-4148; Peterson, A Townsend/0000-0003-0243-2379</t>
  </si>
  <si>
    <t>NATURE PUBLISHING GROUP</t>
  </si>
  <si>
    <t>LONDON</t>
  </si>
  <si>
    <t>MACMILLAN BUILDING, 4 CRINAN ST, LONDON N1 9XW, ENGLAND</t>
  </si>
  <si>
    <t>0028-0836</t>
  </si>
  <si>
    <t>Nature</t>
  </si>
  <si>
    <t>APR 11</t>
  </si>
  <si>
    <t>Multidisciplinary Sciences</t>
  </si>
  <si>
    <t>Science &amp; Technology - Other Topics</t>
  </si>
  <si>
    <t>539YV</t>
  </si>
  <si>
    <t>WOS:000174901900041</t>
  </si>
  <si>
    <t>Erasmus, BFN; Van Jaarsveld, AS; Chown, SL; Kshatriya, M; Wessels, KJ</t>
  </si>
  <si>
    <t>Vulnerability of South African animal taxa to climate change</t>
  </si>
  <si>
    <t>conservation; fragmentation; land-use; range contraction</t>
  </si>
  <si>
    <t>COMMON FLY BELT; PROTECTION STATUS; HABITAT AVAILABILITY; GEOGRAPHICAL RANGES; BEETLES COLEOPTERA; TSETSE HABITAT; CONSERVATION; BIODIVERSITY; DIVERSITY; BIOGEOGRAPHY</t>
  </si>
  <si>
    <t>The responsiveness of South African fauna to climate change events is poorly documented and not routinely incorporated into regional conservation planning. We model the likely range alterations of a representative suite of 179 animal species to climate change brought about by the doubling of CO2 concentrations. This scenario is expected to cause a mean temperature increase of 2 degreesC. We applied a multivariate climate envelope approach and evaluated model performance using the most comprehensive bird data set. The results were encouraging, although model performance was inconsistent in the eastern coastal area of the country. The levels of climate change induced impacts on species ranges varied from little impact to local extinction. Some 17% of species expanded their ranges, 78% displayed range contraction (4-98%), 3% showed no response and 2% became locally extinct. The majority of range shifts (41%) were in an easterly direction, reflecting the east-west aridity gradient across the country. Species losses were highest in the west. Substantially smaller westward shifts were present in some eastern species. This may reflect a response to the strong altitudinal gradient in this region, or may be a model artifact. Species range change (composite measure reflecting range contraction and displacement) identified selected species that could act as climate change indicator taxa. Red-data and vulnerable species showed similar responses but were more likely to display range change (58% vs. 43% for all species). Predictions suggest that the flagship, Kruger National Park conservation area may loose up to 66% of the species included in this analysis. This highlights the extent of the predicted range shifts, and indicates why conflicts between conservation and other land uses are likely to escalate under conditions of climate change.</t>
  </si>
  <si>
    <t>Univ Pretoria, Ctr Environm Studies, ZA-0002 Pretoria, South Africa; Univ Pretoria, Dept Zool &amp; Entomol, Conservat Planning Unit, ZA-0002 Pretoria, South Africa; Agr Res Council, Inst Soil Climate &amp; Water, ZA-0001 Pretoria, South Africa</t>
  </si>
  <si>
    <t>University of Pretoria; University of Pretoria; Agricultural Research Council of South Africa; Institute for Soil, Climate and Water, Agricultural Research Council</t>
  </si>
  <si>
    <t>Van Jaarsveld, AS (corresponding author), Univ Pretoria, Ctr Environm Studies, ZA-0002 Pretoria, South Africa.</t>
  </si>
  <si>
    <t>ASvJaarsveld@zoology.up.ac.za</t>
  </si>
  <si>
    <t>Chown, Steven/H-3347-2011; Erasmus, Barend/G-3411-2012; van Jaarsveld, Albert/H-5368-2013</t>
  </si>
  <si>
    <t>Erasmus, Barend/0000-0003-1869-8091;</t>
  </si>
  <si>
    <t>WILEY</t>
  </si>
  <si>
    <t>HOBOKEN</t>
  </si>
  <si>
    <t>111 RIVER ST, HOBOKEN 07030-5774, NJ USA</t>
  </si>
  <si>
    <t>1365-2486</t>
  </si>
  <si>
    <t>GLOBAL CHANGE BIOL</t>
  </si>
  <si>
    <t>JUL</t>
  </si>
  <si>
    <t>559ZD</t>
  </si>
  <si>
    <t>WOS:000176055800007</t>
  </si>
  <si>
    <t>["Africa"]</t>
  </si>
  <si>
    <t>Beaumont, LJ; Hughes, L</t>
  </si>
  <si>
    <t>Potential changes in the distributions of latitudinally restricted Australian butterfly species in response to climate change</t>
  </si>
  <si>
    <t>BIOCLIM; bioclimatic envelope; butterflies; climate change; lepidoptera; range shifts</t>
  </si>
  <si>
    <t>BRITISH BUTTERFLIES; PYRONIA-TITHONUS; LARVAL EMERGENCE; PEDUNCULATE OAK; PIERIS-RAPAE; WINTER MOTH; TEMPERATURE; RANGE; LEPIDOPTERA; PLANT</t>
  </si>
  <si>
    <t>This study assessed potential changes in the distributions of Australian butterfly species in response to global warming. The bioclimatic program, BIOCLIM, was used to determine the current climatic ranges of 77 butterfly species restricted to Australia. We found that the majority of these species had fairly wide climatic ranges in comparison to other taxa, with only 8% of butterfly species having a mean annual temperature range spanning less than 3 degreesC. The potential changes in the distributions of 24 butterfly species under four climate change scenarios for 2050 were also modelled using BIOCLIM. Results suggested that even species with currently wide climatic ranges may still be vulnerable to climate change; under a very conservative climate change scenario (with a temperature increase of 0.8-1.4 degreesC by 2050) 88% of species distributions decreased, and 54% of species distributions decreased by at least 20%. Under an extreme scenario (temperature increase of 2.1-3.9 degreesC by 2050) 92% of species distributions decreased, and 83% of species distributions decreased by at least 50%. Furthermore, the proportion of the current range that was contained within the predicted range decreased from an average of 63% under a very conservative scenario to less than 22% under the most extreme scenario. By assessing the climatic ranges that species are currently exposed to, the extent of potential changes in distributions in response to climate change and details of their life histories, we identified species whose characteristics may make them particularly vulnerable to climate change in the future.</t>
  </si>
  <si>
    <t>Macquarie Univ, Dept Biol Sci, N Ryde, NSW 2109, Australia</t>
  </si>
  <si>
    <t>Macquarie University</t>
  </si>
  <si>
    <t>Beaumont, LJ (corresponding author), Macquarie Univ, Dept Biol Sci, N Ryde, NSW 2109, Australia.</t>
  </si>
  <si>
    <t>Beaumont, Linda/D-5499-2012</t>
  </si>
  <si>
    <t>Beaumont, Linda/0000-0001-6307-1680; Hughes, Lesley/0000-0003-0313-9780</t>
  </si>
  <si>
    <t>BLACKWELL PUBLISHING LTD</t>
  </si>
  <si>
    <t>9600 GARSINGTON RD, OXFORD OX4 2DG, OXON, ENGLAND</t>
  </si>
  <si>
    <t>OCT</t>
  </si>
  <si>
    <t>590YT</t>
  </si>
  <si>
    <t>WOS:000177853000003</t>
  </si>
  <si>
    <t>["Asia and the Pacific"]</t>
  </si>
  <si>
    <t>["Oceania"]</t>
  </si>
  <si>
    <t>["Australia"]</t>
  </si>
  <si>
    <t>Hill, JK; Thomas, CD; Fox, R; Telfer, MG; Willis, SG; Asher, J; Huntley, B</t>
  </si>
  <si>
    <t>Responses of butterflies to twentieth century climate warming: implications for future ranges</t>
  </si>
  <si>
    <t>PROCEEDINGS OF THE ROYAL SOCIETY B-BIOLOGICAL SCIENCES</t>
  </si>
  <si>
    <t>climate change; range expansion; habitat fragmentation; colonization</t>
  </si>
  <si>
    <t>CONSEQUENCES</t>
  </si>
  <si>
    <t>We analyse distribution records for 51 British butterfly species to investigate altitudinal and latitudinal responses to twentieth century climate warming. Species with northern and/or montane distributions have disappeared from low elevation sites and colonized sites at higher elevations during the twentieth century, consistent with a climate explanation. We found no evidence for a systematic shift northwards across all species, even though 11 out of 46 southerly distributed species have expanded in the northern part of their distributions. For a subset of 35 species, we model the role of climate in limiting current European distributions and predict potential future distributions for the period 2070-2099. Most northerly distributed species will have little opportunity to expand northwards and will disappear from areas in the south, resulting in reduced range sizes. Southerly distributed species will have the potential to shift northwards, resulting in similar or increased range sizes. However, 30 out of 35 study species have failed to track recent climate changes because of lack of suitable habitat, so we revised our estimates accordingly for these species and predicted 65% and 24% declines in range sizes for northern and southern species, respectively. These revised estimates are likely to be more realistic predictions of future butterfly range sizes.</t>
  </si>
  <si>
    <t>Univ York, Dept Biol, York YO10 5YW, N Yorkshire, England; Univ Durham, Sch Biol &amp; Biomed Sci, Environm Res Ctr, Durham DH1 3LE, England; Univ Leeds, Sch Biol, Ctr Biodivers &amp; Conservat, Leeds LS2 9JT, W Yorkshire, England; Butterfly Conservat, Wareham BH20 5QP, Dorset, England; Ctr Ecol &amp; Hydrol, Huntingdon PE28 2LS, Cambs, England</t>
  </si>
  <si>
    <t>University of York - UK; Durham University; University of Leeds; UK Centre for Ecology &amp; Hydrology (UKCEH)</t>
  </si>
  <si>
    <t>Hill, JK (corresponding author), Univ York, Dept Biol, POB 373, York YO10 5YW, N Yorkshire, England.</t>
  </si>
  <si>
    <t>jkh6@york.ac.uk</t>
  </si>
  <si>
    <t>Hill, Jane/G-5151-2011; Thomas, Chris/A-1460-2014; Fox, Richard/G-3873-2011; Willis, Stephen/F-8503-2015</t>
  </si>
  <si>
    <t>Thomas, Chris/0000-0003-2822-1334; Fox, Richard/0000-0001-6992-3522; Willis, Stephen/0000-0002-8656-5808</t>
  </si>
  <si>
    <t>ROYAL SOC</t>
  </si>
  <si>
    <t>6-9 CARLTON HOUSE TERRACE, LONDON SW1Y 5AG, ENGLAND</t>
  </si>
  <si>
    <t>0962-8452</t>
  </si>
  <si>
    <t>1471-2954</t>
  </si>
  <si>
    <t>P ROY SOC B-BIOL SCI</t>
  </si>
  <si>
    <t>Proc. R. Soc. B-Biol. Sci.</t>
  </si>
  <si>
    <t>OCT 22</t>
  </si>
  <si>
    <t>Biology; Ecology; Evolutionary Biology</t>
  </si>
  <si>
    <t>Life Sciences &amp; Biomedicine - Other Topics; Environmental Sciences &amp; Ecology; Evolutionary Biology</t>
  </si>
  <si>
    <t>607WX</t>
  </si>
  <si>
    <t>Green Submitted, gold</t>
  </si>
  <si>
    <t>WOS:000178814700013</t>
  </si>
  <si>
    <t>Midgley, GF; Hannah, L; Millar, D; Rutherford, MC; Powrie, LW</t>
  </si>
  <si>
    <t>Assessing the vulnerability of species richness to anthropogenic climate change in a biodiversity hotspot</t>
  </si>
  <si>
    <t>GLOBAL ECOLOGY AND BIOGEOGRAPHY</t>
  </si>
  <si>
    <t>Article; Proceedings Paper</t>
  </si>
  <si>
    <t>Meeting on Climate Change and Conservation</t>
  </si>
  <si>
    <t>MAR, 2001</t>
  </si>
  <si>
    <t>CAMBRIDGE, ENGLAND</t>
  </si>
  <si>
    <t>Conservat Int</t>
  </si>
  <si>
    <t>bioclimatic model; climate change; extinction risk; Fynbos; global change; HadCM2; Proteaceae; range displacement; South Africa</t>
  </si>
  <si>
    <t>ELEVATED CO2; NUTRIENT; DISPERSAL; RESPONSES; NICHE</t>
  </si>
  <si>
    <t>Aim To compare theoretical approaches towards estimating risks of plant species loss to anthropogenic climate change impacts in a biodiversity hotspot, and to develop a practical method to detect signs of climate change impacts on natural populations. Location The Fynbos biome of South Africa, within the Cape Floristic Kingdom. Methods Bioclimatic modelling was used to identify environmental limits for vegetation at both biome and species scale. For the biome as a whole, and for 330 species of the endemic family Proteaceae, tolerance limits were determined for five temperature and water availability-related parameters assumed critical for plant survival. Climate scenarios for 2050 generated by the general circulation models HadCM2 and CSM were interpolated for the region. Geographic Information Systems-based methods were used to map current and future modelled ranges of the biome and 330 selected species. In the biome-based approach, predictions of biome a real loss were overlayed with species richness data for the family Proteaceae to estimate extinction risk. In the species-based approach, predictions of range dislocation (no overlap between current range and future projected range) were used as an indicator of extinction risk. A method of identifying local populations imminently threatened by climate change-induced mortality is also described. Results A loss of Fynbos biome area of between 51% and 65% is projected by 2050 (depending on the climate scenario used), and roughly 10% of the endemic Proteaceae have ranges restricted to the area lost. Species range projections suggest that a third could suffer complete range dislocation by 2050, and only 5% could retain more than two thirds of their range. Projected changes to individual species ranges could be sufficient to detect climate change impacts within ten years. Main conclusions The biome-level approach appears to underestimate the risk of species diversity loss from climate change impacts in the Fynbos Biome because many narrow range endemics suffer range dislocation throughout the biome, and not only in areas identified as biome contractions. We suggest that targeted vulnerable species could be monitored both for early warning signs of climate change and as empirical tests of predictions.</t>
  </si>
  <si>
    <t>Natl Bot Inst, Climate Change Res Grp, Kirstenbosch Res Ctr, ZA-7735 Cape Town, South Africa; Conservat Int, Ctr Appl Biodivers Sci, Washington, DC 20036 USA</t>
  </si>
  <si>
    <t>Conservation International</t>
  </si>
  <si>
    <t>Midgley, GF (corresponding author), Natl Bot Inst, Climate Change Res Grp, Kirstenbosch Res Ctr, P Bag 7, ZA-7735 Cape Town, South Africa.</t>
  </si>
  <si>
    <t>midgley@nbict.nbi.ac.za</t>
  </si>
  <si>
    <t>Midgley, Guy/H-3585-2014</t>
  </si>
  <si>
    <t>Midgley, Guy/0000-0001-8264-0869; Powrie, Leslie Ward/0000-0001-6942-8484</t>
  </si>
  <si>
    <t>1466-822X</t>
  </si>
  <si>
    <t>1466-8238</t>
  </si>
  <si>
    <t>GLOBAL ECOL BIOGEOGR</t>
  </si>
  <si>
    <t>Glob. Ecol. Biogeogr.</t>
  </si>
  <si>
    <t>NOV</t>
  </si>
  <si>
    <t>Science Citation Index Expanded (SCI-EXPANDED); Conference Proceedings Citation Index - Science (CPCI-S)</t>
  </si>
  <si>
    <t>628DW</t>
  </si>
  <si>
    <t>WOS:000179978200002</t>
  </si>
  <si>
    <t>Peterson, AT</t>
  </si>
  <si>
    <t>Projected climate change effects on Rocky Mountain and Great Plains birds: generalities of biodiversity consequences</t>
  </si>
  <si>
    <t>biodiversity consequences; birds; climate change; distributions; topography</t>
  </si>
  <si>
    <t>GEOGRAPHIC DISTRIBUTIONS; NICHE; SENSITIVITY; ALGORITHMS; PREDICTION; ECOSYSTEM</t>
  </si>
  <si>
    <t>Climate change effects on biodiversity are already manifested, and yet no predictive knowledge characterizes the likely nature of these effects. Previous studies suggested an influence of topography on these effects, a possibility tested herein. Bird species with distributions restricted to montane (26 species) and Great Plains (19 species) regions of central and western North America were modeled, and climate change effects on their distributions compared: in general, plains species were more heavily influenced by climate change, with drastic area reductions (mode 35% of distributional area lost under assumption of no dispersal) and dramatic spatial movements (0-400 km shift of range centroid under assumption of no dispersal) of appropriate habitats. These results suggest an important generality regarding climate change effects on biodiversity, and provide useful guidelines for conservation planning.</t>
  </si>
  <si>
    <t>Univ Kansas, Museum Nat Hist, Lawrence, KS 66045 USA; Univ Kansas, Biodivers Res Ctr, Lawrence, KS 66045 USA</t>
  </si>
  <si>
    <t>University of Kansas; University of Kansas</t>
  </si>
  <si>
    <t>town@ku.edu</t>
  </si>
  <si>
    <t>Peterson, A Townsend/I-5697-2013</t>
  </si>
  <si>
    <t>Peterson, A Townsend/0000-0003-0243-2379</t>
  </si>
  <si>
    <t>MAY</t>
  </si>
  <si>
    <t>674UE</t>
  </si>
  <si>
    <t>WOS:000182653700001</t>
  </si>
  <si>
    <t>["Aves"]</t>
  </si>
  <si>
    <t>Midgley, GF; Hannah, L; Millar, D; Thuiller, W; Booth, A</t>
  </si>
  <si>
    <t>Developing regional and species-level assessments of climate change impacts on biodiversity in the Cape Floristic Region</t>
  </si>
  <si>
    <t>BIOLOGICAL CONSERVATION</t>
  </si>
  <si>
    <t>bioclimatic modelling; climatic niche; corridor; geographic range shift; Mediterranean-type ecosystem; winter rainfall</t>
  </si>
  <si>
    <t>SOUTH-AFRICA; WOOD CHARCOAL; ELEVATED CO2; VEGETATION; NUTRIENT; CONSERVATION; RESPONSES; PATTERNS; PLANTS</t>
  </si>
  <si>
    <t>We assess the potential impact of climate change on plant diversity in the Cape Floristic Region (CFR) and its interaction with land transformation that has already occurred in the region. Predictions were made both at the scale of the Fynbos Biome (the dominant vegetation assemblage in the CFR) and for selected Proteaceae species. Bioclimatic modelling identified parts of the biome at particular risk from climate change. Species-level modelling (Generalised Additive Modelling) was done for 28 Proteaceae species selected from areas at high risk of biome loss, revealing individualistic range changes in a pattern broadly consistent with biome modelling results. Most species experienced potential range contractions (17 of 28), of which five showed range elimination. Several species (I I of 28) showed potential range expansions. For species showing range contractions, current land transformation had less impact on future potential ranges than did climate change, because many species ranges shifted to higher altitudes where land transformation is currently less prevalent. Fewer than half of the high-risk species showed overlap between current and future potential range, showing that propagule transport, establishment of species in novel ranges and conservation of landscape linkages will be critical for maintenance of biodiversity. Methods described here provide useful forecasts of potential climate change impacts that could guide conservation responses, but results need cautious interpretation in the light of the many assumptions underlying the techniques used. (C) 2003 Elsevier Science Ltd. All rights reserved.</t>
  </si>
  <si>
    <t>Natl Bot Inst, Climate Change Res Grp, Kirstenbosch Res Ctr, ZA-7735 Cape Town, South Africa; Conservat Int, Ctr Appl Biodivers Sci, Washington, DC 20036 USA; CNRS, Funct &amp; Evolutionary Ecol Ctr, UPR 9056, Montpellier, France; Rhodes Univ, Dept Icthyol, ZA-6140 Grahamstown, South Africa</t>
  </si>
  <si>
    <t>Conservation International; Centre National de la Recherche Scientifique (CNRS); Rhodes University</t>
  </si>
  <si>
    <t>Midgley, GF (corresponding author), Natl Bot Inst, Climate Change Res Grp, Kirstenbosch Res Ctr, P Bag X7, ZA-7735 Cape Town, South Africa.</t>
  </si>
  <si>
    <t>Thuiller, Wilfried/G-3283-2010; Booth, Anthony/C-9932-2012; Midgley, Guy/H-3585-2014</t>
  </si>
  <si>
    <t>Booth, Anthony/0000-0002-5561-9260; Midgley, Guy/0000-0001-8264-0869</t>
  </si>
  <si>
    <t>ELSEVIER SCI LTD</t>
  </si>
  <si>
    <t>London</t>
  </si>
  <si>
    <t>125 London Wall, London, ENGLAND</t>
  </si>
  <si>
    <t>0006-3207</t>
  </si>
  <si>
    <t>1873-2917</t>
  </si>
  <si>
    <t>BIOL CONSERV</t>
  </si>
  <si>
    <t>Biol. Conserv.</t>
  </si>
  <si>
    <t>JUL-AUG</t>
  </si>
  <si>
    <t>1-2</t>
  </si>
  <si>
    <t>679HC</t>
  </si>
  <si>
    <t>WOS:000182913800006</t>
  </si>
  <si>
    <t>Mohseni, O; Stefan, HG; Eaton, JG</t>
  </si>
  <si>
    <t>Global warming and potential changes in fish habitat in US streams</t>
  </si>
  <si>
    <t>UNITED-STATES; TEMPERATURE RELATIONSHIP; THERMAL HABITAT; CLIMATE; WATER; LAKES</t>
  </si>
  <si>
    <t>To project potential habitat changes of 57 fish species under global warming, their suitable thermal habitat at 764 stream gaging stations in the contiguous United States was studied. Global warming was specified by air temperature increases projected by the Canadian Centre of Climate Modelling General Circulation Model for a doubling of atmospheric CO2. The aquatic thermal regime at each gaging station was related to air temperature using a nonlinear stream temperature/air temperature relationship. Suitable fish thermal habitat was assumed to be constrained by both maximum temperature and minimum temperature tolerances. For cold water fishes with a 0degreesC lower temperature constraint, the number of stations with suitable thermal habitat under a 2 x CO2 climate scenario is projected to decrease by 36%, and for cool water fishes by 15%. These changes are associated with a northward shift of the range. For warm water fishes with a 2degreesC lower temperature constraint, the potential number of stations with suitable thermal habitat is projected to increase by 31%.</t>
  </si>
  <si>
    <t>Univ Minnesota, St Anthony Falls Lab, Minneapolis, MN 55414 USA; US EPA, Mid Continent Ecol Div, Duluth, MN USA</t>
  </si>
  <si>
    <t>University of Minnesota System; University of Minnesota Twin Cities; United States Environmental Protection Agency</t>
  </si>
  <si>
    <t>Mohseni, O (corresponding author), Univ Minnesota, St Anthony Falls Lab, Mississippi River &amp; 3rd Ave SE, Minneapolis, MN 55414 USA.</t>
  </si>
  <si>
    <t>VAN GODEWIJCKSTRAAT 30, 3311 GZ DORDRECHT, NETHERLANDS</t>
  </si>
  <si>
    <t>AUG</t>
  </si>
  <si>
    <t>704CH</t>
  </si>
  <si>
    <t>WOS:000184319800006</t>
  </si>
  <si>
    <t>Williams, SE; Bolitho, EE; Fox, S</t>
  </si>
  <si>
    <t>Climate change in Australian tropical rainforests: an impending environmental catastrophe</t>
  </si>
  <si>
    <t>biodiversity; climate change; extinction; range size; montane; rainforest</t>
  </si>
  <si>
    <t>WET TROPICS; NORTH QUEENSLAND; ELEVATED CO2; EXTINCTIONS; RESPONSES; CONTRACTIONS; BIODIVERSITY; DETERMINANTS; DIVERSITY; ABUNDANCE</t>
  </si>
  <si>
    <t>It is now widely accepted that global climate change is affecting many ecosystems around the globe and that its impact is increasing rapidly. Many studies predict that impacts will consist largely of shifts in latitudinal and altitudinal distributions. However, we demonstrate that the impacts of global climate change in the tropical rainforests of northeastern Australia have the potential to result in many extinctions. We develop bioclimatic models of spatial distribution for the regionally endemic rainforest vertebrates and use these models to predict the effects of climate warming on species distributions. Increasing temperature is predicted to result in significant reduction or complete loss of the core environment of all regionally endemic vertebrates. Extinction rates caused by the complete loss of core environments are likely to be severe, nonlinear, with losses increasing rapidly beyond an increase of 2 degreesC, and compounded by other climate-related impacts. Mountain ecosystems around the world, such as the Australian Wet Tropics bioregion, are very diverse, often with high levels of restricted endemism, and are therefore important areas of biodiversity. The results presented here suggest that these systems are severely threatened by climate change.</t>
  </si>
  <si>
    <t>James Cook Univ N Queensland, Cooperat Res Ctr Trop Rainforest Ecol, Sch Trop Biol, Townsville, Qld 4811, Australia</t>
  </si>
  <si>
    <t>James Cook University</t>
  </si>
  <si>
    <t>Williams, SE (corresponding author), James Cook Univ N Queensland, Cooperat Res Ctr Trop Rainforest Ecol, Sch Trop Biol, Townsville, Qld 4811, Australia.</t>
  </si>
  <si>
    <t>stephen.williams@jcu.edu.au</t>
  </si>
  <si>
    <t>; Willia, Stephen/A-7250-2008</t>
  </si>
  <si>
    <t>Fox, Samantha/0000-0002-0371-3458; Willia, Stephen/0000-0002-2510-7408</t>
  </si>
  <si>
    <t>SEP 22</t>
  </si>
  <si>
    <t>724HQ</t>
  </si>
  <si>
    <t>Green Submitted</t>
  </si>
  <si>
    <t>WOS:000185482500003</t>
  </si>
  <si>
    <t>Thomas, CD; Cameron, A; Green, RE; Bakkenes, M; Beaumont, LJ; Collingham, YC; Erasmus, BFN; de Siqueira, MF; Grainger, A; Hannah, L; Hughes, L; Huntley, B; van Jaarsveld, AS; Midgley, GF; Miles, L; Ortega-Huerta, MA; Peterson, AT; Phillips, OL; Williams, SE</t>
  </si>
  <si>
    <t>Extinction risk from climate change</t>
  </si>
  <si>
    <t>BIODIVERSITY; IMPACTS; DEFORESTATION; CO2; VULNERABILITY</t>
  </si>
  <si>
    <t>Climate change over the past similar to30 years has produced numerous shifts in the distributions and abundances of species(1,2) and has been implicated in one species-level extinction(3). Using projections of species' distributions for future climate scenarios, we assess extinction risks for sample regions that cover some 20% of the Earth's terrestrial surface. Exploring three approaches in which the estimated probability of extinction shows a powerlaw relationship with geographical range size, we predict, on the basis of mid-range climate-warming scenarios for 2050, that 15 - 37% of species in our sample of regions and taxa will be 'committed to extinction'. When the average of the three methods and two dispersal scenarios is taken, minimal climate-warming scenarios produce lower projections of species committed to extinction (similar to18%) than mid-range (similar to24%) and maximum-change (similar to35%) scenarios. These estimates show the importance of rapid implementation of technologies to decrease greenhouse gas emissions and strategies for carbon sequestration.</t>
  </si>
  <si>
    <t>Univ Leeds, Sch Biol, Ctr Biodivers &amp; Conservat, Leeds LS2 9JT, W Yorkshire, England; Royal Soc Protect Birds, Sandy SG19 2DL, Beds, England; Univ Cambridge, Dept Zool, Conservat Biol Grp, Cambridge CB2 3EJ, England; Natl Inst Publ Hlth &amp; Environm, NL-3720 BA Bilthoven, Netherlands; Macquarie Univ, Dept Biol Sci, N Ryde, NSW 2109, Australia; Univ Durham, Sch Biol &amp; Biomed Sci, Durham DH1 3LE, England; Univ Witwatersrand, ZA-2050 Johannesburg, South Africa; Ctr Referencia Informacao Ambiental, BR-13083885 Campinas, SP, Brazil; Univ Leeds, Sch Geog, Leeds LS2 9JT, W Yorkshire, England; Conservat Int, Ctr Appl Biodivers Sci, Washington, DC 20036 USA; Univ Stellenbosch, Dept Zool, ZA-7602 Stellenbosch, South Africa; Natl Bot Inst, Kirstenbosch Res Ctr, Climate Change Res Grp, ZA-7735 Cape Town, South Africa; Univ Nacl Autonoma Mexico, Inst Biol, Unidad Occidente, Mexico City 04510, DF, Mexico; Univ Kansas, Museum Nat Hist, Lawrence, KS 66045 USA; Univ Kansas, Biodivers Res Ctr, Lawrence, KS 66045 USA; James Cook Univ N Queensland, Sch Trop Biol, Cooperat Res Ctr Trop Rainforest Ecol, Townsville, Qld 4811, Australia</t>
  </si>
  <si>
    <t>University of Leeds; Royal Society for Protection of Birds; University of Cambridge; Netherlands National Institute for Public Health &amp; the Environment; Macquarie University; Durham University; University of Witwatersrand; University of Leeds; Conservation International; Stellenbosch University; Universidad Nacional Autonoma de Mexico; University of Kansas; University of Kansas; James Cook University</t>
  </si>
  <si>
    <t>Thomas, CD (corresponding author), Univ Leeds, Sch Biol, Ctr Biodivers &amp; Conservat, Leeds LS2 9JT, W Yorkshire, England.</t>
  </si>
  <si>
    <t>c.d.thomas@leeds.ac.uk</t>
  </si>
  <si>
    <t>Phillips, Oliver/A-1523-2011; Cameron, Alison/D-3911-2009; van Jaarsveld, Albert/H-5368-2013; Willia, Stephen/A-7250-2008; Erasmus, Barend/G-3411-2012; Midgley, Guy/H-3585-2014; Peterson, A Townsend/I-5697-2013; Beaumont, Linda/D-5499-2012; Ferreira de Siqueira, Marinez/I-9205-2012; Thomas, Chris/A-1894-2012; Miles, Lera/C-7334-2009; Fapesp, Biota/F-8655-2017</t>
  </si>
  <si>
    <t>Phillips, Oliver/0000-0002-8993-6168; Cameron, Alison/0000-0001-8236-7954; Willia, Stephen/0000-0002-2510-7408; Erasmus, Barend/0000-0003-1869-8091; Midgley, Guy/0000-0001-8264-0869; Hughes, Lesley/0000-0003-0313-9780; Peterson, A Townsend/0000-0003-0243-2379; Beaumont, Linda/0000-0001-6307-1680; Ferreira de Siqueira, Marinez/0000-0002-6869-0293; Thomas, Chris/0000-0003-2822-1334; Miles, Lera/0000-0003-0377-5904; Fapesp, Biota/0000-0002-9887-8449</t>
  </si>
  <si>
    <t>Natural Environment Research Council [NE/B503384/1] Funding Source: researchfish</t>
  </si>
  <si>
    <t>Natural Environment Research Council(UK Research &amp; Innovation (UKRI)Natural Environment Research Council (NERC))</t>
  </si>
  <si>
    <t>NATURE PORTFOLIO</t>
  </si>
  <si>
    <t>BERLIN</t>
  </si>
  <si>
    <t>HEIDELBERGER PLATZ 3, BERLIN, 14197, GERMANY</t>
  </si>
  <si>
    <t>1476-4687</t>
  </si>
  <si>
    <t>JAN 8</t>
  </si>
  <si>
    <t>760YY</t>
  </si>
  <si>
    <t>Bronze</t>
  </si>
  <si>
    <t>WOS:000187863900033</t>
  </si>
  <si>
    <t>["All regions"]</t>
  </si>
  <si>
    <t>Meyneeke, JO</t>
  </si>
  <si>
    <t>Effects of global climate change on geographic distributions of vertebrates in North Queensland</t>
  </si>
  <si>
    <t>ECOLOGICAL MODELLING</t>
  </si>
  <si>
    <t>global climate change; vertebrates; rainforest; modelling; bioclimatic analysis</t>
  </si>
  <si>
    <t>POTENTIAL DISTRIBUTIONS; EASTERN AUSTRALIA; MONTANE MAMMALS; RAIN-FOREST; EXTINCTIONS; PREDICTION; MODEL; RANGE; CONTRACTIONS; SCENARIO</t>
  </si>
  <si>
    <t>This paper assesses potential changes in the distributions of 12 endemic rainforest vertebrates of the Wet Tropics of Northeastern Australia in response to global warming predictions. It is based on projecting models of current geographic distribution to modelled future conditions taken from regional climate models. In comparing vertebrate species with different mobility, adaptation potential and distribution, consequences of global warming for elements of the regional biodiversity were investigated. The bioclimatic program. BIOCLIM, was used to determine the current climatic ranges and the potential changes in the distributions of the 12 species Linder four climate change scenarios for the year 2100. Results suggest that even species with currently wide climatic ranges may become vulnerable. Species distribution area decreased by more than 50% on average. Furthermore, the remaining predicted range decreased from an average of 90% under a conservative scenario, to about 40% under a less conservative scenario. These results show how sensitively some species could react to climate change and emphasise the need for rapid action on global warming for biodiversity conservation. (C) 2003 Published by Elsevier B.V.</t>
  </si>
  <si>
    <t>Frank Chantelau Univ Luneburg, Fac Environm Studies, Dept Ecol &amp; Environm Chem, D-21335 Luneburg, Germany; James Cook Univ, Sch Trop Biol, Townsville, Qld 4811, Australia</t>
  </si>
  <si>
    <t>Meyneeke, JO (corresponding author), Frank Chantelau Univ Luneburg, Fac Environm Studies, Dept Ecol &amp; Environm Chem, D-21335 Luneburg, Germany.</t>
  </si>
  <si>
    <t>J.-O.Meynecke@bba.de</t>
  </si>
  <si>
    <t>, Jan-Olaf/0000-0002-4639-4055</t>
  </si>
  <si>
    <t>ELSEVIER SCIENCE BV</t>
  </si>
  <si>
    <t>AMSTERDAM</t>
  </si>
  <si>
    <t>PO BOX 211, 1000 AE AMSTERDAM, NETHERLANDS</t>
  </si>
  <si>
    <t>0304-3800</t>
  </si>
  <si>
    <t>ECOL MODEL</t>
  </si>
  <si>
    <t>Ecol. Model.</t>
  </si>
  <si>
    <t>JUN 1</t>
  </si>
  <si>
    <t>Ecology</t>
  </si>
  <si>
    <t>Environmental Sciences &amp; Ecology</t>
  </si>
  <si>
    <t>818ZX</t>
  </si>
  <si>
    <t>WOS:000221284100002</t>
  </si>
  <si>
    <t>Skov, F; Svenning, JC</t>
  </si>
  <si>
    <t>Potential impact of climatic change on the distribution of forest herbs in Europe</t>
  </si>
  <si>
    <t>ECOGRAPHY</t>
  </si>
  <si>
    <t>PLANT MIGRATION RATES; VEGETATION DISTRIBUTION; HABITAT FRAGMENTATION; RESPONSE SURFACES; SPECIES RICHNESS; GLACIAL REFUGIA; FUTURE CLIMATES; SEED DISPERSAL; NORTH-AMERICA; UNITED-STATES</t>
  </si>
  <si>
    <t>The aim of this study is to evaluate the possible consequences of climate change on a representative sample of forest herbs in Europe. A fuzzy climatic envelope was used to predict the location of suitable climatic conditions under two climatic change scenarios. Expected consequences in terms of lost and gained range size and shift in distribution for 26 forest herbs were estimated. These results were combined in an Index of Predicted Range Change for each species. Finally, the effects of habitat fragmentation for potential dispersal routes were evaluated and options for management on a European scale are discussed. Generally, a good agreement of the estimated suitability under the present climate and the observed current distribution was observed. However, species vary a lot in the degree to which they occupy the presently climatically suitable areas in Europe. Many species are absent from large areas with suitable climate and thus could be said to have poor range-filling capacity. A general change in location (range centroid) of the total suitable area was observed: The total suitable area will on average move strongly northwards and moderately eastwards under the relatively mild B1 scenario and more strongly so under the A2 scenario. The required average minimum migration rate per year to track the potential range shift is 2.1 km under the B1 scenario and 3.9 km under the A2 scenario. Moderate losses in the total suitable area in Europe are predicted for most species under both scenarios. However, the predicted changes are very variable, with one species (Actaea erythrocarpa) experiencing total range elimination in Europe (A2 scenario) while the total suitable area is predicted to show large increases for other species. The species that are predicted to experience the greatest proportional losses in their climatically suitable area within their presently realised range tend to have northern or eastern range centroids. The Index of Predicted Range Change roughly divides the species studied in four groups: One species face a high risk of extinction; eight species are expected to experience moderate to severe threat of extinction; 11 species are not considered at risk and, finally, six species may actually benefit from global warming. An analysis of potential migration routes shows the importance of maintaining and, if possible, improving the network of forest throughout Europe to make migration possible. It is also suggested to closely monitor the status of boreal and subalpine species that are most threatened by global warming. Finally it is recommended that special concern should be given to increased protection and restoration of forest habitats in southern montane areas for their crucial long-term importance for the maintenance of European plant diversity.</t>
  </si>
  <si>
    <t>Natl Environm Res Inst Denmark, Dept Wildlife Ecol &amp; Biodivers, DK-8410 Ronde, Denmark; Aarhus Univ, Dept Systemat Bot, DK-8000 Aarhus C, Denmark</t>
  </si>
  <si>
    <t>Aarhus University; Danish National Environmental Research Institute; Aarhus University</t>
  </si>
  <si>
    <t>Skov, F (corresponding author), Natl Environm Res Inst Denmark, Dept Wildlife Ecol &amp; Biodivers, Grenavej 12, DK-8410 Ronde, Denmark.</t>
  </si>
  <si>
    <t>fs@dmu.dk</t>
  </si>
  <si>
    <t>Skov, Flemming/I-2665-2013; Svenning, Jens-Christian/C-8977-2012</t>
  </si>
  <si>
    <t>Skov, Flemming/0000-0002-9490-8663; Svenning, Jens-Christian/0000-0002-3415-0862</t>
  </si>
  <si>
    <t>0906-7590</t>
  </si>
  <si>
    <t>1600-0587</t>
  </si>
  <si>
    <t>Ecography</t>
  </si>
  <si>
    <t>JUN</t>
  </si>
  <si>
    <t>Biodiversity Conservation; Ecology</t>
  </si>
  <si>
    <t>820WU</t>
  </si>
  <si>
    <t>WOS:000221421200010</t>
  </si>
  <si>
    <t>Araújo, MB; Cabeza, M; Thuiller, W; Hannah, L; Williams, PH</t>
  </si>
  <si>
    <t>Would climate change drive species out of reserves? An assessment of existing reserve-selection methods</t>
  </si>
  <si>
    <t>bioclimatic modelling; climate change; complementarity; conservation planning; dispersal; distribution models; habitat suitability; persistence; probabilities of occurrence; reserve clustering; reserve selection</t>
  </si>
  <si>
    <t>PLANT MIGRATION; CONSERVATION; NETWORKS; PROBABILITY; PERSISTENCE; DISTRIBUTIONS; CONNECTIVITY; EXTINCTION; DYNAMICS; HOTSPOTS</t>
  </si>
  <si>
    <t>Concern for climate change has not yet been integrated in protocols for reserve selection. However if climate changes as projected, there is a possibility that current reserve-selection methods might provide solutions that are inadequate to ensure species' long-term persistence within reserves. We assessed, for the first time, the ability of existing reserve-selection methods to secure species in a climate-change context. Six methods using a different combination of criteria (representation, suitability and reserve clustering) are compared. The assessment is carried out using European distributions of 1200 plant species and considering two extreme scenarios of response to climate change: no dispersal and universal dispersal. With our data, 6-11% of species modelled would be potentially lost from selected reserves in a 50-year period. Measured uncertainties varied in 6% being 1-3% attributed to dispersal assumptions and 2-5% to the choice of reserve-selection method. Suitability approaches to reserve selection performed best, while reserve clustering performed poorly. We also found that 5% of species modelled would lose their entire climatic envelope in the studied area; 2% of the species modelled would have nonoverlapping distributions; 93% of the species modelled would maintain varying levels of overlapping distributions. We conclude there are opportunities to minimize species' extinctions within reserves but new approaches are needed to account for impacts of climate change on species; especially for those projected to have temporally nonoverlapping distributions.</t>
  </si>
  <si>
    <t>Univ Oxford, Sch Geog &amp; Environm, Oxford OX1 3SZ, England; Nat Hist Museum, Biogeog &amp; Conservat Lab, London SW7 5BD, England; Univ Evora, Macroecol &amp; Cnservat Unit, P-7000730 Evora, Portugal; Univ Helsinki, Dept Systemat &amp; Ecol, Helsinki, Finland; CNRS, Ctr Ecol Fonct &amp; Evolut, F-34293 Montpellier 5, France; Natl Bot Inst, Kirstenbosch Res Ctr, ZA-7735 Cape Town, South Africa; Conservat Int, Ctr Appl Biodivers Sci, Washington, DC USA</t>
  </si>
  <si>
    <t>University of Oxford; Natural History Museum London; University of Evora; University of Helsinki; Universite PSL; Ecole Pratique des Hautes Etudes (EPHE); Institut Agro; Montpellier SupAgro; CIRAD; Centre National de la Recherche Scientifique (CNRS); Institut de Recherche pour le Developpement (IRD); Universite Paul-Valery; Universite de Montpellier; Conservation International</t>
  </si>
  <si>
    <t>Araújo, MB (corresponding author), Univ Oxford, Sch Geog &amp; Environm, Mansfield Rd, Oxford OX1 3TB, England.</t>
  </si>
  <si>
    <t>mba@uevora.pt</t>
  </si>
  <si>
    <t>Bastos Araújo, Miguel/B-6117-2008; Cabeza, Mar/ABC-4297-2020; Thuiller, Wilfried/G-3283-2010</t>
  </si>
  <si>
    <t>Bastos Araújo, Miguel/0000-0002-5107-7265; Cabeza, Mar/0000-0002-7410-7631;</t>
  </si>
  <si>
    <t>SEP</t>
  </si>
  <si>
    <t>853HD</t>
  </si>
  <si>
    <t>WOS:000223817000017</t>
  </si>
  <si>
    <t>Peterson, AT; Martínez-Meyer, E; González-Salazar, C; Hall, PW</t>
  </si>
  <si>
    <t>Modeled climate change effects on distributions of Canadian butterfly species</t>
  </si>
  <si>
    <t>CANADIAN JOURNAL OF ZOOLOGY</t>
  </si>
  <si>
    <t>EUROPEAN HIGHER-PLANTS; GEOGRAPHIC DISTRIBUTIONS; BIOSPHERE MODEL; NICHE; CONSEQUENCES; RESPONSES; PATTERNS; RANGES</t>
  </si>
  <si>
    <t>Climate change effects on biodiversity are being documented now frequently in the form of changes in phenology and distributional shifts. However, the form that these effects will take over a longer timespan is unclear; for this understanding, a quantitative, validated, predictive approach is key. Here, we use ecological niche modeling and general circulation model outputs to estimate future potential geographic distributions of 111 Canadian butterfly species. We develop future estimates under two emission scenarios from each of two climate change modeling centers; future projections for biodiversity are not only scenario dependent (more severe emission scenarios produce more severe effects on species' distributions) but also model dependent (the Canadian Centre for Climate Modelling and Analysis results were more severe than the Hadley Centre results). One interesting feature is the appearance of disjunctions in species' distributions, hence creating vicariant events over very short time periods. In general, however, a cost of 1%-3% additional loss of species' distributions is associated with more severe scenarios of emissions and climate change, suggesting that subtle biodiversity consequences are associated with the different climate futures debated in political circles.</t>
  </si>
  <si>
    <t>Univ Kansas, Nat Hist Museum, Lawrence, KS 66044 USA; Univ Kansas, Biodivers Res Ctr, Lawrence, KS 66044 USA; Univ Nacl Autonoma Mexico, Inst Biol, Mexico City 04510, DF, Mexico; World Conservat Monitoring Ctr, UN Environm Programme, Biodivers Informat Serv, Cambridge, England</t>
  </si>
  <si>
    <t>University of Kansas; University of Kansas; Universidad Nacional Autonoma de Mexico; United Nations Environment Programme</t>
  </si>
  <si>
    <t>Peterson, AT (corresponding author), Univ Kansas, Nat Hist Museum, Lawrence, KS 66044 USA.</t>
  </si>
  <si>
    <t>González-Salazar, Constantino/M-3913-2015; Martínez-Meyer, Enrique/AAZ-7352-2020; Peterson, A Townsend/I-5697-2013</t>
  </si>
  <si>
    <t>González-Salazar, Constantino/0000-0001-7347-714X; Martínez-Meyer, Enrique/0000-0003-1184-9264; Peterson, A Townsend/0000-0003-0243-2379</t>
  </si>
  <si>
    <t>CANADIAN SCIENCE PUBLISHING</t>
  </si>
  <si>
    <t>OTTAWA</t>
  </si>
  <si>
    <t>123 Slater Street, Suite 610, OTTAWA, ON K1P 5H2, CANADA</t>
  </si>
  <si>
    <t>0008-4301</t>
  </si>
  <si>
    <t>1480-3283</t>
  </si>
  <si>
    <t>CAN J ZOOL</t>
  </si>
  <si>
    <t>Can. J. Zool.</t>
  </si>
  <si>
    <t>10.1139/Z04-064</t>
  </si>
  <si>
    <t>Zoology</t>
  </si>
  <si>
    <t>855OI</t>
  </si>
  <si>
    <t>WOS:000223983200003</t>
  </si>
  <si>
    <t>Peck, LS; Webb, KE; Bailey, DM</t>
  </si>
  <si>
    <t>Extreme sensitivity of biological function to temperature in Antarctic marine species</t>
  </si>
  <si>
    <t>FUNCTIONAL ECOLOGY</t>
  </si>
  <si>
    <t>aerobic scope; Antarctic; bivalve; burrowing; climate change; ecological limit; extinction; mollusc; swimming; temperature</t>
  </si>
  <si>
    <t>THERMAL TOLERANCE; METABOLISM; PERFORMANCE; CAPACITIES; GROWTH</t>
  </si>
  <si>
    <t>1. Biological capacities to respond to changing environments dictate success or failure of populations and species over time. The major environmental feature in this context is often temperature, and organisms across the planet vary widely in their capacity to cope with temperature variation. With very few exceptions, Antarctic marine species are more sensitive to temperature variation than marine groups elsewhere, having survivable temperature envelopes between 5degreesC and 12degreesC above the minimum sea temperature of -2degreesC. 2. Our findings show that in biological functions important to long-term survival these animals are even more tightly constrained. The Antarctic bivalve mollusc Laternula elliptica and limpet Nacella concinna both survive a few days in experiments at 9-10degreesC, but suffer 50% failure in essential biological activities at 2-3degreesC and complete loss at 5degreesC. The Antarctic scallop Adamussium colbecki is even more sensitive, and loses the ability to swim as temperature approaches 2degreesC. 3. These failures of activity are caused by a loss of aerobic capacity, and the animals investigated are so sensitive that a 2degreesC rise in sea temperature could cause population or species removal from the Southern Ocean.</t>
  </si>
  <si>
    <t>British Antarctic Survey, NERC, Cambridge CB3 0ET, England; Univ Aberdeen, Oceanlab, Newburgh AB41 6AA, Aberdeen, Scotland</t>
  </si>
  <si>
    <t>UK Research &amp; Innovation (UKRI); Natural Environment Research Council (NERC); NERC British Antarctic Survey; University of Aberdeen</t>
  </si>
  <si>
    <t>Peck, LS (corresponding author), British Antarctic Survey, NERC, High Cross,Madingley Rd, Cambridge CB3 0ET, England.</t>
  </si>
  <si>
    <t>l.peck@bas.ac.uk</t>
  </si>
  <si>
    <t>Webb, Karen/A-5977-2010; Bailey, David/A-6240-2008</t>
  </si>
  <si>
    <t>Bailey, David/0000-0002-0824-8823</t>
  </si>
  <si>
    <t>0269-8463</t>
  </si>
  <si>
    <t>1365-2435</t>
  </si>
  <si>
    <t>FUNCT ECOL</t>
  </si>
  <si>
    <t>Funct. Ecol.</t>
  </si>
  <si>
    <t>855UR</t>
  </si>
  <si>
    <t>Green Accepted, Bronze</t>
  </si>
  <si>
    <t>WOS:000224000900001</t>
  </si>
  <si>
    <t>Miles, L; Grainger, A; Phillips, O</t>
  </si>
  <si>
    <t>The impact of global climate change on tropical forest biodiversity in Amazonia</t>
  </si>
  <si>
    <t>Amazonia; biodiversity mapping; biodiversity scenarios; biodiversity trends; climate change modelling; conservation planning; spatial interpolation; tropical forest</t>
  </si>
  <si>
    <t>WOODY-PLANTS; TREE; POLLINATION; DISPERSAL; DIVERSITY; CONSERVATION; RESPONSES; TURNOVER; DYNAMICS; RATES</t>
  </si>
  <si>
    <t>Aim To model long-term trends in plant species distributions in response to predicted changes in global climate. Location Amazonia. Methods The impacts of expected global climate change on the potential and realized distributions of a representative sample of 69 individual Angiosperm species in Amazonia were simulated from 1990 to 2095. The climate trend followed the HADCM2GSa1 scenario, which assumes an annual 1% increase of atmospheric CO2 content with effects mitigated by sulphate forcing. Potential distributions of species in one-degree grid cells were modelled using a suitability index and rectilinear envelope based on bioclimate variables. Realized distributions were additionally limited by spatial contiguity with, and proximity to, known record sites. A size-structured population model was simulated for each cell in the realized distributions to allow for lags in response to climate change, but dispersal was not included. Results In the resulting simulations, 43% of all species became non-viable by 2095 because their potential distributions had changed drastically, but there was little change in the realized distributions of most species, owing to delays in population responses. Widely distributed species with high tolerance to environmental variation exhibited the least response to climate change, and species with narrow ranges and short generation times the greatest. Climate changed most in north-east Amazonia while the best remaining conditions for lowland moist forest species were in western Amazonia. Main conclusions To maintain the greatest resilience of Amazonian biodiversity to climate change as modelled by HADCM2GSa1, highest priority should be given to strengthening and extending protected areas in western Amazonia that encompass lowland and montane forests.</t>
  </si>
  <si>
    <t>Univ Leeds, Sch Geog, Leeds LS2 9JT, W Yorkshire, England</t>
  </si>
  <si>
    <t>University of Leeds</t>
  </si>
  <si>
    <t>Miles, L (corresponding author), Univ Leeds, Sch Geog, Leeds LS2 9JT, W Yorkshire, England.</t>
  </si>
  <si>
    <t>lera.miles@unep-wcmc.org</t>
  </si>
  <si>
    <t>Miles, Lera/C-7334-2009; Phillips, Oliver/A-1523-2011</t>
  </si>
  <si>
    <t>Miles, Lera/0000-0003-0377-5904; Phillips, Oliver/0000-0002-8993-6168</t>
  </si>
  <si>
    <t>864QM</t>
  </si>
  <si>
    <t>WOS:000224648000008</t>
  </si>
  <si>
    <t>["South America"]</t>
  </si>
  <si>
    <t>Parra-Olea, G; Martínez-Meyer, E; de León, GFP</t>
  </si>
  <si>
    <t>Forecasting climate change effects on salamander distribution in the highlands of central Mexico</t>
  </si>
  <si>
    <t>BIOTROPICA</t>
  </si>
  <si>
    <t>amphibian decline; climate change; ecological niche modeling; Mexico; Plethodonrid salamanders; Pseudoeurycea cephalica; Pseudoeurycea leprosa</t>
  </si>
  <si>
    <t>SPECIES GEOGRAPHIC DISTRIBUTIONS; POTENTIAL DISTRIBUTION; POPULATION; MODELS; SHIFTS; PLETHODONTIDAE; PREDICTIONS; PROJECTIONS; RADIATION; DECLINES</t>
  </si>
  <si>
    <t>A generalized decline of amphibian populations is occurring worldwide. The causes for such a decline are not completely understood; however, climate change has been identified as a possible cause for amphibian extinction, among others. Ecological niche modeling has proven to be a useful tool to predict potential distribution of species in the context of climatic changes. In this paper, we used the Genetic Algorithm for Rule-set Prediction (GARP) to model the potential distributions of two species of plethodontid salamanders: Pseudoeurycea cephalica and P leprosa. We projected their potential distributions under climatic scenarios expected in 50 yr based on a conservative scenario of global climate change and assuming a moderate dispersal ability for both species. Our analyses suggest that climate change effects may pose an additional long-term risk to both species of plethodontid salamanders, with a more dramatic scenario in the case of P leprosa. By the year 2050, this species may lose almost 75 percent of its distributional area, and this projection is even worse when deforestation (in the way it is occurring at present) is considered within the predicted model. Our results concur with those obtained for species with limited dispersal capability because they do not track changing climates, but rather face a loss of distributional area. The survival of these species is not secure, even though their potential distributional area falls within a considerable number of natural protected areas.</t>
  </si>
  <si>
    <t>Univ Nacl Autonoma Mexico, Inst Biol, Dept Zool, Mexico City 04510, DF, Mexico</t>
  </si>
  <si>
    <t>Universidad Nacional Autonoma de Mexico</t>
  </si>
  <si>
    <t>Parra-Olea, G (corresponding author), Univ Nacl Autonoma Mexico, Inst Biol, Dept Zool, AP 70-153, Mexico City 04510, DF, Mexico.</t>
  </si>
  <si>
    <t>gparra@ibiologia.unam.mx</t>
  </si>
  <si>
    <t>Martínez-Meyer, Enrique/AAZ-7352-2020; Pérez-Ponce de León, Gerardo/U-3869-2017</t>
  </si>
  <si>
    <t>Martínez-Meyer, Enrique/0000-0003-1184-9264; Pérez-Ponce de León, Gerardo/0000-0001-6472-5113</t>
  </si>
  <si>
    <t>0006-3606</t>
  </si>
  <si>
    <t>1744-7429</t>
  </si>
  <si>
    <t>Biotropica</t>
  </si>
  <si>
    <t>929ON</t>
  </si>
  <si>
    <t>WOS:000229355500007</t>
  </si>
  <si>
    <t>["Amphibia"]</t>
  </si>
  <si>
    <t>Thuiller, W; Lavorel, S; Araújo, MB; Sykes, MT; Prentice, IC</t>
  </si>
  <si>
    <t>Climate change threats to plant diversity in Europe</t>
  </si>
  <si>
    <t>PROCEEDINGS OF THE NATIONAL ACADEMY OF SCIENCES OF THE UNITED STATES OF AMERICA</t>
  </si>
  <si>
    <t>Intergovernmental Panel on Climate Change storylines; species extinction; species turnover; niche-based model</t>
  </si>
  <si>
    <t>SPECIES DISTRIBUTIONS; ECOLOGICAL NICHES; MODEL; PROJECTIONS; VEGETATION; SHIFTS</t>
  </si>
  <si>
    <t>Climate change has already triggered species distribution shifts in many parts of the world. Increasing impacts are expected for the future, yet few studies have aimed for a general understanding of the regional basis for species vulnerability. We projected late 21st century distributions for 1,350 European plants species under seven climate change scenarios. Application of the International Union for Conservation of Nature and Natural Resources Red List criteria to our projections shows that many European plant species could become severely threatened. More than half of the species we studied could be vulnerable or threatened by 2080. Expected species loss and turnover per pixel proved to be highly variable across scenarios (27-42% and 45-63% respectively, averaged over Europe) and across regions (2.5-86% and 17-86%, averaged over scenarios). Modeled species loss and turnover were found to depend strongly on the degree of change in just two climate variables describing temperature and moisture conditions. Despite the coarse scale of the analysis, species from mountains could be seen to be disproportionably sensitive to climate change (approximate to 60% species loss). The boreal region was projected to lose few species, although gaining many others from immigration. The greatest changes are expected in the transition between the Mediterranean and Euro-Siberian regions. We found that risks of extinction for European plants may be large, even in moderate scenarios of climate change and despite inter-model variability.</t>
  </si>
  <si>
    <t>CNRS, UMR 5175, Ctr Ecol Fonct &amp; Evolut, F-34293 Montpellier, France; Natl Bot Res Inst, Kirstenbosch Res Ctr, Climate Change Res Grp, ZA-7735 Cape Town, South Africa; Univ Evora, Macroecol &amp; Conservat Unit, P-7000730 Evora, Portugal; CNRS, UMR 5553, Lab Ecol Alpine, F-38041 Grenoble, France; Univ Oxford, Sch Geog &amp; Environm, Biodivers Res Grp, Oxford OX1 3TB, England; Lund Univ, Dept Phys Geog &amp; Ecosyst Anal, Geobiosphere Sci Ctr, S-22362 Lund, Sweden; Univ Bristol, Dept Earth Sci, QUEST, Bristol BS8 1RJ, Avon, England</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</si>
  <si>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University of Evora; Communaute Universite Grenoble Alpes; Universite Grenoble Alpes (UGA); Centre National de la Recherche Scientifique (CNRS); Universite Savoie Mont Blanc; CNRS - Institute of Ecology &amp; Environment (INEE); University of Oxford; Lund University; University of Bristol</t>
  </si>
  <si>
    <t>Thuiller, W (corresponding author), CNRS, UMR 5175, Ctr Ecol Fonct &amp; Evolut, 1919 Route Mende, F-34293 Montpellier, France.</t>
  </si>
  <si>
    <t>thuiller@sanbi.org</t>
  </si>
  <si>
    <t>Lavorel, Sandra/AGM-2903-2022; Bastos Araújo, Miguel/B-6117-2008; Thuiller, Wilfried/G-3283-2010</t>
  </si>
  <si>
    <t>Bastos Araújo, Miguel/0000-0002-5107-7265;</t>
  </si>
  <si>
    <t>NATL ACAD SCIENCES</t>
  </si>
  <si>
    <t>WASHINGTON</t>
  </si>
  <si>
    <t>2101 CONSTITUTION AVE NW, WASHINGTON, DC 20418 USA</t>
  </si>
  <si>
    <t>0027-8424</t>
  </si>
  <si>
    <t>1091-6490</t>
  </si>
  <si>
    <t>P NATL ACAD SCI USA</t>
  </si>
  <si>
    <t>Proc. Natl. Acad. Sci. U. S. A.</t>
  </si>
  <si>
    <t>JUN 7</t>
  </si>
  <si>
    <t>933RL</t>
  </si>
  <si>
    <t>WOS:000229650500032</t>
  </si>
  <si>
    <t>Shoo, LP; Williams, SE; Hero, JM</t>
  </si>
  <si>
    <t>Climate warming and the rainforest birds of the Australian Wet Tropics: Using abundance data as a sensitive predictor of change in total population size</t>
  </si>
  <si>
    <t>climate change; abundance; altitudinal gradient; range shift; population size; rainforest birds</t>
  </si>
  <si>
    <t>COMPARATIVE PHYLOGEOGRAPHY; AMAZONIAN FORESTS; NORTH QUEENSLAND; EXTINCTION RISK; RANGE MARGINS; ANDEAN BIRDS; RESPONSES; BUTTERFLIES; COMPETITION; IMPACTS</t>
  </si>
  <si>
    <t>Global average surface temperatures have increased rapidly over the last 100 years and there is accumulating evidence that climate change is already causing shifts in species' distributions. We use extensive abundance data and expected range shifts across altitudinal gradients to predict changes in total population size of rainforest birds of Australian tropical rainforests in response to climate warming. According to our most conservative model scenario, 74% of rainforest birds of north-eastern Australia are predicted to become threatened (including 26 critically endangered species) as a result of projected mid-range warming expected within the next 100 years. Extinction risk varies according to where along the altitudinal gradient a species is currently most abundant. Upland birds are most affected and are likely to be immediately threatened by even small increases in temperature. In contrast, there is a capacity for the population size of lowland species to increase, at least in the short term. We conclude that abundance data collected across climatic gradients will be fundamental to gaining an understanding of population size change associated with climate warming. (c) 2005 Elsevier Ltd. All rights reserved.</t>
  </si>
  <si>
    <t>Griffith Univ, Sch Environm &amp; Appl Sci, Bundall, Qld 9726, Australia; James Cook Univ N Queensland, Sch Trop Biol, Townsville, Qld 4811, Australia</t>
  </si>
  <si>
    <t>Griffith University; James Cook University</t>
  </si>
  <si>
    <t>Shoo, LP (corresponding author), Griffith Univ, Sch Environm &amp; Appl Sci, PMB 50 Gold Coast Mail Ctr, Bundall, Qld 9726, Australia.</t>
  </si>
  <si>
    <t>l.shoo@griffith.edu.au</t>
  </si>
  <si>
    <t>Hero, Jean-Marc/A-4257-2010; Shoo, Luke/A-2715-2009; Willia, Stephen/A-7250-2008</t>
  </si>
  <si>
    <t>Willia, Stephen/0000-0002-2510-7408</t>
  </si>
  <si>
    <t>THE BOULEVARD, LANGFORD LANE, KIDLINGTON, OXFORD OX5 1GB, OXON, ENGLAND</t>
  </si>
  <si>
    <t>943MK</t>
  </si>
  <si>
    <t>WOS:000230357900006</t>
  </si>
  <si>
    <t>Beaumont, LJ; Hughes, L; Poulsen, M</t>
  </si>
  <si>
    <t>Predicting species distributions: use of climatic parameters in BIOCLIM and its impact on predictions of species' current and future distributions</t>
  </si>
  <si>
    <t>BIOCLIM; bioclimatic envelope; butterflies; climate change; predictive modeling; range shifts</t>
  </si>
  <si>
    <t>GEOGRAPHIC DISTRIBUTIONS; DISTRIBUTION MODELS; POTENTIAL IMPACTS; ENVELOPE MODELS; SOUTH-AMERICA; GLOBAL CHANGE; AUSTRALIA; BIRDS; VULNERABILITY; CONSERVATION</t>
  </si>
  <si>
    <t>Bioclimatic models are widely used tools for assessing potential responses of species to climate change. One commonly used model is BIOCLIM, which summarises up to 35 climatic parameters throughout a species' known range, and assesses the climatic suitability of habitat under current and future climate scenarios. A criticism of BIOCLIM is that the use of all 35 parameters may lead to over-fitting of the model, which in turn may result in misrepresentations of species' potential ranges and to the loss of biological reality. In this study, we investigated how different methods of combining climatic parameters in BIOCLIM influenced predictions of the current distributions of 25 Australian butterflies species. Distributions were modeled using three previously used methods of selecting climatic parameters: (i) the full set of 35 parameters, (ii) a customised selection of the most relevant parameters for individual species based on analysing histograms produced by BIOCLIM, which show the values for each parameter at all of the focal species known locations, and (iii) a subset of 8 parameters that may generally influence the distributions of butter-flies. We also modeled distributions based on random selections of parameters. Further, we assessed the extent to which parameter choice influenced predictions of the magnitude and direction of range changes under two climate change scenarios for 2020. We found that the size of predicted distributions was negatively correlated with the number of parameters incorporated in the model, with progressive addition of parameters resulting in progressively narrower potential distributions. There was also redundancy amongst some parameters; distributions produced using all 35 parameters were on average half the size of distributions produced using only 6 parameters. The selection of parameters via histogram analysis was influenced, to an extent, by the number of location records for the focal species. Further, species inhabiting different biogeographical zones may have different sets of climatic parameters limiting their distributions; hence, the appropriateness of applying the same subset of parameters to all species may be reduced under these situations. Under future climates, most species were predicted to suffer range reductions regardless of the scenario used and the method of parameter selection. Although the size of predicted distributions varied considerably depending on the method of selecting parameters, there were no significant differences in the proportional change in range size between the three methods: under the worst-case scenario, species' distributions decrease by an average of 12.6, 11.4, and 15.7%, using all parameters, the 'customised set', and the 'general set' of parameters, respectively. However, depending on which method of selecting parameters was used, the direction of change was reversed for two species under the worst-case climate change scenario, and for six species under the best-case scenario (out of a total of 25 species). These results suggest that when averaged over multiple species, the proportional loss or gain of climatically suitable habitat is relatively insensitive to the number of parameters used to predict distributions with BIOCLIM. However, when measuring the response of specific species or the actual size of distributions, the number of parameters is likely to be critical. (c) 2005 Elsevier B.V. All rights reserved.</t>
  </si>
  <si>
    <t>Macquarie Univ, Sch Biol Sci, N Ryde, NSW 2109, Australia; Macquarie Univ, Dept Human Geog, N Ryde, NSW 2109, Australia</t>
  </si>
  <si>
    <t>Macquarie University; Macquarie University</t>
  </si>
  <si>
    <t>Beaumont, LJ (corresponding author), Macquarie Univ, Sch Biol Sci, N Ryde, NSW 2109, Australia.</t>
  </si>
  <si>
    <t>lbeaumon@ma.bio.mq.edu.au</t>
  </si>
  <si>
    <t>; Beaumont, Linda/D-5499-2012</t>
  </si>
  <si>
    <t>Hughes, Lesley/0000-0003-0313-9780; Beaumont, Linda/0000-0001-6307-1680</t>
  </si>
  <si>
    <t>AUG 10</t>
  </si>
  <si>
    <t>947IJ</t>
  </si>
  <si>
    <t>WOS:000230636400008</t>
  </si>
  <si>
    <t>Chu, C; Mandrak, NE; Minns, CK</t>
  </si>
  <si>
    <t>Potential impacts of climate change on the distributions of several common and rare freshwater fishes in Canada</t>
  </si>
  <si>
    <t>DIVERSITY AND DISTRIBUTIONS</t>
  </si>
  <si>
    <t>climate change; distribution; freshwater fishes; Micropterus dolomieu; Notropis anogenus; Salvelinus alpinus; Salvelinus fontinalis; Sander vitreus; species at risk</t>
  </si>
  <si>
    <t>GREAT-LAKES; ONTARIO; HABITAT; MODELS; ASSEMBLAGES; ICE</t>
  </si>
  <si>
    <t>Climate change will ultimately affect the supply and quality of freshwater lakes and rivers throughout the world. This study examines the potential impacts of climate change on freshwater fish distributions in Canada. Climate normals data (means from 1961 to 1990) from Environment Canada were used to map current climate found throughout the tertiary watersheds of Canada. Logistic regressions based on these climate data were used to develop predictive presence-absence equations for (a) common commercially and recreationally important species and (b) an Arctic freshwater species and a freshwater fish species of conservation significance listed by the Committee on the Status of Endangered Wildlife (COSEWIC). The Canadian Centre for Climate Modelling and Analysis Global Coupled Model 2(IS92a) provided forecasts of Canada's climate in 2020 and 2050. The data from this scenario and the logistic regressions provided a ready framework for predicting the potential distributions of the fishes. Physical and ecological barriers would have to be overcome for the distribution of these species to actually change in response to climate change. Generally, coldwater species may be extirpated from much of their present range while cool and warm-water species may expand northward. Species that are limited to the most southern regions of the country may expand northwards. A conceptual framework for assessing potential climate change impacts on fishes and the variety of management strategies required to deal with these impacts are discussed. Our forecasts demonstrate the need for climate change assessments in species at risk as well as for common species.</t>
  </si>
  <si>
    <t>Fisheries &amp; Oceans Canada, Lab Fisheries &amp; Aquat Sci, Bayfield Inst, Burlington, ON L7R 4A6, Canada</t>
  </si>
  <si>
    <t>Fisheries &amp; Oceans Canada</t>
  </si>
  <si>
    <t>Chu, C (corresponding author), Fisheries &amp; Oceans Canada, Lab Fisheries &amp; Aquat Sci, Bayfield Inst, 867 Lakeshore Rd,POB 5050, Burlington, ON L7R 4A6, Canada.</t>
  </si>
  <si>
    <t>chuc_may05@yahoo.ca</t>
  </si>
  <si>
    <t>Minns, Charles/GYU-2209-2022; Chu, Cindy/C-9091-2009</t>
  </si>
  <si>
    <t>Chu, Cindy/0000-0002-1914-3218</t>
  </si>
  <si>
    <t>1366-9516</t>
  </si>
  <si>
    <t>DIVERS DISTRIB</t>
  </si>
  <si>
    <t>Divers. Distrib.</t>
  </si>
  <si>
    <t>949KI</t>
  </si>
  <si>
    <t>hybrid</t>
  </si>
  <si>
    <t>WOS:000230784400004</t>
  </si>
  <si>
    <t>McClean, CJ; Lovett, JC; Küper, W; Hannah, L; Sommer, JH; Barthlott, W; Termansen, M; Smith, GE; Tokamine, S; Taplin, JRD</t>
  </si>
  <si>
    <t>African plant diversity and climate change</t>
  </si>
  <si>
    <t>ANNALS OF THE MISSOURI BOTANICAL GARDEN</t>
  </si>
  <si>
    <t>Africa; biodiversity; climate change; conservation; extinction; Global Strategy for Plant Conservation (GSPC); Important Plant Areas</t>
  </si>
  <si>
    <t>BIODIVERSITY; CONSERVATION; VEGETATION; FORESTS; MODELS; FIRE; PALEOENVIRONMENTS; ENVELOPE; IMPACTS; AREAS</t>
  </si>
  <si>
    <t>International goals have been set to protect global plant diversity and limit ecosystem damage due to climate change, but large-scale effects of changing climate on species distributions have yet to be fully considered in conservation efforts. For sub-Saharan Africa we study the shifts in climatically suitable areas for 5197 African plant species under future climate models for the years 2025, 2055, and 2085 generated by the Hadley Centers third generation coupled ocean-atmosphere General Circulation Model. We use three species distribution models, a Box model, a simple genetic algorithm, and a Bayes-based genetic algorithm. The results show major shifts in areas suitable for most species with large geographical changes in species composition. The areas of suitable climate for 81%-97% of the 5197 African plant species are projected to decrease in size and/or shift in location, many to higher altitudes, and 25%-42% are projected to lose all of their area by 2085. In particular, the models indicate dramatic change in the Guineo-Congolian forests, mirroring proposed ecological dynamics in the past. Although these models are preliminary and may overestimate potential extinctions, they suggest that efforts to protect African plant diversity should take future climate-forced distribution changes into account.</t>
  </si>
  <si>
    <t>Univ York, Ctr Ecol Law &amp; Policy, Dept Environm, York YO10 5DD, N Yorkshire, England; Univ Bonn, Nees Inst Biodivers Plants, D-53115 Bonn, Germany; Conservat Int, Ctr Appl Biodivers Sci, Washington, DC 20036 USA; S African Natl Biodivers Inst, Pretoria, South Africa; Univ Pretoria, Dept Bot, Herbarium, ZA-0002 Pretoria, South Africa</t>
  </si>
  <si>
    <t>University of York - UK; University of Bonn; Conservation International; South African National Biodiversity Institute; University of Pretoria</t>
  </si>
  <si>
    <t>McClean, CJ (corresponding author), Univ York, Ctr Ecol Law &amp; Policy, Dept Environm, York YO10 5DD, N Yorkshire, England.</t>
  </si>
  <si>
    <t>Smith, Gideon/0000-0002-5417-9208</t>
  </si>
  <si>
    <t>MISSOURI BOTANICAL GARDEN</t>
  </si>
  <si>
    <t>ST LOUIS</t>
  </si>
  <si>
    <t>4344 Shaw Blvd, ST LOUIS, MO 63110 USA</t>
  </si>
  <si>
    <t>0026-6493</t>
  </si>
  <si>
    <t>2162-4372</t>
  </si>
  <si>
    <t>ANN MO BOT GARD</t>
  </si>
  <si>
    <t>Ann. Mo. Bot. Gard.</t>
  </si>
  <si>
    <t>Plant Sciences</t>
  </si>
  <si>
    <t>951RP</t>
  </si>
  <si>
    <t>WOS:000230948700001</t>
  </si>
  <si>
    <t>Bomhard, B; Richardson, DM; Donaldson, JS; Hughes, GO; Midgley, GF; Raimondo, DC; Rebelo, AG; Rouget, M; Thuiller, W</t>
  </si>
  <si>
    <t>Potential impacts of future land use and climate change on the Red List status of the Proteaceae in the Cape Floristic Region, South Africa</t>
  </si>
  <si>
    <t>biodiversity conservation; Cape Floristic Region; climate change; extinction risk; IUCN Red List; land use change; niche-based models; Proteaceae; threatened species</t>
  </si>
  <si>
    <t>BIOCLIMATE ENVELOPE MODELS; INVASIVE ALIEN PLANTS; EXTINCTION RISK; QUANTIFYING THREATS; PROTECTED AREAS; RANGE SHIFTS; BIODIVERSITY; CONSERVATION; PATTERNS; CONFIGURATION</t>
  </si>
  <si>
    <t>Using spatial predictions of future threats to biodiversity, we assessed for the first time the relative potential impacts of future land use and climate change on the threat status of plant species. We thus estimated how many taxa could be affected by future threats that are usually not included in current IUCN Red List assessments. Here, we computed the Red List status including future threats of 227 Proteaceae taxa endemic to the Cape Floristic Region, South Africa, and compared this with their Red List status excluding future threats. We developed eight different land use and climate change scenarios for the year 2020, providing a range of best- to worst-case scenarios. Four scenarios include only the effects of future land use change, while the other four also include the impacts of projected anthropogenic climate change (HadCM2 IS92a GGa), using niche-based models. Up to a third of the 227 Proteaceae taxa are uplisted (become more threatened) by up to three threat categories if future threats as predicted for 2020 are included, and the proportion of threatened Proteaceae taxa rises on average by 9% (range 2-16%), depending on the scenario. With increasing severity of the scenarios, the proportion of Critically Endangered taxa increases from about 1% to 7% and almost 2% of the 227 Proteaceae taxa become Extinct because of climate change. Overall, climate change has the most severe effects on the Proteaceae, but land use change also severely affects some taxa. Most of the threatened taxa occur in low-lying coastal areas, but the proportion of threatened taxa changes considerably in inland mountain areas if future threats are included. Our approach gives important insights into how, where and when future threats could affect species persistence and can in a sense be seen as a test of the value of planned interventions for conservation.</t>
  </si>
  <si>
    <t>S African Natl Biodivers Inst, Kirstenbosch Res Ctr, ZA-7735 Claremont, South Africa; Univ Cape Town, Percy Fitzpatrick Inst African Ornithol, ZA-7701 Rondebosch, South Africa; Univ Stellenbosch, Ctr Invas Biol, ZA-7602 Matieland, South Africa; Univ Cape Town, Leslie Hill Inst Plant Conservat, ZA-7701 Rondebosch, South Africa; Ctr Appl Biodivers Sci, Conservat Int, Washington, DC 20036 USA</t>
  </si>
  <si>
    <t>South African National Biodiversity Institute; University of Cape Town; Stellenbosch University; University of Cape Town; Conservation International</t>
  </si>
  <si>
    <t>Bomhard, B (corresponding author), Brucher Haeuschen 79, D-42109 Wuppertal, Germany.</t>
  </si>
  <si>
    <t>BastianBomhard@yahoo.com</t>
  </si>
  <si>
    <t>; Midgley, Guy/H-3585-2014; Richardson, David/A-1495-2008; Thuiller, Wilfried/G-3283-2010; Donaldson, John/F-6833-2011; Richardson, David/A-1495-2008; Rouget, Mathieu/B-7249-2008</t>
  </si>
  <si>
    <t>Raimondo, Domitilla/0000-0003-3998-752X; Midgley, Guy/0000-0001-8264-0869; Richardson, David/0000-0001-9574-8297; Donaldson, John/0000-0002-7930-1695; Richardson, David/0000-0001-9574-8297; Rouget, Mathieu/0000-0002-6172-3152; Bertzky, Bastian/0000-0001-7025-4733</t>
  </si>
  <si>
    <t>957TR</t>
  </si>
  <si>
    <t>WOS:000231396700005</t>
  </si>
  <si>
    <t>Kueppers, LM; Snyder, MA; Sloan, LC; Zavaleta, ES; Fulfrost, B</t>
  </si>
  <si>
    <t>Modeled regional climate change and California endemic oak ranges</t>
  </si>
  <si>
    <t>Quercus douglasii; species range displacement; Quercus lobata; regional climate model; conservation</t>
  </si>
  <si>
    <t>QUERCUS-DOUGLASII SEEDLINGS; WESTERN UNITED-STATES; BLUE OAK; CHANGE SCENARIOS; SURFACE CLIMATE; SPATIAL SCALE; SOIL-WATER; IMPACTS; DISTRIBUTIONS; POPULATIONS</t>
  </si>
  <si>
    <t>In the coming century, anthropogenic climate change will threaten the persistence of restricted endemic species, complicating conservation planning. Although most efforts to quantify potential shifts in species' ranges use global climate model (GCM) output, regional climate model (RCM) output may be better suited to predicting shifts by restricted species, particularly in regions with complex topography or other regionally important climate-forcing factors. Using a RCM-based future climate scenario, we found that potential ranges of two California endemic oaks, Quercus douglasii and Quercus lobata, shrink considerably (to 59% and 54% of modern potential range sizes, respectively) and shift northward. This result is markedly different from that obtained by using a comparable GCM-based scenario, under which these species retain 81% and 73% of their modern potential range sizes, respectively. The difference between RCM- and GCM-based scenarios is due to greater warming and larger precipitation decreases during the growing season predicted by the RCM in these species' potential ranges. Based on the modeled regional climate change, &lt; 50% of protected land area currently containing these species is expected to contain them under a future midrange business-as-usual path of greenhouse gas emissions.</t>
  </si>
  <si>
    <t>Univ Calif Santa Cruz, Dept Earth Sci, Santa Cruz, CA 95064 USA; Univ Calif Santa Cruz, Dept Environm Studies, Santa Cruz, CA 95064 USA</t>
  </si>
  <si>
    <t>University of California System; University of California Santa Cruz; University of California System; University of California Santa Cruz</t>
  </si>
  <si>
    <t>Kueppers, LM (corresponding author), Univ Calif Santa Cruz, Dept Earth Sci, 1156 High St, Santa Cruz, CA 95064 USA.</t>
  </si>
  <si>
    <t>kueppers@es.ucsc.edu</t>
  </si>
  <si>
    <t>Snyder, Mark/KIH-9046-2024; Kueppers, Lara/M-8323-2013</t>
  </si>
  <si>
    <t>Snyder, Mark/0000-0001-8242-7697; Kueppers, Lara/0000-0002-8134-3579</t>
  </si>
  <si>
    <t>NOV 8</t>
  </si>
  <si>
    <t>984DW</t>
  </si>
  <si>
    <t>WOS:000233283700029</t>
  </si>
  <si>
    <t>Thuiller, W; Lavorel, S; Sykes, MT; Araújo, MB</t>
  </si>
  <si>
    <t>Using niche-based modelling to assess the impact of climate change on tree functional diversity in Europe</t>
  </si>
  <si>
    <t>climate change; functional diversity; niche-based models; species richness</t>
  </si>
  <si>
    <t>SPECIES DISTRIBUTIONS; EXTINCTION RISK; PLANT TRAITS; ECOSYSTEM; VEGETATION; RANGE; CONSEQUENCES; BIODIVERSITY; RESPONSES; DYNAMICS</t>
  </si>
  <si>
    <t>Rapid anthropogenic climate change is already affecting species distributions and ecosystem functioning worldwide. We applied niche-based models to analyse the impact of climate change on tree species and functional diversity in Europe. Present-day climate was used to predict the distributions of 122 tree species from different functional types (FT). We then explored projections of future distributions under one climate scenario for 2080, considering two alternative dispersal assumptions: no dispersal and unlimited dispersal. The species-rich broadleaved deciduous group appeared to play a key role in the future of different European regions. Temperate areas were projected to lose both species richness and functional diversity due to the loss of broadleaved deciduous trees. These were projected to migrate to boreal forests, thereby increasing their species richness and functional diversity. Atlantic areas provided an intermediate case, with a predicted reduction in the numbers of species and occasional predicted gains in functional diversity. This resulted from a loss in species within the broadleaved deciduous FT, but overall maintenance of the group. Our results illustrate the fact that both species-specific predictions and functional patterns should be examined separately in order to assess the impacts of climate change on biodiversity and gain insights into future ecosystem functioning.</t>
  </si>
  <si>
    <t>Univ Grenoble 1, CNRS, Lab Ecol Alpine, F-38041 Grenoble, France; CNRS, Ctr Ecol Fonct &amp; Evolut, F-34293 Montpellier, France; S African Natl Biodivers Inst, Kirstenbosch Res Ctr, Climate Change Res Grp, ZA-7735 Cape Town, South Africa; Univ Evora, Macroecol &amp; Conservat Unit, P-7000730 Evora, Portugal; Lund Univ, Dept Phys Geog &amp; Ecosyst Anal, Geobiosphere Sci Ctr, S-22362 Lund, Sweden; Univ Oxford, Sch Geog &amp; Environm, Biodivers Res Grp, Oxford OX1 3TB, England; CSIC, Natl Museum Nat Sci, Dept Biodivers &amp; Evolutionary Biol, E-28006 Madrid, Spain</t>
  </si>
  <si>
    <t>Communaute Universite Grenoble Alpes; Universite Grenoble Alpes (UGA); Centre National de la Recherche Scientifique (CNRS); Universite Savoie Mont Blanc; Universite PSL; Ecole Pratique des Hautes Etudes (EPHE); Institut Agro; Montpellier SupAgro; CIRAD; Centre National de la Recherche Scientifique (CNRS); Institut de Recherche pour le Developpement (IRD); Universite Paul-Valery; Universite de Montpellier; South African National Biodiversity Institute; University of Evora; Lund University; University of Oxford; Consejo Superior de Investigaciones Cientificas (CSIC)</t>
  </si>
  <si>
    <t>Thuiller, W (corresponding author), Univ Grenoble 1, CNRS, Lab Ecol Alpine, BP 53X, F-38041 Grenoble, France.</t>
  </si>
  <si>
    <t>Bastos Araújo, Miguel/B-6117-2008; Thuiller, Wilfried/G-3283-2010; Lavorel, Sandra/AGM-2903-2022</t>
  </si>
  <si>
    <t>1472-4642</t>
  </si>
  <si>
    <t>994JB</t>
  </si>
  <si>
    <t>WOS:000234026600006</t>
  </si>
  <si>
    <t>Bakkenes, M; Eickhout, B; Alkemade, R</t>
  </si>
  <si>
    <t>Impacts of different climate stabilisation scenarios on plant species in Europe</t>
  </si>
  <si>
    <t>GLOBAL ENVIRONMENTAL CHANGE-HUMAN AND POLICY DIMENSIONS</t>
  </si>
  <si>
    <t>biodiversity; climate change; stabilisation profiles; integrated assessment; scenario analysis</t>
  </si>
  <si>
    <t>VULNERABILITY; RESPONSES</t>
  </si>
  <si>
    <t>With the use of goals from the Convention on Biological Diversity we evaluated two climate stabilisation profiles on their merits for conservation of biodiversity.. comparing them with a baseline profile. Focusing on plant ecosystems at the pan-European level, we concluded that although a maximum global-mean temperature increase of 2 degrees C is likely to be met in a 550 ppmv CO2-equivalent stabilisation profile, large areas of ecosystems in Europe will be affected. Most of the impacts manifest themselves in northern countries with a high net increase of plant species, and in Mediterranean countries, with a decrease in the number of plant species and stable area. Other impacts are less robust, given the regional variation in climate results for different climate models. (c) 2005 Elsevier Ltd. All rights reserved.</t>
  </si>
  <si>
    <t>Netherlands Environm Assessment Agcy, RIVM, MNP, NL-3720 AH Bilthoven, Netherlands</t>
  </si>
  <si>
    <t>Netherlands National Institute for Public Health &amp; the Environment</t>
  </si>
  <si>
    <t>Bakkenes, M (corresponding author), Netherlands Environm Assessment Agcy, RIVM, MNP, POB 303, NL-3720 AH Bilthoven, Netherlands.</t>
  </si>
  <si>
    <t>Michel.Bakkenes@nmp.nl; Bas.Eickhout@mnp.nl</t>
  </si>
  <si>
    <t>Alkemade, Rob/U-3663-2017; Alkemade, R./U-3663-2017</t>
  </si>
  <si>
    <t>Alkemade, Rob/0000-0001-8761-1768;</t>
  </si>
  <si>
    <t>0959-3780</t>
  </si>
  <si>
    <t>1872-9495</t>
  </si>
  <si>
    <t>GLOBAL ENVIRON CHANG</t>
  </si>
  <si>
    <t>Glob. Environ. Change-Human Policy Dimens.</t>
  </si>
  <si>
    <t>Environmental Sciences; Environmental Studies; Geography</t>
  </si>
  <si>
    <t>Science Citation Index Expanded (SCI-EXPANDED); Social Science Citation Index (SSCI)</t>
  </si>
  <si>
    <t>Environmental Sciences &amp; Ecology; Geography</t>
  </si>
  <si>
    <t>013QP</t>
  </si>
  <si>
    <t>WOS:000235424500004</t>
  </si>
  <si>
    <t>Thuiller, W; Broennimann, O; Hughes, G; Alkemade, JRM; Midgley, GF; Corsi, F</t>
  </si>
  <si>
    <t>Vulnerability of African mammals to anthropogenic climate change under conservative land transformation assumptions</t>
  </si>
  <si>
    <t>Africa; climate change; extinction risk; IPCC storylines; land transformation; mammals; national parks; species distribution models</t>
  </si>
  <si>
    <t>BIOCLIMATE ENVELOPE MODELS; EUROPEAN HIGHER-PLANTS; SPECIES DISTRIBUTIONS; COMMUNITY DYNAMICS; MIGRATION RATES; DIVERSITY; RESPONSES; IMPACTS; HABITAT; SHIFTS</t>
  </si>
  <si>
    <t>Recent observations show that human-induced climate change (CC) and land transformation (LT) are threatening wildlife globally. Thus, there is a need to assess the sensitivity of wildlife on large spatial scales and evaluate whether national parks (NPs), a key conservation tools used to protect species, will meet their mandate under future CC and LT conditions. Here, we assess the sensitivity of 277 mammals at African scale to CC at 10' resolution, using static LT assumptions in a 'first-cut' estimate, in the absence of credible future LT trends. We examine the relationship between species' current distribution and macroclimatic variables using generalized additive models, and include LT indirectly as a filter. Future projections are derived using two CC scenarios (for 2050 and 2080) to estimate the spatial patterns of loss and gain in species richness that might ultimately result. We then apply the IUCN Red List criteria A3(c) of potential range loss to evaluate species sensitivity. We finally estimate the sensitivity of 141 NPs in terms of both species richness and turnover. Assuming no spread of species, 10-15% of the species are projected to fall within the critically endangered or extinct categories by 2050 and between 25% and 40% by 2080. Assuming unlimited species spread, less extreme results show proportions dropping to approximately 10-20% by 2080. Spatial patterns of richness loss and gain show contrasting latitudinal patterns with a westward range shift of species around the species-rich equatorial zone in central Africa, and an eastward shift in southern Africa, mainly because of latitudinal aridity gradients across these ecological transition zones. Xeric shrubland NPs may face significant richness losses not compensated by species influxes. Other NPs might expect substantial losses and influxes of species. On balance, the NPs might ultimately realize a substantial shift in the mammalian species composition of a magnitude unprecedented in recent geological time. To conclude, the effects of global CC and LT on wildlife communities may be most noticeable not as a loss of species from their current ranges, but instead as a fundamental change in community composition.</t>
  </si>
  <si>
    <t>Univ Grenoble 1, CNRS, UMR 5553, Lab Ecol Alpine, F-38041 Grenoble 9, France; S African Natl Biodivers Inst, Global Change Res Grp, ZA-7735 Cape Town, South Africa; Univ Lausanne, Lab Biol Conservat, CH-1015 Lausanne, Switzerland; Netherlands Environm Assessment Agcy, MNP RIVM, NL-3720 AH Bilthoven, Netherlands; Int Inst Geoinformat Sci &amp; Earth Observat, NL-7500 AA Enschede, Netherlands</t>
  </si>
  <si>
    <t>Communaute Universite Grenoble Alpes; Universite Grenoble Alpes (UGA); Centre National de la Recherche Scientifique (CNRS); Universite Savoie Mont Blanc; CNRS - Institute of Ecology &amp; Environment (INEE); South African National Biodiversity Institute; University of Lausanne; Netherlands National Institute for Public Health &amp; the Environment</t>
  </si>
  <si>
    <t>Thuiller, W (corresponding author), Univ Grenoble 1, CNRS, UMR 5553, Lab Ecol Alpine, BP 53, F-38041 Grenoble 9, France.</t>
  </si>
  <si>
    <t>Thuiller@sanbi.org</t>
  </si>
  <si>
    <t>Alkemade, Rob/U-3663-2017; Brönnimann, Olivier/D-3495-2011; Thuiller, Wilfried/G-3283-2010; Broennimann, Olivier/D-3495-2011; Midgley, Guy/H-3585-2014</t>
  </si>
  <si>
    <t>Alkemade, Rob/0000-0001-8761-1768; Brönnimann, Olivier/0000-0001-5394-4564; Broennimann, Olivier/0000-0001-9913-3695; Midgley, Guy/0000-0001-8264-0869</t>
  </si>
  <si>
    <t>021YY</t>
  </si>
  <si>
    <t>WOS:000236023000002</t>
  </si>
  <si>
    <t>Malcolm, JR; Liu, CR; Neilson, RP; Hansen, L; Hannah, L</t>
  </si>
  <si>
    <t>Global warming and extinctions of endemic species from biodiversity hotspots</t>
  </si>
  <si>
    <t>CONSERVATION BIOLOGY</t>
  </si>
  <si>
    <t>biomes; climate change; general circulation models; global vegetation models; migration; species extinctions</t>
  </si>
  <si>
    <t>CLIMATE-CHANGE; AREA RELATIONSHIPS; MODEL; MIGRATION; IMPACTS; TURNOVER; FORESTS; RANGE; RATES</t>
  </si>
  <si>
    <t>Global warming is a key threat to biodiversity, but few researchers have assessed the magnitude of this threat at the global scale. We used major vegetation types (biomes) as proxies for natural habitats and, based on projected future biome distributions under doubled-CO2 climates, calculated changes in habitat areas and associated extinctions of endemic plant and vertebrate species in biodiversity hotspots. Because of numerous uncertainties in this approach, we undertook a sensitivity analysis of multiple factors that included (1) two global vegetation models, (2) different numbers of biome classes in our biome classification schemes, (3) different assumptions about whether species distributions were biome specific or not, and (4) different migration capabilities. Extinctions were calculated using both species-area and endemic-area relationships. In addition, average required migration rates were calculated for each hotspot assuming a doubled-CO2 climate in 100 years. Projected percent extinctions ranged from &lt; 1 to 43% of the endemic biota (average 11.6%), with biome specificity having the greatest influence on the estimates, followed by the global vegetation model and then by migration and biome classification assumptions. Bootstrap comparisons indicated that effects on hotpots as a group were not significantly different from effects on random same-biome collections of grid cells with respect to biome change or migration rates; in some scenarios, however, hotspots exhibited relatively high biome change and low migration rates. Especially vulnerable hotspots were the Cape Floristic Region, Caribbean, Indo-Burma, Mediterranean Basin, Southwest Australia, and Tropical Andes, where plant extinctions per hotspot sometimes exceeded 2000 species. Under the assumption that projected habitat changes were attained in 100 years, estimated global-warming-induced rates of species extinctions in tropical hotspots in some cases exceeded those due to deforestation, supporting suggestions that global warming is one of the most serious threats to the planet's biodiversity.</t>
  </si>
  <si>
    <t>Univ Toronto, Fac Forestry, Toronto, ON M5S 3B3, Canada; Univ New England, Dept Ecosyst Management, Armidale, NSW 2351, Australia; USDA, Forest Serv, Forestry Sci Lab, Corvallis, OR 97331 USA; Climate Change Program, Washington, DC 20037 USA; Conservat Int, Ctr Appl Biodivers Sci, Washington, DC 20036 USA</t>
  </si>
  <si>
    <t>University of Toronto; University of New England; United States Department of Agriculture (USDA); United States Forest Service; Conservation International</t>
  </si>
  <si>
    <t>Malcolm, JR (corresponding author), Univ Toronto, Fac Forestry, Toronto, ON M5S 3B3, Canada.</t>
  </si>
  <si>
    <t>jay.malcolm@utoronto.ca</t>
  </si>
  <si>
    <t>; Liu, Canran/AAI-1872-2020; Neilson, Ronald/A-8588-2009</t>
  </si>
  <si>
    <t>Hansen, Lara/0009-0001-9982-0695;</t>
  </si>
  <si>
    <t>0888-8892</t>
  </si>
  <si>
    <t>1523-1739</t>
  </si>
  <si>
    <t>CONSERV BIOL</t>
  </si>
  <si>
    <t>Conserv. Biol.</t>
  </si>
  <si>
    <t>APR</t>
  </si>
  <si>
    <t>022OB</t>
  </si>
  <si>
    <t>WOS:000236064200031</t>
  </si>
  <si>
    <t>Harrison, PA; Berry, PM; Butt, N; New, M</t>
  </si>
  <si>
    <t>Modelling climate change impacts on species' distributions at the European scale: implications for conservation policy</t>
  </si>
  <si>
    <t>ENVIRONMENTAL SCIENCE &amp; POLICY</t>
  </si>
  <si>
    <t>species; climate space; simulation; conservation; policy</t>
  </si>
  <si>
    <t>POTENTIAL IMPACTS; ENVELOPE; RANGES; SHIFTS</t>
  </si>
  <si>
    <t>The availability of suitable climate space across Europe for the distributions of 47 species chosen to encompass a range of taxa (including plants, insects, birds and mammals) and to reflect dominant and threatened species from 10 habitats was modelled for the current climate and three climate change scenarios using the SPECIES neural network model. The present European distribution was satisfactorily simulated for 45 species, which showed good statistics of fit between observed species' distributions and derived models. The predicted responses to climate change demonstrate that the distribution of many species in Europe may be affected by climate change, but that the effects are likely to differ between species. The general pattern is of a south-west to north-east shift in suitable climate space, with gains balancing losses for many species. Based on the total change in potential climate space in Europe, the species most sensitive to climate change were Rubus chamaemorus (Cloudberry; negatively affected) and Genista acanthoclada (Hairy greenweed; positively affected). This disparity in species' response has important implications for EU biodiversity policy as the significance of different countries changes in terms of their future contribution to the conservation of habitats and species. (c) 2005 Elsevier Ltd. All rights reserved.</t>
  </si>
  <si>
    <t>Univ Oxford, Ctr Environm, Environm Change Inst, Oxford OX1 3QY, England; Univ Oxford, Ctr Environm, Sch Geog &amp; Environm, Oxford OX1 3QY, England</t>
  </si>
  <si>
    <t>University of Oxford; University of Oxford</t>
  </si>
  <si>
    <t>Harrison, PA (corresponding author), Univ Oxford, Ctr Environm, Environm Change Inst, S Parks Rd,Dyson Perrins Bldg, Oxford OX1 3QY, England.</t>
  </si>
  <si>
    <t>paula.harrison@ouce.ox.ac.uk</t>
  </si>
  <si>
    <t>Butt, Nathalie/B-3558-2014; New, Mark/A-7684-2008; Harrison, Paula/K-1519-2016</t>
  </si>
  <si>
    <t>Butt, Nathalie/0000-0003-1517-6191; New, Mark/0000-0001-6082-8879; Harrison, Paula/0000-0002-9873-3338; Berry, Pam/0000-0002-1201-072X</t>
  </si>
  <si>
    <t>1462-9011</t>
  </si>
  <si>
    <t>1873-6416</t>
  </si>
  <si>
    <t>ENVIRON SCI POLICY</t>
  </si>
  <si>
    <t>Environ. Sci. Policy</t>
  </si>
  <si>
    <t>Environmental Sciences</t>
  </si>
  <si>
    <t>028TG</t>
  </si>
  <si>
    <t>WOS:000236511100003</t>
  </si>
  <si>
    <t>del Barrio, G; Harrison, PA; Berry, PM; Butt, N; Sanjuan, ME; Pearson, RG; Dawson, T</t>
  </si>
  <si>
    <t>Integrating multiple modelling approaches to predict the potential impacts of climate change on species' distributions in contrasting regions: comparison and implications for policy</t>
  </si>
  <si>
    <t>species' distributions; climate change; land use; connectivity; fragmentation; scale</t>
  </si>
  <si>
    <t>AGRICULTURAL LAND-USE; HABITAT FRAGMENTATION; CONSERVATION; BIODIVERSITY; SCALE; ASSESSMENTS; VEGETATION; DISPERSAL; MOUNTAINS; ENVELOPE</t>
  </si>
  <si>
    <t>Many studies have predicted the potential impacts of climate change on species' distributions at large spatial scales, yet the role of more local-scale effects remains poorly explored. Addressing more localised impacts requires that new integrated modelling approaches are developed to address fine-scale processes including species' dispersal and local connectivity. Here we integrate four models (a continental scale bioclimatic envelope model, a regional scale bioclimate and land use suitability model, a dispersal model, and a connectivity model) in a scale-dependent hierarchical framework. The approach has been used to analyse the fine scale impacts of climate change on species' distributions within two contrasting case study regions located in East Anglia (UK) and Almeria (Spain). Eight and six species respectively were used to test our approach under three climate change scenarios. Despite the uncertainties inherent in the modelling approach, our analyses suggest two general conclusions: (i) climate change involves the development of transient conditions and fragmentation within the core of species distributions; (ii) climate change would favour the opening of gaps within the current vegetation zones, rather than a simple zonal shift of them. Dynamic and integrated conservation policies are required, that take account of the current and potential future spatial arrangement of species and their habitats, to assist species to respond to future environmental change. (c) 2005 Elsevier Ltd. All rights reserved.</t>
  </si>
  <si>
    <t>CSIC, Estac Expt Zonas Aridas, Almeria 04001, Spain; Univ Oxford, Ctr Environm, Environm Change Inst, Oxford OX1 3QY, England; Amer Museum Nat Hist, Dept Herpetol, New York, NY 10024 USA; Amer Museum Nat Hist, Ctr Biodivers &amp; Conservat, New York, NY 10024 USA; Univ Edinburgh, Ctr Study Environm Change &amp; Sustainabil, Edinburgh EH9 3JN, Midlothian, Scotland</t>
  </si>
  <si>
    <t>Consejo Superior de Investigaciones Cientificas (CSIC); CSIC - Estacion Experimental de Zonas Aridas (EEZA); University of Oxford; American Museum of Natural History (AMNH); American Museum of Natural History (AMNH); University of Edinburgh</t>
  </si>
  <si>
    <t>del Barrio, G (corresponding author), CSIC, Estac Expt Zonas Aridas, Gen Segura 1, Almeria 04001, Spain.</t>
  </si>
  <si>
    <t>gabriel@eeza.csic.es</t>
  </si>
  <si>
    <t>del Barrio, Gabriel/D-3865-2013; Butt, Nathalie/B-3558-2014; Dawson, Terence/E-4724-2011; Harrison, Paula/K-1519-2016; Pearson, Richard/GQH-2760-2022</t>
  </si>
  <si>
    <t>del Barrio, Gabriel/0000-0001-6146-9433; Sanjuán, María E/0000-0002-2430-6093; Butt, Nathalie/0000-0003-1517-6191; Berry, Pam/0000-0002-1201-072X; Dawson, Terence/0000-0002-4314-1378; Harrison, Paula/0000-0002-9873-3338;</t>
  </si>
  <si>
    <t>WOS:000236511100004</t>
  </si>
  <si>
    <t>["Animalia", "Plantae"]</t>
  </si>
  <si>
    <t>Lawler, JJ; White, D; Neilson, RP; Blaustein, AR</t>
  </si>
  <si>
    <t>Lawler, Joshua J.; White, Denis; Neilson, Ronald P.; Blaustein, Andrew R.</t>
  </si>
  <si>
    <t>Predicting climate-induced range shifts: model differences and model reliability</t>
  </si>
  <si>
    <t>climate change; climate-envelope models; extinction; geographic range; model averaging; model prediction; random forest predictors</t>
  </si>
  <si>
    <t>SPECIES DISTRIBUTIONS; VEGETATION DISTRIBUTION; CLASSIFICATION; TREE; ENVELOPE; IMPACTS; FORESTS</t>
  </si>
  <si>
    <t>Predicted changes in the global climate are likely to cause large shifts in the geographic ranges of many plant and animal species. To date, predictions of future range shifts have relied on a variety of modeling approaches with different levels of model accuracy. Using a common data set, we investigated the potential implications of alternative modeling approaches for conclusions about future range shifts and extinctions. Our common data set entailed the current ranges of 100 randomly selected mammal species found in the western hemisphere. Using these range maps, we compared six methods for modeling predicted future ranges. Predicted future distributions differed markedly across the alternative modeling approaches, which in turn resulted in estimates of extinction rates that ranged between 0% and 7%, depending on which model was used. Random forest predictors, a model-averaging approach, consistently outperformed the other techniques (correctly predicting &gt; 99% of current absences and 86% of current presences). We conclude that the types of models used in a study can have dramatic effects on predicted range shifts and extinction rates; and that model-averaging approaches appear to have the greatest potential for predicting range shifts in the face of climate change.</t>
  </si>
  <si>
    <t>US EPA, Corvallis, OR 97333 USA; Oregon State Univ, Dept Zool, Corvallis, OR 97331 USA; US Forest Serv, Corvallis, OR 97331 USA</t>
  </si>
  <si>
    <t>United States Environmental Protection Agency; Oregon State University; United States Department of Agriculture (USDA); United States Forest Service</t>
  </si>
  <si>
    <t>Lawler, JJ (corresponding author), US EPA, 200 SW 35th St, Corvallis, OR 97333 USA.</t>
  </si>
  <si>
    <t>lawler.joshua@epa.gov</t>
  </si>
  <si>
    <t>Neilson, Ronald/A-8588-2009</t>
  </si>
  <si>
    <t>063FZ</t>
  </si>
  <si>
    <t>WOS:000239004700018</t>
  </si>
  <si>
    <t>Preston, BL</t>
  </si>
  <si>
    <t>Preston, Benjamin L.</t>
  </si>
  <si>
    <t>Risk-based reanalysis of the effects of climate change on US cold-water habitat</t>
  </si>
  <si>
    <t>EXTRAPOLATION METHODS; THERMAL HABITAT; ATMOSPHERIC CO2; GLOBAL CLIMATE; UNCERTAINTY; IMPACT; SCENARIOS; STABILIZATION; PREDICTIONS; PROJECTIONS</t>
  </si>
  <si>
    <t>A probabilistic risk assessment was conducted for the effects of future climate change on U.S. cold-water habitat. Damage functions for the loss of current cold-water fish habitat in the United States and the Rocky Mountain region were integrated with probability distributions for U.S. June/July/August (JJA) temperature change using Monte Carlo techniques. Damage functions indicated temperature thresholds for incipient losses (&gt;= 5%) of cold-water habitat in the United States and the Rocky Mountains of 0.6 and 0.4 degrees C, respectively. Median impacts associated with different temperature distributions suggested habitat loss in 2025, 2050, and 2 100 of approximately 10, 20, and 30%, respectively, for the United States and 20, 35, and 50%, respectively, in the Rocky Mountains. However, 2100 losses in excess of 60% and 90% were possible for the United States and the Rocky Mountains, respectively, albeit at low probabilities. The implementation of constraints on greenhouse gas emissions conforming to the WRE750/550/350 stabilization scenarios had little effect on reducing habitat loss out to 2050, but median effects in 2100 were reduced by up to 20, 30, and 60%, respectively. Increased focus on probabilistic risk assessment may be a profitable mechanism for enhancing understanding and communication of climate change impacts and, subsequently, risk management.</t>
  </si>
  <si>
    <t>Preston, BL (corresponding author), CSIRO, Marine &amp; Atmospher Res, Private Bag 1,107-121 Stn St, Aspendale, Vic 3195, Australia.</t>
  </si>
  <si>
    <t>benjamin.preston@csiro.au</t>
  </si>
  <si>
    <t>Preston, Benjamin/B-9001-2012</t>
  </si>
  <si>
    <t>Preston, Benjamin/0000-0002-7966-2386</t>
  </si>
  <si>
    <t>SPRINGER</t>
  </si>
  <si>
    <t>1573-1480</t>
  </si>
  <si>
    <t>064AC</t>
  </si>
  <si>
    <t>WOS:000239060600006</t>
  </si>
  <si>
    <t>Midgley, GF; Hughes, GO; Thuiller, W; Rebelo, AG</t>
  </si>
  <si>
    <t>Midgley, G. F.; Hughes, G. O.; Thuiller, W.; Rebelo, A. G.</t>
  </si>
  <si>
    <t>Migration rate limitations on climate change-induced range shifts in Cape Proteaceae</t>
  </si>
  <si>
    <t>bioclimatic models; conservation; dispersal; extinction; fynbos; GAM; global change</t>
  </si>
  <si>
    <t>SPECIES DISTRIBUTIONS; PLANT MIGRATION; SEED DISPERSAL; CHANGE IMPACTS; MODELS; FRAGMENTATION; UNCERTAINTY; DIVERSITY; WIND; RISK</t>
  </si>
  <si>
    <t>Modelling of climate change-induced species range shifts has generally addressed migration limitations inadequately, often assuming 'null' migration or instantaneous 'full' migration extremes. We describe methods for incorporating simple migration rate assumptions into multispecies modelling, using the Proteaceae of the Cape Floristic Region. Even with optimistic migration assumptions, range loss projections more closely approximate null migration than full migration assumptions. Full migration results were positively skewed by few species with large range increases, an overestimate eliminated by dispersal-limited migration rate assumptions. Wind- and ant/rodent-dispersed species responded differently to climate change. Initially larger ranges of wind-dispersed species were more strongly reduced by climate change, despite far greater assumed dispersal distances - we suggest that these well-dispersed species populate more marginal areas of potential range, causing lower resilience to climatic changes at range margins. Overall, range loss rate slowed with advancing climate change, possibly because species ranges contracted into core areas most resilient to climate change. Thus, a consideration of simple dynamics of range change (rather than single step, present-future comparisons of range) provide new insights relevant for conservation strategies, in particular, and for guiding monitoring efforts to detect and gauge the impacts of climate change on natural populations.</t>
  </si>
  <si>
    <t>S African Natl Biodivers Inst, Climate Change Res Grp, ZA-7735 Cape Town, South Africa; Conservat Int, Ctr Appl Biodivers Sci, Washington, DC 20036 USA; Univ Cape Town, Dept Bot, ZA-7700 Rondebosch, South Africa; Univ Grenoble 1, CNRS, Lab Ecol Alpine, F-38041 Grenoble 9, France; S African Natl Biodivers Inst, Protea Atlas Project, ZA-7735 Cape Town, South Africa</t>
  </si>
  <si>
    <t>South African National Biodiversity Institute; Conservation International; University of Cape Town; Communaute Universite Grenoble Alpes; Universite Grenoble Alpes (UGA); Centre National de la Recherche Scientifique (CNRS); Universite Savoie Mont Blanc; South African National Biodiversity Institute</t>
  </si>
  <si>
    <t>Midgley, GF (corresponding author), S African Natl Biodivers Inst, Climate Change Res Grp, P Bag X7, ZA-7735 Cape Town, South Africa.</t>
  </si>
  <si>
    <t>midgley@sanbi.org</t>
  </si>
  <si>
    <t>Thuiller, Wilfried/G-3283-2010; Midgley, Guy/H-3585-2014</t>
  </si>
  <si>
    <t>Midgley, Guy/0000-0001-8264-0869</t>
  </si>
  <si>
    <t>074FN</t>
  </si>
  <si>
    <t>WOS:000239798200010</t>
  </si>
  <si>
    <t>Ohlemüller, R; Gritti, ES; Sykes, MT; Thomas, CD</t>
  </si>
  <si>
    <t>Ohlemuller, Ralf; Gritti, Emmanuel S.; Sykes, Martin T.; Thomas, Chris D.</t>
  </si>
  <si>
    <t>Quantifying components of risk for European woody species under climate change</t>
  </si>
  <si>
    <t>dispersal; distance; distribution; distribution modelling; extinction risk; forests; migration; range shifts</t>
  </si>
  <si>
    <t>EXTINCTION RISK; HIGHER-PLANTS; RANGE; DISTRIBUTIONS; RESPONSES; DISPERSAL; DIVERSITY; ACCURACY; DYNAMICS; IMPACTS</t>
  </si>
  <si>
    <t>Estimates of species extinction risk under climate change are generally based on differences in present and future climatically suitable areas. However, the locations of potentially suitable future environments (affecting establishment success), and the degree of climatic suitability in already occupied and new locations (affecting population viability) may be equally important determinants of risk. A species considered to be at low risk because its future distribution is predicted to be large, may actually be at high risk if these areas are out of reach, given the species' dispersal and migration rates or if all future suitable locations are only marginally suitable and the species is unlikely to build viable populations in competition with other species. Using bioclimatic models of 17 representative European woody species, we expand on current ways of risk assessment and suggest additional measures based on (a) the distance between presently occupied areas and areas predicted to be climatically suitable in the future and (b) the degree of change in climatic suitability in presently occupied and unoccupied locations. Species of boreal and temperate deciduous forests are predicted to face higher risk from loss of climatically suitable area than species from warmer and drier parts of Europe by 2095 using both the moderate B1 and the severe A1FI emission scenario. However, the average distance from currently occupied locations to areas predicted suitable in the future is generally shorter for boreal species than for southern species. Areas currently occupied will become more suitable for boreal and temperate species than for Mediterranean species whereas new suitable areas outside a species' current range are expected to show greater increases in suitability for Mediterranean species than for boreal and temperate species. Such additional risk measures can be easily derived and should give a more comprehensive picture of the risk species are likely to face under climate change.</t>
  </si>
  <si>
    <t>Univ York, Dept Biol, York YO10 5YW, N Yorkshire, England; Lund Univ, Geobiosphere Sci Ctr, Dept Phys Geog &amp; Ecosyst Anal, S-22362 Lund, Sweden</t>
  </si>
  <si>
    <t>University of York - UK; Lund University</t>
  </si>
  <si>
    <t>Ohlemüller, R (corresponding author), Univ York, Dept Biol, POB 373, York YO10 5YW, N Yorkshire, England.</t>
  </si>
  <si>
    <t>ro6@york.ac.uk</t>
  </si>
  <si>
    <t>; Thomas, Chris/A-1460-2014</t>
  </si>
  <si>
    <t>Gritti, Emmanuel/0000-0001-7119-1287; Thomas, Chris/0000-0003-2822-1334; Gritti, Emmanuel S/0000-0002-0276-953X; Ohlemuller, Ralf/0000-0001-9102-6481</t>
  </si>
  <si>
    <t>077CM</t>
  </si>
  <si>
    <t>gold</t>
  </si>
  <si>
    <t>WOS:000240005300018</t>
  </si>
  <si>
    <t>Svenning, JC; Skov, F</t>
  </si>
  <si>
    <t>Svenning, Jens-Christian; Skov, Flemming</t>
  </si>
  <si>
    <t>Potential impact of climate change on the northern nemoral forest herb flora of Europe</t>
  </si>
  <si>
    <t>BIODIVERSITY AND CONSERVATION</t>
  </si>
  <si>
    <t>bioclimatic envelope modelling; dispersal limitation; drought; geographic variability; global warming; range shifts; spatial scale</t>
  </si>
  <si>
    <t>SPECIES DISTRIBUTIONS; QUATERNARY REFUGIA; GLACIAL REFUGIA; TREE; RICHNESS; PLANTS; DIVERSITY; HISTORY; MODELS; RANGE</t>
  </si>
  <si>
    <t>This study examines the potential impact on 21st century climate change on north-nemoral forest herb ranges at three spatial scales (Europe as whole, Northern/Southern Europe, separately, and the small north-nemoral region Denmark) and for two contrasting geographic regions (Northern and Southern Europe), and evaluates which species traits (climatic niche parameters, range location) would be most important for the range responses. The impact of climate change on the ranges of 36 north-nemoral forest herb species was estimated using a fuzzy bioclimatic envelope model that link atlas data to climate to predict bioclimatic suitability. Two global warming scenarios were investigated. Bioclimatic suitability was predicted to decline for all species in Europe as whole and in Southern Europe, while a minority would experience stable or increased suitability in Denmark and Northern Europe. No species were predicted to go extinct at a European scale under any scenario, although up to 14% of the species could be lost at the smallest scale. However, due to its strong impact on Southern Europe, warming would threaten the long-term survival of the nemoral flora. In particular in Northern Europe suitability increases would occur in unoccupied areas. Hence, dispersal limitation could be a particularly important constraint on species responses to climate change in this region. The best predictors of modelled large-scale sensitivity to global warming often included water balance niche descriptors and the latitudinal range centroid.</t>
  </si>
  <si>
    <t>Univ Aarhus, Dept Biol Sci, DK-8000 Aarhus C, Denmark; Natl Environm Res Inst Denmark, Dept Wildlife Ecol &amp; Biodivers, DK-8410 Ronde, Denmark</t>
  </si>
  <si>
    <t>Aarhus University; Aarhus University; Danish National Environmental Research Institute</t>
  </si>
  <si>
    <t>Svenning, JC (corresponding author), Univ Aarhus, Dept Biol Sci, Bygn 540,Univ Pk, DK-8000 Aarhus C, Denmark.</t>
  </si>
  <si>
    <t>jens-christian.svenning@biology.au.dk</t>
  </si>
  <si>
    <t>0960-3115</t>
  </si>
  <si>
    <t>1572-9710</t>
  </si>
  <si>
    <t>BIODIVERS CONSERV</t>
  </si>
  <si>
    <t>Biodivers. Conserv.</t>
  </si>
  <si>
    <t>102DM</t>
  </si>
  <si>
    <t>WOS:000241791200014</t>
  </si>
  <si>
    <t>Normand, S; Svenning, JC; Skov, F</t>
  </si>
  <si>
    <t>Normand, Signe; Svenning, Jens-Christian; Skov, Flemming</t>
  </si>
  <si>
    <t>National and European perspectives on climate change sensitivity of the habitats directive characteristic plant species</t>
  </si>
  <si>
    <t>JOURNAL FOR NATURE CONSERVATION</t>
  </si>
  <si>
    <t>bioclimatic envelope modelling; conservation; global warming; vegetation impact</t>
  </si>
  <si>
    <t>MIGRATION RATES; DISTRIBUTIONS; CONSERVATION; BIODIVERSITY; IMPACTS; MODELS; RANGE; FRAGMENTATION; LANDSCAPE; SCENARIOS</t>
  </si>
  <si>
    <t>The main goat of the Habitats Directive, a key document for European conservation, is to maintain a 'favourable' conservation status of selected species and habitats. In the face of near-future climatic change this goat may become difficult to achieve. Here, we evaluate the sensitivity to climate change of 84 plant species that characterise the Danish habitat types included in the Habitats Directive. A fuzzy bioctimatic envelope model, linking European and Northwest African species' distribution data with climate, was used to predict climatically suitable areas for these species in year 2100 under two-climate change scenarios. Climate sensitivity was evaluated at both Danish and European scales to provide an explicit European perspective on the impacts predicted for Denmark. In all 69-99% of the species were predicted to become negatively affected by climate change at either scale. Application of international Red List criteria showed that 43-55% and 17-69% would become vulnerable in Denmark and Europe, respectively. Northwest African atlas data were used to improve the ecological accuracy of the future predictions. For comparison, using only European data added 0-7% to these numbers. No species were predicted to become extinct in Europe, but 4-7% could be lost from Denmark. Some species were predicted to become positively affected in Denmark, but negatively affected in Europe. In addition to nationally endangered species, this group would be an important focus for a Danish conservation strategy. A geographically differentiated Danish conservation strategy is suggested as the eastern part of Denmark was predicted to be more negatively affected than the western part. No differences in the sensitivity of the Habitats Directive habitats were found. We conclude that the conservation strategy of the Habitats Directive needs to integrate the expected shifts in species' distributions due to climate change. (c) 2006 Elsevier GmbH. All rights reserved.</t>
  </si>
  <si>
    <t>Normand, S (corresponding author), Univ Aarhus, Dept Biol Sci, Ny Munkegade,Bygn 1540 Univ Sparken, DK-8000 Aarhus C, Denmark.</t>
  </si>
  <si>
    <t>Signe.Normand@biology.au.dk; svenning@biology.au.dk; fs@dmu.dk</t>
  </si>
  <si>
    <t>Skov, Flemming/I-2665-2013; Normand, Signe/A-1561-2012; Svenning, Jens-Christian/C-8977-2012</t>
  </si>
  <si>
    <t>Skov, Flemming/0000-0002-9490-8663; Normand, Signe/0000-0002-8782-4154;</t>
  </si>
  <si>
    <t>ELSEVIER GMBH</t>
  </si>
  <si>
    <t>MUNICH</t>
  </si>
  <si>
    <t>HACKERBRUCKE 6, 80335 MUNICH, GERMANY</t>
  </si>
  <si>
    <t>1617-1381</t>
  </si>
  <si>
    <t>1618-1093</t>
  </si>
  <si>
    <t>J NAT CONSERV</t>
  </si>
  <si>
    <t>J. Nat. Conserv.</t>
  </si>
  <si>
    <t>149BT</t>
  </si>
  <si>
    <t>WOS:000245122300004</t>
  </si>
  <si>
    <t>Carroll, C</t>
  </si>
  <si>
    <t>Carroll, Carlos</t>
  </si>
  <si>
    <t>Interacting effects of climate change, landscape conversion, and harvest on carnivore populations at the range margin: Marten and Lynx in the northern Appalachians</t>
  </si>
  <si>
    <t>connectivity; conservation planning; focal species; Lynx canadensis; Martes americana; population viability analysis; resource selection function; spatially explicit population model</t>
  </si>
  <si>
    <t>EXTINCTION RISK; AMERICAN MARTEN; HABITAT USE; DYNAMICS; DISTRIBUTIONS; FOREST; MODELS</t>
  </si>
  <si>
    <t>Assessing the effects of climate change on threatened species requires moving beyond simple bioclimatic models to models that incorporate interactions among climatic trends, landscape change, environmental stochasticity, and species life history. Populations of marten (Martes americana) and lynx (Lynx canadensis) in southeastern Canada and the northeastern United States represent peninsular extensions of boreal ranges and illustrate the potential impact of these threats on semi-isolated populations at the range margin. Decreased snowfall may affect marten and lynx through decreased prey vulnerability and decreased competitive advantage over sympatric carnivores. I used a spatially explicit population model to assess potential effects of predicted changes in snowfall by 2055 on regional marten and lynx populations. The models' habitat rankings were derived from previous static models that correlated regional distribution with snowfall and vegetation data. Trapping scenarios were parameterized as a 10% proportional decrease in survival, and logging scenarios were parameterized as a 10% decrease in the extent of older coniferous or mixed forest. Both species showed stronger declines in the simulations due to climate change than to overexploitation or logging. Marten populations declined 40% because of climate change, 16% because of logging, and 30% because of trapping. Lynx populations declined 59% because of climate change, 36% because of trapping, and 20% in scenarios evaluating the effects of population cycles. Climate change interacted with logging in its effects on the marten and with trapping in its effects on the lynx, increasing overall vulnerability. For both species larger lowland populations were vulnerable to climate change, which suggests that contraction may occur in the core of their current regional range as well as among smaller peripheral populations. Despite their greater data requirements compared with bioclimatic models, mesoscale spatial viability models are important tools for generating more biologically realistic hypotheses regarding biotic response to climate change.</t>
  </si>
  <si>
    <t>Klamath Ctr Conservat Res, Orleans, CA 95556 USA</t>
  </si>
  <si>
    <t>Carroll, C (corresponding author), Klamath Ctr Conservat Res, POB 104, Orleans, CA 95556 USA.</t>
  </si>
  <si>
    <t>carlos@klamathconservation.org</t>
  </si>
  <si>
    <t>195GT</t>
  </si>
  <si>
    <t>WOS:000248401200029</t>
  </si>
  <si>
    <t>Beaumont, LJ; Pitman, AJ; Poulsen, M; Hughes, L</t>
  </si>
  <si>
    <t>Beaumont, Linda J.; Pitman, A. J.; Poulsen, Michael; Hughes, Lesley</t>
  </si>
  <si>
    <t>Where will species go? Incorporating new advances in climate modelling into projections of species distributions</t>
  </si>
  <si>
    <t>bioclimatic modelling; climate change; climate models; projected distributions; quantifying uncertainty; realizations; within-model variability</t>
  </si>
  <si>
    <t>CAPE FLORISTIC REGION; GEOGRAPHIC DISTRIBUTIONS; NORTH QUEENSLAND; CHANGE SCENARIOS; EXTINCTION RISK; ENVELOPE MODELS; CHANGE IMPACTS; RANGE SHIFTS; SOUTH-AFRICA; BIODIVERSITY</t>
  </si>
  <si>
    <t>Bioclimatic models are the primary tools for simulating the impact of climate change on species distributions. Part of the uncertainty in the output of these models results from uncertainty in projections of future climates. To account for this, studies often simulate species responses to climates predicted by more than one climate model and/or emission scenario. One area of uncertainty, however, has remained unexplored: internal climate model variability. By running a single climate model multiple times, but each time perturbing the initial state of the model slightly, different but equally valid realizations of climate will be produced. In this paper, we identify how ongoing improvements in climate models can be used to provide guidance for impacts studies. In doing so we provide the first assessment of the extent to which this internal climate model variability generates uncertainty in projections of future species distributions, compared with variability between climate models. We obtained data on 13 realizations from three climate models (three from CSIRO Mark2 v3.0, four from GISS AOM, and six from MIROC v3.2) for two time periods: current (1985-1995) and future (2025-2035). Initially, we compared the simulated values for each climate variable (P, T-max, T-min, and T-mean) for the current period to observed climate data. This showed that climates simulated by realizations from the same climate model were more similar to each other than to realizations from other models. However, when projected into the future, these realizations followed different trajectories and the values of climate variables differed considerably within and among climate models. These had pronounced effects on the projected distributions of nine Australian butterfly species when modelled using the BIOCLIM component of DIVA-GIS. Our results show that internal climate model variability can lead to substantial differences in the extent to which the future distributions of species are projected to change. These can be greater than differences resulting from between-climate model variability. Further, different conclusions regarding the vulnerability of species to climate change can be reached due to internal model variability. Clearly, several climate models, each represented by multiple realizations, are required if we are to adequately capture the range of uncertainty associated with projecting species distributions in the future.</t>
  </si>
  <si>
    <t>Macquarie Univ, Dept Biol Sci, N Ryde, NSW 2109, Australia; Macquarie Univ, Dept Phys Geog, N Ryde, NSW 2109, Australia; Macquarie Univ, Dept Human Geog, N Ryde, NSW 2109, Australia</t>
  </si>
  <si>
    <t>Macquarie University; Macquarie University; Macquarie University</t>
  </si>
  <si>
    <t>lbeaumon@rna.bio.mq.edu.au</t>
  </si>
  <si>
    <t>; Pitman, Anew/A-7353-2011; Beaumont, Linda/D-5499-2012</t>
  </si>
  <si>
    <t>Hughes, Lesley/0000-0003-0313-9780; Pitman, Anew/0000-0003-0604-3274; Beaumont, Linda/0000-0001-6307-1680</t>
  </si>
  <si>
    <t>202ZV</t>
  </si>
  <si>
    <t>WOS:000248945800007</t>
  </si>
  <si>
    <t>Levinsky, I; Skov, F; Svenning, JC; Rahbek, C</t>
  </si>
  <si>
    <t>Levinsky, Irina; Skov, Flemming; Svenning, Jens-Christian; Rahbek, Carsten</t>
  </si>
  <si>
    <t>Potential impacts of climate change on the distributions and diversity patterns of European mammals</t>
  </si>
  <si>
    <t>climate change; Europe; mammals; terrestrial; bioclimatic envelope models; distributions; species richness</t>
  </si>
  <si>
    <t>BIOCLIMATE ENVELOPE MODELS; SPECIES DISTRIBUTIONS; WOODRATS NEOTOMA; RANGE; BIODIVERSITY; VULNERABILITY; CONSEQUENCES; EXTINCTION; PREDICTION; SYSTEMS</t>
  </si>
  <si>
    <t>The Intergovernmental Panel on Climate Change (IPCC) predicts an increase in global temperatures of between 1.4 degrees C and 5.8 degrees C during the 21st century, as a result of elevated CO2 levels. Using bioclimatic envelope models, we evaluate the potential impact of climate change on the distributions and species richness of 120 native terrestrial non-volant European mammals under two of IPCC's future climatic scenarios. Assuming unlimited and no migration, respectively, our model predicts that 1% or 5-9% of European mammals risk extinction, while 32-46% or 70-78% may be severely threatened (lose &gt; 30% of their current distribution) under the two scenarios. Under the no migration assumption endemic species were predicted to be strongly negatively affected by future climatic changes, while widely distributed species would be more mildly affected. Finally, potential mammalian species richness is predicted to become dramatically reduced in the Mediterranean region but increase towards the northeast and for higher elevations. Bioclimatic envelope models do not account for non-climatic factors such as land-use, biotic interactions, human interference, dispersal or history, and our results should therefore be seen as first approximations of the potential magnitude of future climatic changes.</t>
  </si>
  <si>
    <t>Univ Copenhagen, Ctr Mocroecol, Inst Biol, DK-2100 Copenhagen, Denmark; Aarhus Univ, Natl Environm Res Inst, Dept Wildlife Ecol &amp; Biodiversity, DK-8410 Ronde, Denmark; Aarhus Univ, Dept Biol Sci, DK-8000 Aarhus, Denmark</t>
  </si>
  <si>
    <t>University of Copenhagen; Aarhus University; Danish National Environmental Research Institute; Aarhus University</t>
  </si>
  <si>
    <t>Levinsky, I (corresponding author), Univ Copenhagen, Ctr Mocroecol, Inst Biol, Universitetsparken 15, DK-2100 Copenhagen, Denmark.</t>
  </si>
  <si>
    <t>ilevinsky@bi.ku.dk</t>
  </si>
  <si>
    <t>Skov, Flemming/I-2665-2013; Svenning, Jens-Christian/C-8977-2012; Rahbek, Carsten/L-1129-2013</t>
  </si>
  <si>
    <t>Skov, Flemming/0000-0002-9490-8663; Svenning, Jens-Christian/0000-0002-3415-0862; Rahbek, Carsten/0000-0003-4585-0300</t>
  </si>
  <si>
    <t>222ML</t>
  </si>
  <si>
    <t>WOS:000250301400007</t>
  </si>
  <si>
    <t>Peterson, AT; Martinez-Meyer, E</t>
  </si>
  <si>
    <t>Peterson, A. Townsend; Martinez-Meyer, Enrique</t>
  </si>
  <si>
    <t>Geographic evaluation of conservation status of African forest squirrels (Sciuridae) considering land use change and climate change: the importance of point data</t>
  </si>
  <si>
    <t>Africa; biodiversity conservation; climate change; ecological niche modeling; resolution; spatial scale; squirrels</t>
  </si>
  <si>
    <t>SUB-SAHARAN AFRICA; SOUTH-AFRICA; BIODIVERSITY; DISTRIBUTIONS; PATTERNS; MADAGASCAR; MOUNTAINS; DIVERSITY; RICHNESS; CENTERS</t>
  </si>
  <si>
    <t>Known occurrences based on natural history museum voucher specimens for three genera of African forest squirrels were used to develop a detailed, fine-scale distributional under-standing of each species. Considerations of species' autecology, effects of land use change, and effects of global climate change were all included in our analyses, and negative effects of land use and climate change on species' distributional areas were roughly equivalent across the species surveyed. We describe geographic patterns of distribution and endemism, and identify areas of potential occurrence of unknown species. Comparing with coarse grid-based approaches currently in vogue in African biodiversity conservation efforts, we suggest that the point-based method offers significant advantages in fine resolution and avoiding loss of information, and yet are feasibly implemented for many vertebrate groups.</t>
  </si>
  <si>
    <t>Univ Kansas, Museum Nat Hist, Lawrence, KS 66045 USA; Univ Kansas, Biodivers Res Ctr, Lawrence, KS 66045 USA; Univ Nacl Autonoma Mexico, Inst Biol, Mexico City, DF, Mexico</t>
  </si>
  <si>
    <t>University of Kansas; University of Kansas; Universidad Nacional Autonoma de Mexico</t>
  </si>
  <si>
    <t>Peterson, A Townsend/I-5697-2013; Martínez-Meyer, Enrique/AAZ-7352-2020</t>
  </si>
  <si>
    <t>Peterson, A Townsend/0000-0003-0243-2379; Martínez-Meyer, Enrique/0000-0003-1184-9264</t>
  </si>
  <si>
    <t>229VC</t>
  </si>
  <si>
    <t>WOS:000250833000001</t>
  </si>
  <si>
    <t>Gómez-Mendoza, L; Arriaga, L</t>
  </si>
  <si>
    <t>Gomez-Mendoza, Leticia; Arriaga, Laura</t>
  </si>
  <si>
    <t>Modeling the effect of climate change on the distribution of oak and pine species of Mexico</t>
  </si>
  <si>
    <t>climate-change scenarios; GARP; HadCM2; models; Pinus; Quercus; species distribution; temperate forests</t>
  </si>
  <si>
    <t>FORESTS; PREDICTION; IMPACT; BIODIVERSITY; UNCERTAINTY; PROJECTIONS; HIGHLANDS; RESPONSES; GROWTH; RISK</t>
  </si>
  <si>
    <t>We examined the vulnerability of 34 species of oaks (Quercus) and pines (Pinus) to the effects of global climate change in Mexico. We regionalized the HadCM2 model of climate change with local climatic data (mean annual temperature and rainfall) and downscaled the model with the inverse distance-weighted method. Databases of herbaria specimens, genetic algorithms (GARP), and digital covers of biophysical variables that affect oaks and pines were used to project geographic distributions of the species under a severe and conservative scenario of climate change for the year 2050. Starting with the current average temperature of 20.2 degrees C and average precipitation of 793 mm, under the severe warming scenario mean temperature and precipitation changed to 22.7 degrees C and 660 mm, respectively, in 2050. For the conservative warming scenario, these variables shifted to 21.8 degrees C and 721 mm. Responses to the different scenarios of climate change were predicted to be species-specific and related to each species climate affinity. The current geographic distribution of oaks and pines decreased 7-48% and 0.2-64%, respectively. The more vulnerable pines were Pinus rudis, P. chihuahuana, P. oocarpa, and P. culminicola, and the most vulnerable oaks were Quercus crispipilis, Q. peduncularis, Q. acutifolia, and Q. sideroxyla. In addition to habitat conservation, we think sensitive pine and oak species should be looked at more closely to define ex situ strategies (i.e., seed preservation in germplasm banks) for their long-term conservation. Modeling climatic-change scenarios is important to the development of conservation strategies.</t>
  </si>
  <si>
    <t>[Gomez-Mendoza, Leticia] Univ Nacl Autonoma Mexico, Inst Geog, Mexico City 14510, DF, Mexico; [Arriaga, Laura] Ctr Invest Biol Noroeste, La Paz 23090, Baja California, Mexico</t>
  </si>
  <si>
    <t>Universidad Nacional Autonoma de Mexico; CIBNOR - Centro de Investigaciones Biologicas del Noroeste; Telefonica SA</t>
  </si>
  <si>
    <t>Gómez-Mendoza, L (corresponding author), Univ Nacl Autonoma Mexico, Inst Geog, Ciudad Univ, Mexico City 14510, DF, Mexico.</t>
  </si>
  <si>
    <t>larriaga04@cibnor.mx</t>
  </si>
  <si>
    <t>Gomez-Mendoza, Leticia/AAB-9163-2020</t>
  </si>
  <si>
    <t>242ZH</t>
  </si>
  <si>
    <t>WOS:000251764200024</t>
  </si>
  <si>
    <t>Buckley, LB</t>
  </si>
  <si>
    <t>Buckley, Lauren B.</t>
  </si>
  <si>
    <t>Linking traits to energetics and population dynamics to predict lizard ranges in changing environments</t>
  </si>
  <si>
    <t>AMERICAN NATURALIST</t>
  </si>
  <si>
    <t>bioenergetic model; climate change; fundamental niche; population dynamic model; range shifts; species' ranges</t>
  </si>
  <si>
    <t>EASTERN FENCE LIZARD; SCELOPORUS-UNDULATUS; LIFE-HISTORY; BODY-TEMPERATURE; CLIMATE-CHANGE; REPRODUCTIVE STRATEGIES; GEOGRAPHIC-VARIATION; FOOD AVAILABILITY; LANDSCAPE SCALE; SPECIES BORDERS</t>
  </si>
  <si>
    <t>I present a dynamic bioenergetic model that couples individual energetics and population dynamics to predict current lizard ranges and those following climate warming. The model predictions are uniquely based on first principles of morphology, life history, and thermal physiology. I apply the model to five populations of a widespread North American lizard, Sceloporus undulatus, to examine how geographic variation in traits and life histories influences ranges. This geographic variation reflects the potential for species to adapt to environmental change. I then consider the range dynamics of the closely related Sceloporus graciosus. Comparing predicted ranges and actual current ranges reveals how dispersal limitations, species interactions, and habitat requirements influence the occupied portions of thermally suitable ranges. The dynamic model predicts individualistic responses to a uniform 3 degrees C warming but a northward shift in the northern range boundary for all populations and species. In contrast to standard correlative climate envelope models, the extent of the predicted northward shift depends on organism traits and life histories. The results highlight the limitations of correlative models and the need for more dynamic models of species' ranges.</t>
  </si>
  <si>
    <t>Santa Fe Inst, Santa Fe, NM 87501 USA</t>
  </si>
  <si>
    <t>The Santa Fe Institute</t>
  </si>
  <si>
    <t>Buckley, LB (corresponding author), Santa Fe Inst, Santa Fe, NM 87501 USA.</t>
  </si>
  <si>
    <t>lbuckley@santafe.edu</t>
  </si>
  <si>
    <t>Buckley, Lauren/ABD-6759-2021</t>
  </si>
  <si>
    <t>Buckley, Lauren/0000-0003-1315-3818</t>
  </si>
  <si>
    <t>UNIV CHICAGO PRESS</t>
  </si>
  <si>
    <t>CHICAGO</t>
  </si>
  <si>
    <t>1427 E 60TH ST, CHICAGO, IL 60637-2954 USA</t>
  </si>
  <si>
    <t>0003-0147</t>
  </si>
  <si>
    <t>1537-5323</t>
  </si>
  <si>
    <t>AM NAT</t>
  </si>
  <si>
    <t>Am. Nat.</t>
  </si>
  <si>
    <t>E1</t>
  </si>
  <si>
    <t>E19</t>
  </si>
  <si>
    <t>Ecology; Evolutionary Biology</t>
  </si>
  <si>
    <t>Environmental Sciences &amp; Ecology; Evolutionary Biology</t>
  </si>
  <si>
    <t>248XY</t>
  </si>
  <si>
    <t>WOS:000252191700017</t>
  </si>
  <si>
    <t>Sekercioglu, CH; Schneider, SH; Fay, JP; Loarie, SR</t>
  </si>
  <si>
    <t>Sekercioglu, Cagan H.; Schneider, Stephen H.; Fay, John P.; Loarie, Scott R.</t>
  </si>
  <si>
    <t>Climate change, elevational range shifts, and bird extinctions</t>
  </si>
  <si>
    <t>biodiversity; avian biogeography; extinction likelihood; GIS; global warming; lapse rates; macroecology; mountain endemics; ornithology; tropical forests</t>
  </si>
  <si>
    <t>POPULATION-SIZE; CHANGE IMPACTS; DISTRIBUTIONS; TEMPERATURE; ECOLOGY; ENERGETICS; ISLANDS; FORESTS; TROPICS; RARITY</t>
  </si>
  <si>
    <t>Limitations imposed on species ranges by the climatic, ecological, and physiological effects of elevation are important determinants of extinction risk. We modeled the effects of elevational limits on the extinction risk of landbirds, 87% of all bird species. Elevational limitation of range size explained 97% of the variation in the probability of being in a World Conservation Union category of extinction risk. Our model that combined elevational ranges, four Millennium Assessment habitat-loss scenarios, and an intermediate estimate of surface warming of 2.8 degrees C, projected a best guess of 400-550 landbird extinctions, and that approximately 2150 additional species would be at risk of extinction by 2100. For Western Hemisphere landbirds, intermediate extinction estimates based on climate-induced changes in actual distributions ranged from 1.3% (1.1 degrees C warming) to 30.0% (6.4 degrees C warming) of these species. Worldwide, every degree of warming projected a nonlinear increase in bird extinctions of about 100-500 species. Only 21% of the species predicted to become extinct in our scenarios are currently considered threatened with extinction. Different habitat-loss and surface-warming scenarios predicted substantially different futures for landbird species. To improve the precision of climate-induced extinction estimates, there is an urgent need for high-resolution measurements of shifts in the elevational ranges of species. Given the accelerating influence of climate change on species distributions and conservation, using elevational limits in a tested, standardized, and robust manner can improve conservation assessments of terrestrial species and will help identify species that are most vulnerable to global climate change. Our climate-induced extinction estimates are broadly similar to those of bird species at risk from other factors, but these estimates largely involve different sets of species.</t>
  </si>
  <si>
    <t>[Sekercioglu, Cagan H.; Schneider, Stephen H.] Stanford Univ, Dept Biol Sci, Stanford, CA 94305 USA; [Fay, John P.; Loarie, Scott R.] Duke Univ, Nicholas Sch Environm &amp; Earth Sci, Durham, NC 27707 USA</t>
  </si>
  <si>
    <t>Stanford University; Duke University</t>
  </si>
  <si>
    <t>Sekercioglu, CH (corresponding author), Stanford Univ, Dept Biol Sci, 371 Serra Mall, Stanford, CA 94305 USA.</t>
  </si>
  <si>
    <t>cagan@stanford.edu</t>
  </si>
  <si>
    <t>Şekercioğlu, Çağan H/A-2331-2013; Loarie, Scott/D-2610-2009</t>
  </si>
  <si>
    <t>Şekercioğlu, Çağan H/0000-0003-3193-0377; Fay, John/0000-0002-1871-7582</t>
  </si>
  <si>
    <t>258UT</t>
  </si>
  <si>
    <t>WOS:000252895700016</t>
  </si>
  <si>
    <t>Luoto, M; Heikkinen, RK</t>
  </si>
  <si>
    <t>Luoto, Miska; Heikkinen, R. K.</t>
  </si>
  <si>
    <t>Disregarding topographical heterogeneity biases species turnover assessments based on bioclimatic models</t>
  </si>
  <si>
    <t>butterflies; climate change; colonization; Europe; extinction; scenarios; topography; turnover</t>
  </si>
  <si>
    <t>CLIMATE-CHANGE; ENVELOPE MODELS; EXTINCTION RISK; DISTRIBUTIONS; BIODIVERSITY; BUTTERFLIES; RICHNESS; IMPACTS; UNCERTAINTIES; PROJECTIONS</t>
  </si>
  <si>
    <t>We investigated whether the inclusion of topographical heterogeneity in bioclimatic envelope models would significantly alter predictions of climate change - induced broad-scale butterfly species range size changes in Europe. Using generalized additive models, and data on current climate and species distributions and two different climate scenarios (HadCM3A2 and HadCM3B2) for the period 2051-2080, we developed predictions of the currently suitable area and potential range size changes of 100 European butterfly species. The inclusion of elevation range increased the predictive accuracy of climate-only models for 86 of the 100 species. The differences in projected future distributions were most notable in mountainous areas, where the climate-topography models projected only ca. half of the species losses than the climate-only models. By contrast, climate-topography models estimated double the losses of species than climate-only models in the flatlands regions. Our findings suggest that disregarding topographical heterogeneity may cause a significant source of error in broad-scale bioclimatic modelling. Mountainous regions are likely to be even more important for future conservation of species than had until now been predicted, based on bioclimatic envelope models that did not take an explicit account of elevational range of grid squares.</t>
  </si>
  <si>
    <t>[Luoto, Miska] Univ Oulu, Thule Inst, FIN-90014 Oulu, Finland; [Heikkinen, R. K.] Finnish Environm Inst, Res Dept, Res Programme Biodivers, FIN-00251 Helsinki, Finland</t>
  </si>
  <si>
    <t>University of Oulu; Finnish Environment Institute</t>
  </si>
  <si>
    <t>Luoto, M (corresponding author), Univ Oulu, Dept Geog, PO Box 3000, FIN-90014 Oulu, Finland.</t>
  </si>
  <si>
    <t>miska.luoto@oulu.fi</t>
  </si>
  <si>
    <t>; Heikkinen, Risto/AAN-6257-2020; Luoto, Miska/E-6693-2014</t>
  </si>
  <si>
    <t>Luoto, Miska/0000-0001-6203-5143;</t>
  </si>
  <si>
    <t>259HH</t>
  </si>
  <si>
    <t>WOS:000252929900004</t>
  </si>
  <si>
    <t>Iverson, LR; Prasad, AM; Matthews, SN; Peters, M</t>
  </si>
  <si>
    <t>Iverson, Louis R.; Prasad, Anantha M.; Matthews, Stephen N.; Peters, Matthew</t>
  </si>
  <si>
    <t>Estimating potential habitat for 134 eastern US tree species under six climate scenarios</t>
  </si>
  <si>
    <t>FOREST ECOLOGY AND MANAGEMENT</t>
  </si>
  <si>
    <t>International Workshop on Forest Landscape Modeling</t>
  </si>
  <si>
    <t>JUN 20-24, 2006</t>
  </si>
  <si>
    <t>Beijing, PEOPLES R CHINA</t>
  </si>
  <si>
    <t>China Nat Sci Fdn,Int Assoc Landscape Ecol,Chinese Acad Sci, Inst Appl Ecol</t>
  </si>
  <si>
    <t>climate change; eastern United States; tree species distributions; composition changes; species shifts; random forests; regression tree analysis; bagging</t>
  </si>
  <si>
    <t>FIRE-SUCCESSION MODELS; UNITED-STATES; CLASSIFICATION; DISTRIBUTIONS; RESPONSES; FORESTS; IMPACT</t>
  </si>
  <si>
    <t>We modeled and mapped, using the predictive data mining tool Random Forests, 134 tree species from the eastern United States for potential response to several scenarios of climate change. Each species was modeled individually to show current and potential future habitats according to two emission scenarios (high emissions on current trajectory and reasonable conservation of energy implemented) and three climate models: the Parallel Climate Model, the Hadley CM3 model, and the Geophysical Fluid Dynamics Laboratory model. Since we model potential suitable habitats of species, our results should not be interpreted as actual changes in ranges of the species. We also evaluated both emission scenarios under an average future climate from all three models. Climate change could have large impacts on suitable habitat for tree species in the eastern United States, especially under a high emissions trajectory. Of the 134 species, approximately 66 species would gain and 54 species would lose at least 10% of their suitable habitat under climate change. A lower emission pathway would result in lower numbers of both losers and gainers. When the mean centers, i.e. center of gravity, of current and potential future habitat are evaluated, most of the species habitat moves generally northeast, up to 800 km in the hottest scenario and highest emissions trajectory. The models suggest a retreat of the spruce-fir zone and an advance of the southern oaks and pines. In any case, our results show that species will have a lot less pressure to move their suitable habitats if we follow the path of lower emissions of greenhouse gases. The information contained in this; paper, and much more, is detailed on our website: http://www.nrs.fs.fed.us/atlas. Published by Elsevier B.V.</t>
  </si>
  <si>
    <t>[Iverson, Louis R.; Prasad, Anantha M.; Matthews, Stephen N.; Peters, Matthew] US Forest Serv, Delaware, OH 43015 USA</t>
  </si>
  <si>
    <t>United States Department of Agriculture (USDA); United States Forest Service</t>
  </si>
  <si>
    <t>Iverson, LR (corresponding author), US Forest Serv, 359 Main Rd, Delaware, OH 43015 USA.</t>
  </si>
  <si>
    <t>liverson@fs.fed.us</t>
  </si>
  <si>
    <t>; Matthews, Stephen/D-1050-2012; Iverson, Louis/AAZ-3910-2020</t>
  </si>
  <si>
    <t>Peters, Matthew/0000-0002-4793-0075; Matthews, Stephen/0000-0001-9175-7778;</t>
  </si>
  <si>
    <t>ELSEVIER</t>
  </si>
  <si>
    <t>RADARWEG 29, 1043 NX AMSTERDAM, NETHERLANDS</t>
  </si>
  <si>
    <t>0378-1127</t>
  </si>
  <si>
    <t>1872-7042</t>
  </si>
  <si>
    <t>FOREST ECOL MANAG</t>
  </si>
  <si>
    <t>For. Ecol. Manage.</t>
  </si>
  <si>
    <t>FEB 10</t>
  </si>
  <si>
    <t>Forestry</t>
  </si>
  <si>
    <t>266OC</t>
  </si>
  <si>
    <t>WOS:000253444600003</t>
  </si>
  <si>
    <t>Benito Garzón, M; Sanchez de Dios, R; Sainz Ollero, H</t>
  </si>
  <si>
    <t>Benito Garzon, Marta; Sanchez de Dios, Rut; Sainz Ollero, Helios</t>
  </si>
  <si>
    <t>Effects of climate change on the distribution of Iberian tree species</t>
  </si>
  <si>
    <t>APPLIED VEGETATION SCIENCE</t>
  </si>
  <si>
    <t>forest distributions; iberian peninsula; machine learning; random forest</t>
  </si>
  <si>
    <t>PINUS-SYLVESTRIS; PLANT DIVERSITY; FORESTS; MODELS; PHYLOGEOGRAPHY; CONSERVATION; VEGETATION; RESPONSES</t>
  </si>
  <si>
    <t>Question: Will the predicted climate changes affect species distribution in the Iberian Peninsula? Location: Iberian Peninsula (Spain and Portugal). Methods: We modelled current and future tree distributions as a function of climate, using a computational framework that made use of one machine learning technique, the random forest (RF) algorithm. This algorithm provided good predictions of the current distribution of each species, as shown by the area under the corresponding receiver operating characteristics (ROC) curves. Species turnover, richness and the change in distributions over time to 2080 under four Intergovernmental panel on climate change (IPCC) scenarios were calculated using the species map outputs. Results and Conclusions: The results show a notable reduction in the potential distribution of the studied species under all the IPCC scenarios, particularly so for mountain conifer species such as Pinus sylvestris, P. uncinata and Abies alba. Temperate species, especially Fagus sylvatica and Quercus petraea, were also predicted to suffer a reduction in their range; also submediterranean species, especially Q. pyrenaica, were predicted to undergo notable decline. In contrast, typically Mediterranean species appeared to be generally more capable of migration, and are therefore likely to be less affected.</t>
  </si>
  <si>
    <t>[Benito Garzon, Marta; Sanchez de Dios, Rut; Sainz Ollero, Helios] UAM, Dept Biol, Unidad Bot, Madrid 28049, Spain</t>
  </si>
  <si>
    <t>Autonomous University of Madrid</t>
  </si>
  <si>
    <t>Benito Garzón, M (corresponding author), UAM, Dept Biol, Unidad Bot, Carretera Colmenar Km 15, Madrid 28049, Spain.</t>
  </si>
  <si>
    <t>marta.benito@uam.es; rut.sanchez@uam.es; helios.sainz@uam.es</t>
  </si>
  <si>
    <t>Sánchez de Dios, Rut/M-3596-2014; Garzon, Marta/E-3622-2013</t>
  </si>
  <si>
    <t>Sánchez de Dios, Rut/0000-0002-1296-8604;</t>
  </si>
  <si>
    <t>1402-2001</t>
  </si>
  <si>
    <t>1654-109X</t>
  </si>
  <si>
    <t>APPL VEG SCI</t>
  </si>
  <si>
    <t>Appl. Veg. Sci.</t>
  </si>
  <si>
    <t>Plant Sciences; Ecology; Forestry</t>
  </si>
  <si>
    <t>Plant Sciences; Environmental Sciences &amp; Ecology; Forestry</t>
  </si>
  <si>
    <t>291XC</t>
  </si>
  <si>
    <t>WOS:000255229600003</t>
  </si>
  <si>
    <t>Jarvis, A; Lane, A; Hijmans, RJ</t>
  </si>
  <si>
    <t>Jarvis, Andy; Lane, Annie; Hijmans, Robert J.</t>
  </si>
  <si>
    <t>The effect of climate change on crop wild relatives</t>
  </si>
  <si>
    <t>AGRICULTURE ECOSYSTEMS &amp; ENVIRONMENT</t>
  </si>
  <si>
    <t>crop wild relatives; climate change; conservation; cowpea; distribution model; peanut; potato</t>
  </si>
  <si>
    <t>INDUCED RANGE SHIFTS; SPECIES DISTRIBUTION; EXTINCTION RISK; CONSERVATION; RESISTANCE; UNCERTAINTY; PROJECTIONS; RESPONSES; IMPACTS; MODELS</t>
  </si>
  <si>
    <t>Crop wild relatives are an important source of genetic diversity for crop improvement. However, the survival of some of these wild plant species could be threatened because of climate change. We used current and projected future climate data for similar to 2055, and a climate envelope species distribution model topredictthe impact of climate change on the wild relatives of peanut (Arachis), potato (Solanum) and cowpea (Vigna). We considered three migrational scenarios for modeling the range shifts (unlimited, limited, and no migration). Climate change strongly affected all taxa, with an estimated 16-22% (depending on migration scenario) of these species predicted to go extinct and most species losing over 50% of their range size. Moreover, for many species, the suitable areas become highly fragmented. Arachis were the most affected group, with 24-31 (depending on the migration scenario) of 51 species projected to go extinct and their distribution area on average reduced by 85-94%, depending on the migration scenario, over the next 50 years. The number of patches was predicted to decrease by 19% under the no migration scenario or increase by 4% assuming unlimited migration. Patch size decreased by 55-60%. For Solanum, 7 (no migration) to 13 (unlimited migration) of 108 species were predicted to go extinct, and their range sizes were reduced by approximately 38-69%. The number of patches was predicted to decrease by 34% (no migration) or increase 7% (unlimited migration) and patch size decreased by 20 (unlimited migration) to 37% (no migration). In terms of species extinction, Vigna was the least affected of the three groups, losing no species (unlimited migration) to 2 species (no migration) of the 48 species in the genus. The mean range size was predicted to decrease by 65% (no migration) or increase 8% (unlimited migration), with 8-41 of the 48 species losing more than 50% of their current geographic range. The number of Vigna patches increased by 12-115%, but the size of those patches shrunk by 51-59%. Our results suggest that there is an urgent need to identify and effectively conserve crop wild relatives that are at risk from climate change. While increased habitat conservation will be important to conserve most species, those that are predicted to undergo strong range size reductions should be a priority for collection and inclusion in genebanks. (c) 2008 Elsevier B.V. All rights reserved.</t>
  </si>
  <si>
    <t>[Jarvis, Andy] Ctr Int Agr Trop, Biovers Int Reg Off Amer, Cali, Colombia; [Lane, Annie] Biovers Int, I-00057 Rome, Italy; [Hijmans, Robert J.] Int Rice Res Inst, Los Banos, Laguna, Philippines</t>
  </si>
  <si>
    <t>Alliance; International Center for Tropical Agriculture - CIAT; Alliance; Bioversity International; CGIAR; International Rice Research Institute (IRRI)</t>
  </si>
  <si>
    <t>Jarvis, A (corresponding author), Ctr Int Agr Trop, Biovers Int Reg Off Amer, Apartado Aereo 6713, Cali, Colombia.</t>
  </si>
  <si>
    <t>a.jarvis@cgiar.org</t>
  </si>
  <si>
    <t>Jarvis, Andy/K-5516-2013; Hijmans, Robert/N-3299-2016</t>
  </si>
  <si>
    <t>Jarvis, Andy/0000-0001-6543-0798;</t>
  </si>
  <si>
    <t>0167-8809</t>
  </si>
  <si>
    <t>1873-2305</t>
  </si>
  <si>
    <t>AGR ECOSYST ENVIRON</t>
  </si>
  <si>
    <t>Agric. Ecosyst. Environ.</t>
  </si>
  <si>
    <t>Agriculture, Multidisciplinary; Ecology; Environmental Sciences</t>
  </si>
  <si>
    <t>Agriculture; Environmental Sciences &amp; Ecology</t>
  </si>
  <si>
    <t>298NP</t>
  </si>
  <si>
    <t>WOS:000255694700003</t>
  </si>
  <si>
    <t>Fitzpatrick, MC; Gove, AD; Sanders, NJ; Dunn, RR</t>
  </si>
  <si>
    <t>Fitzpatrick, Matthew C.; Gove, Aaron D.; Sanders, Nathan J.; Dunn, Robert R.</t>
  </si>
  <si>
    <t>Climate change, plant migration, and range collapse in a global biodiversity hotspot: the Banksia (Proteaceae) of Western Australia</t>
  </si>
  <si>
    <t>bioclimatic; dispersal; ecological niche; endemic; extinction; MAXENT; maximum entropy; niche-based model; range shift; species distribution model</t>
  </si>
  <si>
    <t>DISTANCE SEED DISPERSAL; SPECIES DISTRIBUTIONS; CHANGE IMPACTS; ENVELOPE MODELS; SAMPLE-SIZE; DIVERSITY; PHYTOGEOGRAPHY; UNCERTAINTIES; VULNERABILITY; BIOGEOGRAPHY</t>
  </si>
  <si>
    <t>Climate change has already altered global patterns of biodiversity by modifying the geographic distributions of species. Forecasts based on bioclimatic envelop modeling of distributions of species suggests greater impacts can be expected in the future, but such projections are contingent on assumptions regarding future climate and migration rates of species. Here, we present a first assessment of the potential impact of climate change on a global biodiversity hotspot in southwestern Western Australia. Across three representative scenarios of future climate change, we simulated migration of 100 Banksia (Proteaceae) species at a rate of 5 km decade(-1) and compared projected impacts with those under the commonly applied, but acknowledged as inadequate, assumptions of 'full-' and 'no-migration.' Across all climate x migration scenarios, 66% of species were projected to decline, whereas only 6% were projected to expand or remain stable. Between 5% and 25% of species were projected to suffer range losses of 100% by 2080, depending mainly on climate scenario. Species losses were driven primarily by changes in current precipitation regimes, with the greatest losses of species projected to occur in a transition zone between wet coastal areas and interior arid regions and which is projected to become more arid in the future. Because the ranges of most species tended to collapse in all climate scenarios, we found that climate change impacts to flora of southwestern Western Australia may be large, even under optimistic assumptions regarding migration abilities. Taken together, our results suggest that the future of biodiversity in southwestern Western Australia may lie largely in the degree to which this hotspot experiences increased drought and in the ability of species to tolerate such decreases in precipitation. More broadly, our study is among a growing number of theoretical studies suggesting the impacts of future climate change on global biodiversity may be considerable.</t>
  </si>
  <si>
    <t>[Fitzpatrick, Matthew C.; Sanders, Nathan J.] Univ Tennessee, Dept Ecol &amp; Evolutionary Biol, Knoxville, TN 37996 USA; [Gove, Aaron D.] Curtin Univ Technol, Dept Environm Biol, Ctr Ecosyst Dynam &amp; Diversity, Perth, WA 6845, Australia; [Dunn, Robert R.] N Carolina State Univ, Dept Zool, David Clark Labs 120, Raleigh, NC 27695 USA</t>
  </si>
  <si>
    <t>University of Tennessee System; University of Tennessee Knoxville; Curtin University; North Carolina State University</t>
  </si>
  <si>
    <t>Fitzpatrick, MC (corresponding author), Univ Tennessee, Dept Ecol &amp; Evolutionary Biol, 569 Dabney Hall, Knoxville, TN 37996 USA.</t>
  </si>
  <si>
    <t>mfitzpatrick@utk.edu</t>
  </si>
  <si>
    <t>Fitzpatrick, Matthew/F-7620-2010; Sanders, Nathan/ABE-4335-2020; Dunn, Robert/B-1360-2013</t>
  </si>
  <si>
    <t>Fitzpatrick, Matthew/0000-0003-1911-8407; Sanders, Nathan/0000-0001-6220-6731; Dunn, Robert/0000-0002-6030-4837</t>
  </si>
  <si>
    <t>298SK</t>
  </si>
  <si>
    <t>WOS:000255707200011</t>
  </si>
  <si>
    <t>Morin, X; Viner, D; Chuine, I</t>
  </si>
  <si>
    <t>Morin, Xavier; Viner, David; Chuine, Isabelle</t>
  </si>
  <si>
    <t>Tree species range shifts at a continental scale: new predictive insights from a process-based model</t>
  </si>
  <si>
    <t>JOURNAL OF ECOLOGY</t>
  </si>
  <si>
    <t>biodiversity; biogeography; climate change; extinction; migration; nonlinearity; North American trees; phenology; process-based model; species' distribution</t>
  </si>
  <si>
    <t>CLIMATE-CHANGE; MIGRATION RATES; VEGETATION DYNAMICS; PLANT MIGRATION; ENVELOPE MODELS; CHANGE IMPACTS; RESPONSES; DISTRIBUTIONS; PHENOLOGY; CONSEQUENCES</t>
  </si>
  <si>
    <t>1. Climate change has already caused distribution shifts in many species, and climate predictions strongly suggest that these will accelerate in the future. Obtaining reliable predictions of species range shifts under climate change is thus currently one of the most crucial challenges for both ecologists and stakeholders. 2. Here we simulate the distributions of 16 North American tree species at a continental scale for the 21st century according to two IPCC storylines, using a process-based species distribution model that for the first time allows identification of the possible causes of distribution change. 3. Our projections show local extinctions in the south of species ranges (21% of the present distribution, on average), and colonizations of new habitats in the north, though these are limited by dispersal ability for most species. Areas undergoing local extinctions are slightly larger under climate scenario A2 (+3.2 degrees C, +22% on average) than B2 (+1.0 degrees C, +19% on average). This small difference is caused by nonlinear responses of processes (leaves and flowers phenological processes in particular) to temperature. We also show that local extinction may proceed at a slower rate than forecasted so far. 4. Although predicted distribution shifts are very species-specific, we show that the loss of habitats southward will be mostly due to increased drought mortality and decreased reproductive success, while northward colonizations will be primarily promoted by increased probability of fruit ripening and flower frost survival. 5. Synthesis. Our results show that different species will not face the same risks due to climate change, because their responses to climate differ as well as their dispersal rate. Focusing on processes, our study therefore tempers the alarming conclusions of widely used niche-based models about biodiversity loss, mainly because our predictions take into account the local adaptation and trait plasticity to climate of the species.</t>
  </si>
  <si>
    <t>[Morin, Xavier; Chuine, Isabelle] CNRS, Ctr Ecol Fonct &amp; Evolut, Equipe BIOFLUX, F-34293 Montpellier 5, France; [Viner, David] Nat England Sci &amp; Evidence, Norwich NR1 2BE, Norfolk, England</t>
  </si>
  <si>
    <t>Universite PSL; Ecole Pratique des Hautes Etudes (EPHE); Institut Agro; Montpellier SupAgro; CIRAD; Centre National de la Recherche Scientifique (CNRS); Institut de Recherche pour le Developpement (IRD); Universite Paul-Valery; Universite de Montpellier</t>
  </si>
  <si>
    <t>Morin, X (corresponding author), McGill Univ, Dept Biol, Stewart Biol Bldg,W6-15,1205 Dr Penfield Ave, Montreal, PQ H3A 1B1, Canada.</t>
  </si>
  <si>
    <t>xavier.morin@mail.mcgill.ca</t>
  </si>
  <si>
    <t>Morin, Xavier/B-2790-2015</t>
  </si>
  <si>
    <t>0022-0477</t>
  </si>
  <si>
    <t>1365-2745</t>
  </si>
  <si>
    <t>J ECOL</t>
  </si>
  <si>
    <t>J. Ecol.</t>
  </si>
  <si>
    <t>Plant Sciences; Ecology</t>
  </si>
  <si>
    <t>Plant Sciences; Environmental Sciences &amp; Ecology</t>
  </si>
  <si>
    <t>311YH</t>
  </si>
  <si>
    <t>WOS:000256635800024</t>
  </si>
  <si>
    <t>Virkkala, R; Heikkinen, RK; Leikola, N; Luoto, M</t>
  </si>
  <si>
    <t>Virkkala, Raimo; Heikkinen, Risto K.; Leikola, Niko; Luoto, Miska</t>
  </si>
  <si>
    <t>Projected large-scale range reductions of northern-boreal land bird species due to climate change</t>
  </si>
  <si>
    <t>arctic; bioclimatic envelope; climate change; land bird species; northern-boreal; range reduction</t>
  </si>
  <si>
    <t>HABITAT FRAGMENTATION; CHANGE IMPACTS; DISTRIBUTIONS; COVER; CONSERVATION; BIODIVERSITY; LANDSCAPE; FINLAND; RISK; UNCERTAINTIES</t>
  </si>
  <si>
    <t>Climate change is projected to be particularly strong in the northern latitudes. Thus, boreal or arctic species are especially susceptible to the effects of climate warming. In this work we forecasted changes in the distributions of 27 northern land bird species in the 21st century, based on predicted rates of climate change. We used climate and bird atlas data of Finland and northern Norway from 1971-1990 to establish bioclimatic envelope models for each species. Next, these models were applied to two climate scenarios (A2 and B1) from the general circulation model HadCM3 to forecast potential future distributions of the study species over a larger area also covering parts of nearby Sweden and Russia. This area stretches through the boreal and continental arctic zone in northern Europe. In the A2 scenario the predicted global change in mean temperature is 3.8 degrees C by 2100 and in the B1 scenario 2.0 degrees C. Our results suggest that most of the northern land bird species will lose most of their climatic space by 2080 both in the more severe (A2, average predicted range decline: -83.6%) and in the less severe scenario (B1, average change: -73.6%). A large proportion (over two thirds) of the species considered here is thus susceptible to major range contractions in this geographical region. These climate change-induced threats are of importance because the Arctic Ocean represents a natural barrier for northward movement of species. To reduce the negative effects of climate change on the northern species, relatively large areas of continuous habitats in a connected reserve network should be preserved. (C) 2008 Elsevier Ltd. All rights reserved.</t>
  </si>
  <si>
    <t>[Virkkala, Raimo; Heikkinen, Risto K.] Finnish Environm Inst, Res Dept, Res Programme Biodivers, FI-00251 Helsinki, Finland; [Leikola, Niko] Finnish Environm Inst, Nat Div, FI-00251 Helsinki, Finland; [Luoto, Miska] Univ Oulu, Dept Geog, FI-90014 Oulu, Finland</t>
  </si>
  <si>
    <t>Finnish Environment Institute; Finnish Environment Institute; University of Oulu</t>
  </si>
  <si>
    <t>Virkkala, R (corresponding author), Finnish Environm Inst, Res Dept, Res Programme Biodivers, POB 140, FI-00251 Helsinki, Finland.</t>
  </si>
  <si>
    <t>raimo.virkkala@ymparisto.fi; risto.heikkinen@ymparisto.fi; niko.leikola@ymparisto.fi; miska.luoto@oulu.fi</t>
  </si>
  <si>
    <t>Luoto, Miska/E-6693-2014; Heikkinen, Risto/AAN-6257-2020; Virkkala, Raimo/AAN-6178-2020</t>
  </si>
  <si>
    <t>317GQ</t>
  </si>
  <si>
    <t>WOS:000257008400017</t>
  </si>
  <si>
    <t>Raxworthy, CJ; Pearson, RG; Rabibisoa, N; Rakotondrazafy, AM; Ramanamanjato, JB; Raselimanana, AP; Wu, S; Nussbaum, RA; Stone, DA</t>
  </si>
  <si>
    <t>Raxworthy, Christopher J.; Pearson, Richard G.; Rabibisoa, Nirhy; Rakotondrazafy, Andry M.; Ramanamanjato, Jean-Baptiste; Raselimanana, Achille P.; Wu, Shenghai; Nussbaum, Ronald A.; Stone, Daithi A.</t>
  </si>
  <si>
    <t>Extinction vulnerability of tropical montane endemism from warming and upslope displacement: a preliminary appraisal for the highest massif in Madagascar</t>
  </si>
  <si>
    <t>amphibia; conservation; distribution; elevation shifts; endemism; extinction; global warming; Madagascar; reptilia</t>
  </si>
  <si>
    <t>CLIMATE-CHANGE IMPACTS; RAIN-FORESTS; DECLINES; DEFORESTATION; DISTRIBUTIONS; BIODIVERSITY; BUTTERFLIES; SPECIATION; DIVERSITY; RESPONSES</t>
  </si>
  <si>
    <t>One of the predicted biological responses to climate warming is the upslope displacement of species distributions. In the tropics, because montane assemblages frequently include local endemics that are distributed close to summits, these species may be especially vulnerable to experiencing complete habitat loss from warming. However, there is currently a dearth of information available for tropical regions. Here, we present a preliminary appraisal of this extinction threat using the herpetological assemblage of the Tsaratanana Massif in northern Madagascar (the island's highest massif), which is rich with montane endemism. We present meteorological evidence (individual and combined regional weather station data and reanalysis forecast data) for recent warming in Madagascar, and show that this trend is consistent with recent climate model simulations. Using standard moist adiabatic lapse rates, these observed meteorological warming trends in northern Madagascar predict upslope species displacement of 17-74 m per decade between 1993 and 2003. Over this same period, we also report preliminary data supporting a trend for upslope distribution movements, based on two surveys we completed at Tsaratanana. For 30 species, representing five families of reptiles and amphibians, we found overall mean shifts in elevational midpoint of 19-51 m upslope (mean lower elevation limit 29-114 m; mean upper elevation limit -8 to 53 m). We also found upslope trends in mean and median elevational observations in seven and six of nine species analysed. Phenological differences between these surveys do not appear to be substantial, but these upslope shifts are consistent with the predictions based on meteorological warming. An elevational range displacement analysis projects complete habitat loss for three species below the 2 degrees C 'dangerous' warming threshold. One of these species is not contracting its distribution, but the other two were not resampled in 2003. A preliminary review of the other massifs in Madagascar indicates potential similar vulnerability to habitat loss and upslope extinction. Consequently, we urgently recommend additional elevational surveys for these and other tropical montane assemblages, which should also include, when possible, the monitoring of local meteorological conditions and habitat change.</t>
  </si>
  <si>
    <t>[Raxworthy, Christopher J.; Pearson, Richard G.] Amer Museum Nat Hist, New York, NY 10024 USA; [Rabibisoa, Nirhy; Rakotondrazafy, Andry M.; Ramanamanjato, Jean-Baptiste; Raselimanana, Achille P.] Univ Antananarivo, Dept Biol Anim, Antananarivo 101, Madagascar; [Wu, Shenghai] Natl Chung Hsing Univ, Dept Zool, Taichung 402, Taiwan; [Nussbaum, Ronald A.] Univ Michigan, Museum Zool, Ann Arbor, MI 48109 USA; [Stone, Daithi A.] Univ Oxford, Dept Phys, Clarendon Lab, AOPP, Oxford OX1 3PU, England; [Stone, Daithi A.] Univ Oxford, Dept Zool, Clarendon Lab, Oxford OX1 3PU, England</t>
  </si>
  <si>
    <t>American Museum of Natural History (AMNH); University Antananarivo; National Chung Hsing University; University of Michigan System; University of Michigan; University of Oxford; University of Oxford</t>
  </si>
  <si>
    <t>Raxworthy, CJ (corresponding author), Amer Museum Nat Hist, Cent Pk W &amp; 79th St, New York, NY 10024 USA.</t>
  </si>
  <si>
    <t>rax@amnh.org</t>
  </si>
  <si>
    <t>Stone, Dáithí/0000-0002-2518-100X; Raselimanana, Achille Philippe/0000-0003-1610-7307</t>
  </si>
  <si>
    <t>327EM</t>
  </si>
  <si>
    <t>Green Submitted, Bronze</t>
  </si>
  <si>
    <t>WOS:000257712400001</t>
  </si>
  <si>
    <t>Pompe, S; Hanspach, J; Badeck, F; Klotz, S; Thuiller, W; Kühn, I</t>
  </si>
  <si>
    <t>Pompe, Sven; Hanspach, Jan; Badeck, Franz; Klotz, Stefan; Thuiller, Wilfried; Kuehn, Ingolf</t>
  </si>
  <si>
    <t>Climate and land use change impacts on plant distributions in Germany</t>
  </si>
  <si>
    <t>BIOLOGY LETTERS</t>
  </si>
  <si>
    <t>climate change; predictive modelling; plant ranges; Germany</t>
  </si>
  <si>
    <t>SPECIES DISTRIBUTIONS; GLOBAL CHANGE; FUTURE; EUROPE; COVER; BIODIVERSITY; DIVERSITY; SCENARIOS; RICHNESS; RISKS</t>
  </si>
  <si>
    <t>We present niche-based modelling to project the distribution of 845 European plant species for Germany using three different models and three scenarios of climate and land use changes up to 2080. Projected changes suggested large effects over the coming decades, with consequences for the German flora. Even under a moderate scenario (approx. + 2.2 degrees C), 15-19% (across models) of the species we studied could be lost locally-averaged from 2995 grid cells in Germany. Models projected strong spatially varying impacts on the species composition. In particular, the eastern and southwestern parts of Germany were affected by species loss. Scenarios were characterized by an increased number of species occupying small ranges, as evidenced by changes in range-size rarity scores. It is anticipated that species with small ranges will be especially vulnerable to future climate change and other ecological stresses.</t>
  </si>
  <si>
    <t>[Pompe, Sven; Hanspach, Jan; Klotz, Stefan; Kuehn, Ingolf] UFZ Helmholtz Ctr Environm Res, Helmholtz Ctr Environm Res, Dept Community Ecol, D-06120 Halle, Germany; [Badeck, Franz] Potsdam Inst Climate Impact Res PIK, D-14412 Potsdam, Germany; [Thuiller, Wilfried] Univ Grenoble 1, CNRS, Lab Ecol Alpine, UMR 5553, F-38041 Grenoble 9, France</t>
  </si>
  <si>
    <t>Helmholtz Association; Helmholtz Center for Environmental Research (UFZ); Potsdam Institut fur Klimafolgenforschung; Centre National de la Recherche Scientifique (CNRS); CNRS - Institute of Ecology &amp; Environment (INEE); Communaute Universite Grenoble Alpes; Universite Grenoble Alpes (UGA); Universite Savoie Mont Blanc</t>
  </si>
  <si>
    <t>Pompe, S (corresponding author), UFZ Helmholtz Ctr Environm Res, Helmholtz Ctr Environm Res, Dept Community Ecol, Theodor Lieser Str 4, D-06120 Halle, Germany.</t>
  </si>
  <si>
    <t>sven.pompe@ufz.de</t>
  </si>
  <si>
    <t>Thuiller, Wilfried/G-3283-2010; Kühn, Ingolf/B-9756-2009; Badeck, Franz-Werner/C-6722-2008; Klotz, Stefan/J-5866-2017</t>
  </si>
  <si>
    <t>Hanspach, Jan/0000-0002-6638-8699; Kühn, Ingolf/0000-0003-1691-8249; Badeck, Franz-Werner/0000-0001-7821-8825; Klotz, Stefan/0000-0003-4355-6415</t>
  </si>
  <si>
    <t>'Flora Climate' [FKZ 80581001]; German Federal Agency [GOCE-CT-2003-506675]; Minimisation of and Adaptation to Climate change Impacts on biodiversity [044399]; European Commission's FP6; [066866]</t>
  </si>
  <si>
    <t>'Flora Climate'; German Federal Agency; Minimisation of and Adaptation to Climate change Impacts on biodiversity; European Commission's FP6(European Union (EU)European Commission Joint Research Centre);</t>
  </si>
  <si>
    <t>We acknowledge the support of the projects 'Flora &amp; Climate' (FKZ 80581001) (S.P. and I.K.) funded by the German Federal Agency for Nature Conservation and Assessing LArge scale environmental Risks for biodiversity with tested Methods (ALARM, GOCE-CT-2003-506675; Settele et al. 2005; I.K., F.B. and S.K.), Minimisation of and Adaptation to Climate change Impacts on biodiversity, No. 044399 (MACIS; I.K. and W.T.) and Challenges in assessing and forecasting biodiversity and ecosystem changes in Europe, No 066866 GOCE (ECOCHANGE; W. T.) funded by the European Commission's FP6. For their valuable comments and supplying material, we particularly thank Jessica Bergmann, Gudrun Carl, Eva Kuster, Wolfgang Cramer, Stefan Fronzek, Thomas Hickler, Ralf Ohlemuller and Oliver Schweiger.</t>
  </si>
  <si>
    <t>1744-9561</t>
  </si>
  <si>
    <t>BIOL LETTERS</t>
  </si>
  <si>
    <t>Biol. Lett.</t>
  </si>
  <si>
    <t>OCT 23</t>
  </si>
  <si>
    <t>346RC</t>
  </si>
  <si>
    <t>WOS:000259085900035</t>
  </si>
  <si>
    <t>Colwell, RK; Brehm, G; Cardelús, CL; Gilman, AC; Longino, JT</t>
  </si>
  <si>
    <t>Colwell, Robert K.; Brehm, Gunnar; Cardelus, Catherine L.; Gilman, Alex C.; Longino, John T.</t>
  </si>
  <si>
    <t>Global warming, elevational range shifts, and lowland biotic attrition in the wet tropics</t>
  </si>
  <si>
    <t>SCIENCE</t>
  </si>
  <si>
    <t>CLIMATE-CHANGE; SPECIES RICHNESS; FOREST; RESPONSES; BIODIVERSITY; PATTERNS; IMPACTS; GROWTH</t>
  </si>
  <si>
    <t>Many studies suggest that global warming is driving species ranges poleward and toward higher elevations at temperate latitudes, but evidence for range shifts is scarce for the tropics, where the shallow latitudinal temperature gradient makes upslope shifts more likely than poleward shifts. Based on new data for plants and insects on an elevational transect in Costa Rica, we assess the potential for lowland biotic attrition, range-shift gaps, and mountaintop extinctions under projected warming. We conclude that tropical lowland biotas may face a level of net lowland biotic attrition without parallel at higher latitudes (where range shifts may be compensated for by species from lower latitudes) and that a high proportion of tropical species soon faces gaps between current and projected elevational ranges.</t>
  </si>
  <si>
    <t>[Colwell, Robert K.] Univ Connecticut, Dept Ecol &amp; Evolutionary Biol, Storrs, CT 06269 USA; [Brehm, Gunnar] Univ Jena, Inst Spezielle Zool, D-07743 Jena, Germany; [Brehm, Gunnar] Univ Jena, Evolutionsbiol Phyletischem Museum, D-07743 Jena, Germany; [Cardelus, Catherine L.] Colgate Univ, Dept Biol, Hamilton, NY 13346 USA; [Gilman, Alex C.] Univ Calif Los Angeles, Dept Ecol &amp; Evolutionary Biol, Los Angeles, CA 90950 USA; [Longino, John T.] Evergreen State Coll, Olympia, WA 98505 USA</t>
  </si>
  <si>
    <t>University of Connecticut; Friedrich Schiller University of Jena; Friedrich Schiller University of Jena; Colgate University; University of California System; University of California Los Angeles</t>
  </si>
  <si>
    <t>Colwell, RK (corresponding author), Univ Connecticut, Dept Ecol &amp; Evolutionary Biol, Storrs, CT 06269 USA.</t>
  </si>
  <si>
    <t>colwell@uconn.edu</t>
  </si>
  <si>
    <t>Brehm, Gunnar/D-5831-2013; Cardelus, Catherine/ABA-8409-2020; Colwell, Robert K./OXB-4625-2025</t>
  </si>
  <si>
    <t>Cardelus, Catherine/0000-0003-0526-7612;</t>
  </si>
  <si>
    <t>Organization for Tropical Studies; Conservation International; University of Connecticut; U.S. NSF [DEB-0072702, DEB-0640015, DEB-0639979]; Research Fellowship and Dissertation Improvement Grant; Sigma Phi, Explorer's Club, and Steven Vavra Plant Systematics Fund; Deutsche Forschungsgemeinschaft [BR 2280/1-1]</t>
  </si>
  <si>
    <t>Organization for Tropical Studies; Conservation International; University of Connecticut; U.S. NSF(National Science Foundation (NSF)); Research Fellowship and Dissertation Improvement Grant; Sigma Phi, Explorer's Club, and Steven Vavra Plant Systematics Fund; Deutsche Forschungsgemeinschaft(German Research Foundation (DFG))</t>
  </si>
  <si>
    <t>Supported by the Organization for Tropical Studies; the Tropical Ecology Assessment and Monitoring (TEAM) project of Conservation International; University of Connecticut (R.K.C. and C.L.C.); UCLA (A.C.G.); U.S. NSF (DEB-0072702: R.K.C., G.B., and J.T.L.; DEB-0640015: J.T.L.; DEB-0639979: R.K.C.; Research Fellowship and Dissertation Improvement Grant: C.L.C.); Sigma Phi, Explorer's Club, and Steven Vavra Plant Systematics Fund (A.C.G.); and the Deutsche Forschungsgemeinschaft (BR 2280/1-1: G.B.). We thank M. B. Bush, R.L. Chazdon, D.A. Clark, R.R. Dunn, K.M. Kuhn, C. Rahbek, T.F.L.V.B. Rangel, M. R. Silman, and our peer reviewers for comments.</t>
  </si>
  <si>
    <t>AMER ASSOC ADVANCEMENT SCIENCE</t>
  </si>
  <si>
    <t>1200 NEW YORK AVE, NW, WASHINGTON, DC 20005 USA</t>
  </si>
  <si>
    <t>0036-8075</t>
  </si>
  <si>
    <t>1095-9203</t>
  </si>
  <si>
    <t>Science</t>
  </si>
  <si>
    <t>OCT 10</t>
  </si>
  <si>
    <t>358FK</t>
  </si>
  <si>
    <t>WOS:000259902300048</t>
  </si>
  <si>
    <t>Huntley, B; Collingham, YC; Willis, SG; Green, RE</t>
  </si>
  <si>
    <t>Huntley, Brian; Collingham, Yvonne C.; Willis, Stephen G.; Green, Rhys E.</t>
  </si>
  <si>
    <t>Potential Impacts of Climatic Change on European Breeding Birds</t>
  </si>
  <si>
    <t>PLOS ONE</t>
  </si>
  <si>
    <t>Background. Climatic change is expected to lead to changes in species' geographical ranges. Adaptation strategies for biodiversity conservation require quantitative estimates of the magnitude, direction and rates of these potential changes. Such estimates are of greatest value when they are made for large ensembles of species and for extensive (sub-continental or continental) regions. Methodology/Principal Findings. For six climate scenarios for 2070-99 changes have been estimated for 431 European breeding bird species using models relating species' distributions in Europe to climate. Mean range centroid potentially shifted 258-882 km in a direction between 341 degrees (NNW) and 45 degrees (NE), depending upon the climate scenario considered. Potential future range extent averaged 72-89% of the present range, and overlapped the present range by an average of 31-53% of the extent of the present range. Even if potential range changes were realised, the average number of species breeding per 50x50 km grid square would decrease by 6.8-23.2%. Many species endemic or near-endemic to Europe have little or no overlap between their present and potential future ranges; such species face an enhanced extinction risk as a consequence of climatic change. Conclusions/Significance. Although many human activities exert pressures upon wildlife, the magnitude of the potential impacts estimated for European breeding birds emphasises the importance of climatic change. The development of adaptation strategies for biodiversity conservation in the face of climatic change is an urgent need; such strategies must take into account quantitative evidence of potential climatic change impacts such as is presented here.</t>
  </si>
  <si>
    <t>[Collingham, Yvonne C.; Willis, Stephen G.] Univ Durham, Sch Biol &amp; Biomed Sci, Inst Ecosyst Sci, Durham, England; [Green, Rhys E.] Roy Soc Protect Birds, Conserv Sci Dept, Sandy, Beds, England; [Green, Rhys E.] Univ Cambridge, Dept Zool, Conservation Sci Grp, Cambridge, England</t>
  </si>
  <si>
    <t>Durham University; Royal Society for Protection of Birds; University of Cambridge</t>
  </si>
  <si>
    <t>Huntley, B (corresponding author), Univ Durham, Sch Biol &amp; Biomed Sci, Inst Ecosyst Sci, Durham, England.</t>
  </si>
  <si>
    <t>brian.huntley@durham.ac.uk; reg29@hermes.cam.ac.uk</t>
  </si>
  <si>
    <t>Willis, Stephen/F-8503-2015</t>
  </si>
  <si>
    <t>Willis, Stephen/0000-0002-8656-5808</t>
  </si>
  <si>
    <t>UK Natural Environment Research Council; Royal Society for the Protection of Birds (RSPB); Royal Society - Wolfson Foundation Research Merit Award</t>
  </si>
  <si>
    <t>UK Natural Environment Research Council(UK Research &amp; Innovation (UKRI)Natural Environment Research Council (NERC)); Royal Society for the Protection of Birds (RSPB); Royal Society - Wolfson Foundation Research Merit Award</t>
  </si>
  <si>
    <t>The research work reported was supported in part by a grant from the UK Natural Environment Research Council and in part by a contract from the Royal Society for the Protection of Birds (RSPB). During the preparation of the manuscript Prof. Brian Huntley was in receipt of financial support from a Royal Society - Wolfson Foundation Research Merit Award. The post of Prof. Rhys E. Green at Cambridge University also is funded by the RSPB. Nonetheless, the sponsors have played no direct role in the design or conduct of the study, nor in the interpretation of the data or the preparation, review or approval of the manuscript. Data relating to the European breeding distributions of birds were collected by the European Bird Census Council (EBCC), who made those data available to us to use in our work. The EBCC played no role in the research work nor in the preparation of this paper.</t>
  </si>
  <si>
    <t>PUBLIC LIBRARY SCIENCE</t>
  </si>
  <si>
    <t>SAN FRANCISCO</t>
  </si>
  <si>
    <t>1160 BATTERY STREET, STE 100, SAN FRANCISCO, CA 94111 USA</t>
  </si>
  <si>
    <t>1932-6203</t>
  </si>
  <si>
    <t>PLoS One</t>
  </si>
  <si>
    <t>JAN 16</t>
  </si>
  <si>
    <t>e1439</t>
  </si>
  <si>
    <t>366SN</t>
  </si>
  <si>
    <t>Green Submitted, Green Accepted, gold</t>
  </si>
  <si>
    <t>WOS:000260503800011</t>
  </si>
  <si>
    <t>Ritchie, EG; Bolitho, EE</t>
  </si>
  <si>
    <t>Ritchie, Euan G.; Bolitho, Elizabeth E.</t>
  </si>
  <si>
    <t>Australia's Savanna Herbivores: Bioclimatic Distributions and an Assessment of the Potential Impact of Regional Climate Change</t>
  </si>
  <si>
    <t>PHYSIOLOGICAL AND BIOCHEMICAL ZOOLOGY</t>
  </si>
  <si>
    <t>KANGAROOS MACROPUS-GIGANTEUS; NORTHERN AUSTRALIA; RED KANGAROOS; GEOGRAPHIC DISTRIBUTIONS; SPECIES DISTRIBUTIONS; LAND MANAGEMENT; POPULATION-SIZE; NATIONAL-PARK; ARID ZONE; LANDSCAPES</t>
  </si>
  <si>
    <t>The future impacts of climate change are predicted to significantly affect the survival of many species. Recent studies indicate that even species that are relatively mobile and/or have large geographic ranges may be at risk of range contractions or extinction. An ecologically and evolutionary significant group of mammals that has been largely overlooked in this research is Australia's large marsupial herbivores, the macropodids (kangaroos). The aims of our investigation were to define and compare the climatic conditions that influence the current distributions of four sympatric large macropodids in northern Australia (Macropus antilopinus, Macropus robustus, Macropus giganteus, and Macropus rufus) and to predict the potential future impact of climate change on these species. Our results suggest that contemporary distributions of these large macropodids are associated with well-defined climatic gradients ( tropical and temperate conditions) and that climatic seasonality is also important. Bioclimatic modeling predicted an average reduction in northern Australian macropodid distributions of 48% +/- 16.4% in response to increases of 2.0 degrees C. At this temperature, the distribution of M. antilopinus was reduced by 89% +/- 0.4%. We predict that increases of 6.0 degrees C may cause severe range reductions for all four macropodids (96% +/- 2.1%) in northern Australia, and this range reduction may result 2.1% in the extinction of M. antilopinus.</t>
  </si>
  <si>
    <t>[Ritchie, Euan G.; Bolitho, Elizabeth E.] James Cook Univ, Sch Marine &amp; Trop Biol, Townsville, Qld 4811, Australia</t>
  </si>
  <si>
    <t>Ritchie, EG (corresponding author), James Cook Univ, Sch Marine &amp; Trop Biol, Townsville, Qld 4811, Australia.</t>
  </si>
  <si>
    <t>euan.ritchie@jcu.edu.au</t>
  </si>
  <si>
    <t>Ritchie, Euan/N-1088-2014</t>
  </si>
  <si>
    <t>Ritchie, Euan/0000-0003-4410-8868</t>
  </si>
  <si>
    <t>Australia and Pacific Science Foundation; Cooperative Research Centre Tropical Savannas; Australia Student Research Award; Royal Zoological Society New South Wales; Linnean Society of New South Wales; James Cook University</t>
  </si>
  <si>
    <t>We would like to thank Sam Fox, Peter Johnson, Steve Murphy, Michelle Watson, John Winter, John Woinarski, Department of Conservation and Land Management, Kakadu National Park, Northern Territory Museum, Northern Territory Parks and Wildlife Service, Queensland Parks and Wildlife Service, Queensland Museum, and the Environmental Protection Agency (Wildnet) for locality data; we also thank traditional owners, national parks rangers, and station owners for access to sites, logistical support, and their hospitality. Funding for this project to E. G. R. was partly provided by the Australia and Pacific Science Foundation, Australian Geographic, Cooperative Research Centre Tropical Savannas, an Ecological Society of Australia Student Research Award, an Ethel Mary Read Research Award (Royal Zoological Society New South Wales), Joyce Vickery Research Awards (Linnean Society of New South Wales), and a Supplementary Internal Research Award (James Cook University). Sam Fox, Brett Goodman, Chris Johnson, Mike Kearney, Angus Martin, and Jenny Martin provided useful comments on earlier drafts.</t>
  </si>
  <si>
    <t>1522-2152</t>
  </si>
  <si>
    <t>PHYSIOL BIOCHEM ZOOL</t>
  </si>
  <si>
    <t>Physiol. Biochem. Zool.</t>
  </si>
  <si>
    <t>NOV-DEC</t>
  </si>
  <si>
    <t>Physiology; Zoology</t>
  </si>
  <si>
    <t>367JD</t>
  </si>
  <si>
    <t>WOS:000260547400015</t>
  </si>
  <si>
    <t>Schweiger, O; Settele, J; Kudrna, O; Klotz, S; Kühn, I</t>
  </si>
  <si>
    <t>Schweiger, Oliver; Settele, Josef; Kudrna, Otakar; Klotz, Stefan; Kuehn, Ingolf</t>
  </si>
  <si>
    <t>CLIMATE CHANGE CAN CAUSE SPATIAL MISMATCH OF TROPHICALLY INTERACTING SPECIES</t>
  </si>
  <si>
    <t>ECOLOGY</t>
  </si>
  <si>
    <t>biotic interactions; Boloria titania; butterflies; climate envelope modeling; ecological-nichemodeling; European species-distribution data; global change; host plants; Polygonum bistorta; range shift; species interactions; trophic interactions</t>
  </si>
  <si>
    <t>BIOCLIMATE ENVELOPE MODELS; BIOTIC INTERACTIONS; DISTRIBUTIONS; RANGE; BIODIVERSITY; BUTTERFLIES; SCENARIOS; IMPACTS; EUROPE; PREDICTION</t>
  </si>
  <si>
    <t>Climate change is one of the most influential drivers of biodiversity. Species-specific differences in the reaction to climate change can become particularly important when interacting species are considered. Current studies have evidenced temporal mismatching of interacting species at single points in space, and recently two investigations showed that species interactions are relevant for their future ranges. However, so far we are not aware that the ranges of interacting species may become substantially spatially mismatched. We developed separate ecological-niche models for a monophagous butterfly (Boloria titania) and its larval host plant (Polygonum bistorta) based on monthly interpolated climate data, land-cover classes, and soil data at a 10'-grid resolution. We show that all of three chosen global-change scenarios, which cover a broad range of potential developments in demography, socio-economics, and technology during the 21st century from moderate to intermediate to maximum change, will result in a pronounced spatial mismatch between future niche spaces of these species. The butterfly may expand considerably its future range (by 124-258%) if the host plant has unlimited dispersal, but it could lose 52-75% of its current range if the host plant is not able to fill its projected ecological niche space, and 79-88% if the butterfly also is assumed to be highly dispersal limited. These findings strongly suggest that climate change has the potential to disrupt trophic interactions because co-occurring species do not necessarily react in a similar manner to global change, having important consequences at ecological and evolutionary time scales.</t>
  </si>
  <si>
    <t>[Schweiger, Oliver; Settele, Josef; Klotz, Stefan; Kuehn, Ingolf] UFZ Helmholtz Ctr Environm Res, Helmholtz Ctr Environm Res, Dept Community Ecol, D-06210 Halle, Germany; [Schweiger, Oliver; Klotz, Stefan; Kuehn, Ingolf] Virtual Inst Macroecol, D-06120 Halle, Germany</t>
  </si>
  <si>
    <t>Helmholtz Association; Helmholtz Center for Environmental Research (UFZ)</t>
  </si>
  <si>
    <t>Schweiger, O (corresponding author), UFZ Helmholtz Ctr Environm Res, Helmholtz Ctr Environm Res, Dept Community Ecol, Theodor Lieser Str 4, D-06210 Halle, Germany.</t>
  </si>
  <si>
    <t>oliver.schweiger@ufz.de</t>
  </si>
  <si>
    <t>Settele, Josef/A-6371-2009; Klotz, Stefan/J-5866-2017; Schweiger, Oliver/B-4909-2008; Kühn, Ingolf/B-9756-2009</t>
  </si>
  <si>
    <t>Settele, Josef/0000-0002-8624-4983; Klotz, Stefan/0000-0003-4355-6415; Schweiger, Oliver/0000-0001-8779-2335; Kühn, Ingolf/0000-0003-1691-8249</t>
  </si>
  <si>
    <t>ALARM [GOCE-CT2003-506675]; MACIS [SSPI 044399]; Virtual Institute for Macroecology.</t>
  </si>
  <si>
    <t>ALARM; MACIS; Virtual Institute for Macroecology.</t>
  </si>
  <si>
    <t>We thank Joachim H. Spangenberg, Ines Omann, Andrea Stocker, and Jill Jager for providing socio-economic storylines; Stefan Fronzek, Timothy R. Carter, and Kirsti Jylha for providing future climate scenarios; Isabelle Reginster and Mark Rounsevell for providing land-use scenarios; and Doris Vetterlein for advice in the selection of soil parameters. We acknowledge the support of European Commission Framework Programme 6 via the Integrated Project ALARM (GOCE-CT2003-506675) and the Scientific Support to Policy project MACIS (SSPI 044399), as well as the Helmholtz Association of German Research Centres funding the Virtual Institute for Macroecology.</t>
  </si>
  <si>
    <t>ECOLOGICAL SOC AMER</t>
  </si>
  <si>
    <t>1990 M STREET NW, STE 700, WASHINGTON, DC 20036 USA</t>
  </si>
  <si>
    <t>0012-9658</t>
  </si>
  <si>
    <t>1939-9170</t>
  </si>
  <si>
    <t>381GP</t>
  </si>
  <si>
    <t>WOS:000261524000021</t>
  </si>
  <si>
    <t>Loarie, SR; Carter, BE; Hayhoe, K; McMahon, S; Moe, R; Knight, CA; Ackerly, DD</t>
  </si>
  <si>
    <t>Loarie, Scott R.; Carter, Benjamin E.; Hayhoe, Katharine; McMahon, Sean; Moe, Richard; Knight, Charles A.; Ackerly, David D.</t>
  </si>
  <si>
    <t>Climate Change and the Future of California's Endemic Flora</t>
  </si>
  <si>
    <t>BIOCLIMATE ENVELOPE MODELS; SPECIES DISTRIBUTIONS; EXTINCTION RISK; BIODIVERSITY; IMPACTS; RANGE; DIVERSITY; HABITAT; PLANTS; UNCERTAINTY</t>
  </si>
  <si>
    <t>The flora of California, a global biodiversity hotspot, includes 2387 endemic plant taxa. With anticipated climate change, we project that up to 66% will experience &gt;80% reductions in range size within a century. These results are comparable with other studies of fewer species or just samples of a region's endemics. Projected reductions depend on the magnitude of future emissions and on the ability of species to disperse from their current locations. California's varied terrain could cause species to move in very different directions, breaking up present-day floras. However, our projections also identify regions where species undergoing severe range reductions may persist. Protecting these potential future refugia and facilitating species dispersal will be essential to maintain biodiversity in the face of climate change.</t>
  </si>
  <si>
    <t>[Loarie, Scott R.; McMahon, Sean] Duke Univ, Nicholas Sch Environm &amp; Earth Sci, Durham, NC 27706 USA; [Carter, Benjamin E.; Knight, Charles A.] Calif Polytechnic State Univ San Luis Obispo, Dept Biol Sci, San Luis Obispo, CA USA; [Hayhoe, Katharine] Texas Tech Univ, Dept Geosci, Lubbock, TX USA; [Carter, Benjamin E.; Moe, Richard; Ackerly, David D.] Univ Calif Berkeley, Jepson Herbarium, Berkeley, CA USA; [Carter, Benjamin E.; Ackerly, David D.] Univ Calif Berkeley, Dept Integrat Biol, Berkeley, CA USA</t>
  </si>
  <si>
    <t>Duke University; California State University System; California Polytechnic State University San Luis Obispo; Texas Tech University System; Texas Tech University; University of California System; University of California Berkeley; University of California System; University of California Berkeley</t>
  </si>
  <si>
    <t>Loarie, SR (corresponding author), Duke Univ, Nicholas Sch Environm &amp; Earth Sci, Durham, NC 27706 USA.</t>
  </si>
  <si>
    <t>scott.loarie@duke.edu</t>
  </si>
  <si>
    <t>Loarie, Scott/D-2610-2009; Ackerly, David/A-1247-2009</t>
  </si>
  <si>
    <t>Ackerly, David/0000-0002-1847-7398</t>
  </si>
  <si>
    <t>JUN 25</t>
  </si>
  <si>
    <t>e2502</t>
  </si>
  <si>
    <t>406IK</t>
  </si>
  <si>
    <t>WOS:000263288000024</t>
  </si>
  <si>
    <t>Anderson, BJ; Akçakaya, HR; Araújo, MB; Fordham, DA; Martinez-Meyer, E; Thuiller, W; Brook, BW</t>
  </si>
  <si>
    <t>Anderson, B. J.; Akcakaya, H. R.; Araujo, M. B.; Fordham, D. A.; Martinez-Meyer, E.; Thuiller, W.; Brook, B. W.</t>
  </si>
  <si>
    <t>Dynamics of range margins for metapopulations under climate change</t>
  </si>
  <si>
    <t>range limits; global warming; extinction risk; population dynamics; elevation; latitude</t>
  </si>
  <si>
    <t>MODELING SPECIES DISTRIBUTIONS; GLOBAL CHANGE; BIOTIC INTERACTIONS; POPULATION-SIZE; CHANGE IMPACTS; EXTINCTION; DISPERSAL; BIODIVERSITY; BUTTERFLIES; BOUNDARIES</t>
  </si>
  <si>
    <t>We link spatially explicit climate change predictions to a dynamic metapopulation model. Predictions of species' responses to climate change, incorporating metapopulation dynamics and elements of dispersal, allow us to explore the range margin dynamics for two lagomorphs of conservation concern. Although the lagomorphs have very different distribution patterns, shifts at the edge of the range were more pronounced than shifts in the overall metapopulation. For Romerolagus diazi (volcano rabbit), the lower elevation range limit shifted upslope by approximately 700 m. This reduced the area occupied by the metapopulation, as the mountain peak currently lacks suitable vegetation. For Lepus timidus (European mountain hare), we modelled the British metapopulation. Increasing the dispersive estimate caused the metapopulation to shift faster on the northern range margin (leading edge). By contrast, it caused the metapopulation to respond to climate change slower, rather than faster, on the southern range margin (trailing edge). The differential responses of the leading and trailing range margins and the relative sensitivity of range limits to climate change compared with that of the metapopulation centroid have important implications for where conservation monitoring should be targeted. Our study demonstrates the importance and possibility of moving from simple bioclimatic envelope models to second-generation models that incorporate both dynamic climate change and metapopulation dynamics.</t>
  </si>
  <si>
    <t>[Fordham, D. A.; Brook, B. W.] Univ Adelaide, Sch Earth &amp; Environm Sci, Res Inst Climate Change &amp; Sustainabil, Adelaide, SA 5005, Australia; [Anderson, B. J.] Univ York, UKPopNet, Dept Biol, Area 18, York YO10 5YW, N Yorkshire, England; [Akcakaya, H. R.] SUNY Stony Brook, Dept Ecol &amp; Evolut, Stony Brook, NY 11794 USA; [Araujo, M. B.] Natl Museum Nat Sci, Dept Biodivers &amp; Evolutionary Biol, CSIC, Madrid 28006, Spain; [Martinez-Meyer, E.] Univ Nacl Autonoma Mexico, Dept Zool, Inst Biol, Mexico City 04510, DF, Mexico; [Thuiller, W.] Univ Grenoble 1, Lab Ecol Alpine, UMR 5553, CNRS, F-38041 Grenoble 9, France</t>
  </si>
  <si>
    <t>Adelaide University; University of Adelaide; University of York - UK; State University of New York (SUNY) System; Stony Brook University; Consejo Superior de Investigaciones Cientificas (CSIC); Universidad Nacional Autonoma de Mexico; Centre National de la Recherche Scientifique (CNRS); CNRS - Institute of Ecology &amp; Environment (INEE); Communaute Universite Grenoble Alpes; Universite Grenoble Alpes (UGA); Universite Savoie Mont Blanc</t>
  </si>
  <si>
    <t>Brook, BW (corresponding author), Univ Adelaide, Sch Earth &amp; Environm Sci, Res Inst Climate Change &amp; Sustainabil, Adelaide, SA 5005, Australia.</t>
  </si>
  <si>
    <t>barry.brook@adelaide.edu.au</t>
  </si>
  <si>
    <t>Brook, Barry/G-2686-2011; Bastos Araújo, Miguel/B-6117-2008; Martínez-Meyer, Enrique/AAZ-7352-2020; Fordham, Damien/E-9255-2013; Anderson, Barbara J/E-6802-2012; Akcakaya, H./A-7830-2008; Thuiller, Wilfried/G-3283-2010</t>
  </si>
  <si>
    <t>Brook, Barry/0000-0002-2491-1517; Bastos Araújo, Miguel/0000-0002-5107-7265; Martínez-Meyer, Enrique/0000-0003-1184-9264; Fordham, Damien/0000-0003-2137-5592; Anderson, Barbara J/0000-0003-1763-3616;</t>
  </si>
  <si>
    <t>UKPopNet [NERC R8-H12-01]; English Nature; Spanish Ministry of Science and Innovation [CGL2008-01198-E]; EC FP6 MACIS [044399]; EcoChange(Challenges in Assessing and Forecasting Biodiversity and Ecosystem Changes in Europe [066866]</t>
  </si>
  <si>
    <t>UKPopNet; English Nature; Spanish Ministry of Science and Innovation(Spanish GovernmentMinistry of Science &amp; Innovation, Spain (MICINN)); EC FP6 MACIS(European Union (EU)); EcoChange(Challenges in Assessing and Forecasting Biodiversity and Ecosystem Changes in Europe(European Union (EU))</t>
  </si>
  <si>
    <t>Thanks to David Roy (Centre for Ecology and Hydrology/Biological Records Centre) for help with the British distribution data regarding the European mountain hare and Yvonne Collingham (University of Durham) for help with the British climate data. We thank Andrew Smith for providing information on the volcano rabbit. Thanks to Ralf Ohlemuller, Aldina Franco, Chris Thomas, Georgina Mace, Steve Willis, Richard Pearson and Kevin Gaston for their useful discussion. B.J.A. was funded by UKPopNet (NERC R8-H12-01) and English Nature, and M. B. A. is funded by the Spanish Ministry of Science and Innovation (CGL2008-01198-E). M.B.A. and W.T. also received support from the EC FP6 MACIS (Minimisation of and Adaptation to Climate change Impacts on Biodiversity no. 044399) and EcoChange (Challenges in Assessing and Forecasting Biodiversity and Ecosystem Changes in Europe, no. 066866 GOCE) projects. This study is the result of two workshops on 'Modelling species extinctions risk under climate change' that took place at the Centre for Population Biology, Imperial College, London, and at the National Museum of Natural Sciences, CSIC, Madrid ( the latter workshop was funded by the EC FP6 MACIS project). This work complies with UK law. B.J.A. obtained the L. timidus GB data and did the GIS, final figures, climate suitability modelling and lead writing. H.R.A., B.W.B. and D.A.F. did the RAMAS metapopulation modelling. B.W.B. conceived the manuscript. M.B.A. provided data on L. timidus. E.M.-M. provided data and information on R. diazi and generated the historic distribution model. W.T. provided the European climate data and assisted with the climate suitability modelling. All authors assisted with and commented on the manuscript.</t>
  </si>
  <si>
    <t>APR 22</t>
  </si>
  <si>
    <t>421IF</t>
  </si>
  <si>
    <t>WOS:000264351900004</t>
  </si>
  <si>
    <t>Engler, R; Randin, CF; Vittoz, P; Czáka, T; Beniston, M; Zimmermann, NE; Guisan, A</t>
  </si>
  <si>
    <t>Engler, Robin; Randin, Christophe F.; Vittoz, Pascal; Czaka, Thomas; Beniston, Martin; Zimmermann, Niklaus E.; Guisan, Antoine</t>
  </si>
  <si>
    <t>Predicting future distributions of mountain plants under climate change: does dispersal capacity matter?</t>
  </si>
  <si>
    <t>LONG-DISTANCE DISPERSAL; SEED DISPERSAL; DISTRIBUTION MODELS; ALPINE GRASSLANDS; RANGE SHIFTS; MIGRATION; IMPACT; DIVERSITY; PATTERNS</t>
  </si>
  <si>
    <t>Many studies have investigated the potential impacts of climate change on the distribution of plant species, but few have attempted to constrain projections through plant dispersal limitations. Instead, most studies published so far have simplified dispersal as either unlimited or null. However, depending on the dispersal capacity of a species, landscape fragmentation, and the rate of climatic change, these assumptions can lead to serious over- or underestimation of the future distribution of plant species. To quantify the discrepancies between simulations accounting for dispersal or not, we carried out projections of future distribution over the 21st century for 287 mountain plant species in a study area of the western Swiss Alps. For each species, simulations were run for four dispersal scenarios (unlimited dispersal, no dispersal, realistic dispersal, and realistic dispersal with long-distance dispersal events) and under four climate change scenarios. Although simulations accounting for realistic dispersal limitations did significantly differ from those considering dispersal as unlimited or null in terms of projected future distribution, the unlimited dispersal simplification did nevertheless provide good approximations for species extinctions under more moderate climate change scenarios. Overall, simulations accounting for dispersal limitations produced, for our mountainous study area, results that were significantly closer to unlimited dispersal than to no dispersal. Finally, analysis of the temporal pattern of species extinctions over the entire 21st century revealed that important species extinctions for our study area might not occur before the 2080-2100 period, due to the possibility of a large number of species shifting their distribution to higher elevation.</t>
  </si>
  <si>
    <t>[Engler, Robin; Randin, Christophe F.; Vittoz, Pascal; Guisan, Antoine] Dept Ecol &amp; Evolut, Lab Conservat Biol, CH-1015 Lausanne, Switzerland; [Vittoz, Pascal; Czaka, Thomas; Guisan, Antoine] Univ Lausanne, Fac Geosci &amp; Environm, CH-1015 Lausanne, Switzerland; [Beniston, Martin] Univ Geneva, C3i, CH-1227 Carouge, Switzerland; [Zimmermann, Niklaus E.] Swiss Fed Res Inst WSL, CH-8903 Birmensdorf, Switzerland</t>
  </si>
  <si>
    <t>University of Lausanne; University of Geneva; Swiss Federal Institutes of Technology Domain; Swiss Federal Institute for Forest, Snow &amp; Landscape Research</t>
  </si>
  <si>
    <t>Engler, R (corresponding author), Dept Ecol &amp; Evolut, Lab Conservat Biol, CH-1015 Lausanne, Switzerland.</t>
  </si>
  <si>
    <t>Antoine.Guisan@unil.ch</t>
  </si>
  <si>
    <t>; Randin, Christophe François/K-6969-2016; Zimmermann, Niklaus/A-4276-2008; Guisan, Antoine/A-1057-2011; Engler, Robin/B-7912-2015</t>
  </si>
  <si>
    <t>BENISTON, Martin/0000-0002-3782-5458; Vittoz, Pascal/0000-0003-4218-4517; Randin, Christophe François/0000-0002-4171-0178; Zimmermann, Niklaus/0000-0003-3099-9604; Guisan, Antoine/0000-0002-3998-4815;</t>
  </si>
  <si>
    <t>Centre de Conservation de la Nature (SFFN) of the Canton de Vaud; Swiss National Science Foundation [3100A0-110000]; European Commission [GOCE-036866]</t>
  </si>
  <si>
    <t>Centre de Conservation de la Nature (SFFN) of the Canton de Vaud; Swiss National Science Foundation(Swiss National Science Foundation (SNSF)); European Commission(European Union (EU)European Commission Joint Research Centre)</t>
  </si>
  <si>
    <t>This study was supported by the Centre de Conservation de la Nature (SFFN) of the Canton de Vaud, the Swiss National Science Foundation (SNF Grant No 3100A0-110000) and the European Commission (FP6 projects ECOCHANGE [GOCE-036866] and MACIS). We thank all the people who helped with the field work, particularly StEfanie Maire, Dario Martinoni, SEverine Widler, Chantal Peverelli, Valentine Hof, GrEgoire Vuissoz, Lorenzo De Stefani, Roxane Milleret, Pierre Bermane Favrod-Coune, Daniel Cherix, Anny and Willy Berra. We also thank Hope C. Humphries, Jens-Christian Svenning and two anonymous reviewers for their comments on an early version of the manuscript, as well as Dorothea Pio for help with linguistic revision.</t>
  </si>
  <si>
    <t>428VU</t>
  </si>
  <si>
    <t>Green Published</t>
  </si>
  <si>
    <t>WOS:000264880300005</t>
  </si>
  <si>
    <t>Hering, D; Schmidt-Kloiber, A; Murphy, J; Lücke, S; Zamora-Muñoz, C; López-Rodríguez, MJ; Huber, T; Graf, W</t>
  </si>
  <si>
    <t>Hering, Daniel; Schmidt-Kloiber, Astrid; Murphy, John; Luecke, Sofie; Zamora-Munoz, Carmen; Jesus Lopez-Rodriguez, Manuel; Huber, Thomas; Graf, Wolfram</t>
  </si>
  <si>
    <t>Potential impact of climate change on aquatic insects: A sensitivity analysis for European caddisflies (Trichoptera) based on distribution patterns and ecological preferences</t>
  </si>
  <si>
    <t>AQUATIC SCIENCES</t>
  </si>
  <si>
    <t>Ecoregions; endemism; springs; cold-stenothermy; flight periods; feeding types</t>
  </si>
  <si>
    <t>SPECIES DISTRIBUTIONS; EXTINCTION RISK; BIODIVERSITY; COMMUNITIES; DIVERSITY; TEMPERATURE; SCENARIOS; REGIONS; STREAMS; PREDICT</t>
  </si>
  <si>
    <t>We analysed the sensitivity of European Trichoptera (caddisfly) species to climate change impacts based on their distribution and ecological preferences, and compared the fraction of species potentially endangered by climate change between the European ecoregions. The study covers 23 European ecoregions as defined by Illies (1978). For 1134 Trichoptera species and subspecies, we coded 29 parameters describing biological and ecological preferences and distribution based on the evaluation of more than 1400 literature references. Five parameters served to describe the species' sensitivity to climate change impacts: endemism, preference for springs, preference for cold water temperatures, short emergence period, and restricted ecological niches in terms of feeding types. Of the European Trichoptera species and subspecies, 47.9% are endemic, 23.1% have a strong preference for springs, 21.9% are cold stenothermic, 35.5% have a short emergence period, and 43.7% are feeding type specialists. The fraction of endemic species meeting at least one of the four other sensitivity criteria mentioned above is highest in the Iberic-Macaronesian Region (30.2% of all species), about 20% in several other south European ecoregions, and about 10% in high mountain ranges. In 15 out of 23 ecoregions (including all northern European and lowland ecoregions) the proportion is less than 3%. The high fraction of potentially endangered species in southern Europe is a result of speciation during the Pleistocene. Species having colonised northern Europe afterwards have generally a large geographical range and are mainly generalists and thus buffered against climate change impacts.</t>
  </si>
  <si>
    <t>[Hering, Daniel] Univ Duisburg Essen, Dept Appl Zool Hydrobiol, D-45117 Essen, Germany; [Schmidt-Kloiber, Astrid; Huber, Thomas; Graf, Wolfram] Univ Nat Resources &amp; Appl Life Sci, Dept Water Atmosphere Environm, Inst Hydrobiol &amp; Aquat Ecosyst Management, A-1180 Vienna, Austria; [Murphy, John] Ctr Ecol &amp; Hydrol, FBA River Lab, Wareham BH20 6BB, Dorset, England; [Luecke, Sofie] Swedish Univ Agr Sci, Dept Environm Assessment, SE-75007 Uppsala, Sweden; [Zamora-Munoz, Carmen; Jesus Lopez-Rodriguez, Manuel] Univ Granada, Dept Anim Biol, E-18071 Granada, Spain</t>
  </si>
  <si>
    <t>University of Duisburg Essen; BOKU University; UK Centre for Ecology &amp; Hydrology (UKCEH); Swedish University of Agricultural Sciences; University of Granada</t>
  </si>
  <si>
    <t>Hering, D (corresponding author), Univ Duisburg Essen, Dept Appl Zool Hydrobiol, D-45117 Essen, Germany.</t>
  </si>
  <si>
    <t>daniel.hering@uni-due.de</t>
  </si>
  <si>
    <t>; López Rodríguez, Manuel Jesús/A-9296-2011; Schmidt-Kloiber, Astrid/O-5278-2015; Zamora-Muñoz, Carmen/K-7050-2014; Hering, Daniel/D-4280-2012</t>
  </si>
  <si>
    <t>Wolfram, Graf/0000-0001-6559-0644; López Rodríguez, Manuel Jesús/0000-0001-6707-0992; Schmidt-Kloiber, Astrid/0000-0001-8839-5913; Zamora-Muñoz, Carmen/0000-0002-3037-1529;</t>
  </si>
  <si>
    <t>EU-funded Integrated Project Euro-limpacs [GOCE-CT-2003-505540]; Workpackage 7 ( Indicators of EcosystemHealth)</t>
  </si>
  <si>
    <t>EU-funded Integrated Project Euro-limpacs; Workpackage 7 ( Indicators of EcosystemHealth)</t>
  </si>
  <si>
    <t>This study was supported by the EU-funded Integrated Project Euro-limpacs (GOCE-CT-2003-505540), Workpackage 7 ( Indicators of EcosystemHealth). We are grateful to Tracy Corbin and Nick Kneebone for their help in compiling the database.</t>
  </si>
  <si>
    <t>SPRINGER BASEL AG</t>
  </si>
  <si>
    <t>BASEL</t>
  </si>
  <si>
    <t>PICASSOPLATZ 4, BASEL, 4052, SWITZERLAND</t>
  </si>
  <si>
    <t>1015-1621</t>
  </si>
  <si>
    <t>1420-9055</t>
  </si>
  <si>
    <t>AQUAT SCI</t>
  </si>
  <si>
    <t>Aquat. Sci.</t>
  </si>
  <si>
    <t>Environmental Sciences; Limnology; Marine &amp; Freshwater Biology</t>
  </si>
  <si>
    <t>Environmental Sciences &amp; Ecology; Marine &amp; Freshwater Biology</t>
  </si>
  <si>
    <t>431TU</t>
  </si>
  <si>
    <t>WOS:000265087700002</t>
  </si>
  <si>
    <t>Randin, CF; Engler, R; Normand, S; Zappa, M; Zimmermann, NE; Pearman, PB; Vittoz, P; Thuiller, W; Guisan, A</t>
  </si>
  <si>
    <t>Randin, Christophe F.; Engler, Robin; Normand, Signe; Zappa, Massimiliano; Zimmermann, Niklaus E.; Pearman, Peter B.; Vittoz, Pascal; Thuiller, Wilfried; Guisan, Antoine</t>
  </si>
  <si>
    <t>Climate change and plant distribution: local models predict high-elevation persistence</t>
  </si>
  <si>
    <t>climate change; Europe; mountain region; species distribution model; Swiss Alps</t>
  </si>
  <si>
    <t>GENERALIZED ADDITIVE-MODELS; HABITAT DISTRIBUTION MODELS; SPECIES DISTRIBUTIONS; EXTINCTION RISK; CHANGE IMPACTS; FUTURE; PROJECTIONS; REGRESSION; SHIFTS; RANGE</t>
  </si>
  <si>
    <t>Mountain ecosystems will likely be affected by global warming during the 21st century, with substantial biodiversity loss predicted by species distribution models (SDMs). Depending on the geographic extent, elevation range, and spatial resolution of data used in making these models, different rates of habitat loss have been predicted, with associated risk of species extinction. Few coordinated across-scale comparisons have been made using data of different resolutions and geographic extents. Here, we assess whether climate change-induced habitat losses predicted at the European scale (10 x 10' grid cells) are also predicted from local-scale data and modeling (25 m x 25 m grid cells) in two regions of the Swiss Alps. We show that local-scale models predict persistence of suitable habitats in up to 100% of species that were predicted by a European-scale model to lose all their suitable habitats in the area. Proportion of habitat loss depends on climate change scenario and study area. We find good agreement between the mismatch in predictions between scales and the fine-grain elevation range within 10 x 10' cells. The greatest prediction discrepancy for alpine species occurs in the area with the largest nival zone. Our results suggest elevation range as the main driver for the observed prediction discrepancies. Local-scale projections may better reflect the possibility for species to track their climatic requirement toward higher elevations.</t>
  </si>
  <si>
    <t>[Randin, Christophe F.; Engler, Robin; Pearman, Peter B.; Guisan, Antoine] Dept Ecol &amp; Evolut, Lab Conservat Biol, CH-1015 Lausanne, Switzerland; [Normand, Signe] Univ Aarhus, Dept Biol Sci, DK-8000 Aarhus C, Denmark; [Zappa, Massimiliano; Zimmermann, Niklaus E.] Swiss Fed Res Inst WSL, CH-8903 Birmensdorf, Switzerland; [Vittoz, Pascal] Univ Lausanne, Fac Geosci Environm, CH-1015 Lausanne, Switzerland; [Thuiller, Wilfried] Univ Grenoble 1, CNRS, UMR 5553, Lab Ecol Alpine, F-38041 Grenoble 9, France</t>
  </si>
  <si>
    <t>Aarhus University; Swiss Federal Institutes of Technology Domain; Swiss Federal Institute for Forest, Snow &amp; Landscape Research; University of Lausanne; Communaute Universite Grenoble Alpes; Universite Grenoble Alpes (UGA); Centre National de la Recherche Scientifique (CNRS); Universite Savoie Mont Blanc; CNRS - Institute of Ecology &amp; Environment (INEE)</t>
  </si>
  <si>
    <t>Guisan, A (corresponding author), Dept Ecol &amp; Evolut, Lab Conservat Biol, CH-1015 Lausanne, Switzerland.</t>
  </si>
  <si>
    <t>antoine.guisan@unil.ch</t>
  </si>
  <si>
    <t>Normand, Signe/A-1561-2012; Engler, Robin/B-7912-2015; Zappa, Massimiliano/C-1205-2009; Pearman, Peter/C-6298-2011; Randin, Christophe François/K-6969-2016; Zimmermann, Niklaus/A-4276-2008; Guisan, Antoine/A-1057-2011; Thuiller, Wilfried/G-3283-2010</t>
  </si>
  <si>
    <t>Normand, Signe/0000-0002-8782-4154; Zappa, Massimiliano/0000-0002-2837-8190; Pearman, Peter/0000-0002-0794-101X; Randin, Christophe François/0000-0002-4171-0178; Zimmermann, Niklaus/0000-0003-3099-9604; Guisan, Antoine/0000-0002-3998-4815;</t>
  </si>
  <si>
    <t>Centre de Conservation de la Nature (SFFN); Canton de Vaud; Swiss National Science Foundation [3100A0-110000]; European Science Commission</t>
  </si>
  <si>
    <t>Centre de Conservation de la Nature (SFFN); Canton de Vaud; Swiss National Science Foundation(Swiss National Science Foundation (SNSF)); European Science Commission</t>
  </si>
  <si>
    <t>This study was supported by the Centre de Conservation de la Nature (SFFN) of the Canton de Vaud, the Swiss National Science Foundation (SNF Grant No. 3100A0-110000), and the European Science Commission (FP6 projects ECOCHANGE and MACIS). We thank all the people who helped in the field, particularly StEfanie Maire, Dario Martinoni, SEverine Widler, Chantal Peverelli, Valentine Hof, GrEgoire Vuissoz, Lorenzo De Stefani, Roxane Milleret, Pierre Bermane Favrod-Coune, Daniel Cherix, Anny. and Willy Berra. C.R. and A.G. greatly benefited from the interactions with colleagues within the Swiss National Centre for Competence in Research (NCCR) 'Plant survival in natural and agricultural ecosystems' (www.unine.ch/nccr) (www.unine.ch/nccr). We are particularly grateful to Dr Stefan Dullinger for his useful comments during the revision.</t>
  </si>
  <si>
    <t>441LU</t>
  </si>
  <si>
    <t>WOS:000265771400016</t>
  </si>
  <si>
    <t>Morin, X; Thuiller, W</t>
  </si>
  <si>
    <t>Morin, Xavier; Thuiller, Wilfried</t>
  </si>
  <si>
    <t>Comparing niche- and process-based models to reduce prediction uncertainty in species range shifts under climate change</t>
  </si>
  <si>
    <t>biodiversity; biogeography; climate change; extinction; migration; niche-based modeling; process-based modeling; species distribution</t>
  </si>
  <si>
    <t>MIGRATION RATES; ENVIRONMENTAL-CHANGE; ECOSYSTEM DYNAMICS; CONTINENTAL-SCALE; PLANT MIGRATION; ENVELOPE MODELS; CHANGE IMPACTS; TREE; DISTRIBUTIONS; CONSEQUENCES</t>
  </si>
  <si>
    <t>Obtaining reliable predictions of species range shifts under climate change is a crucial challenge for ecologists and stakeholders. At the continental scale, niche-based models have been widely used in the last 10 years to predict the potential impacts of climate change on species distributions all over the world, although these models do not include any mechanistic relationships. In contrast, species-specific, process-based predictions remain scarce at the continental scale. This is regrettable because to secure relevant and accurate predictions it is always desirable to compare predictions derived from different kinds of models applied independently to the same set of species and using the same raw data. Here we compare predictions of range shifts under climate change scenarios for 2100 derived from niche-based models with those of a process-based model for 15 North American boreal and temperate tree species. A general pattern emerged from our comparisons: niche-based models tend to predict a stronger level of extinction and a greater proportion of colonization than the process-based model. This result likely arises because niche-based models do not take phenotypic plasticity and local adaptation into account. Nevertheless, as the two kinds of models rely on different assumptions, their complementarity is revealed by common findings. Both modeling approaches highlight a major potential limitation on species tracking their climatic niche because of migration constraints and identify similar zones where species extirpation is likely. Such convergent predictions from models built on very different principles provide a useful way to offset uncertainties at the continental scale. This study shows that the use in concert of both approaches with their own caveats and advantages is crucial to obtain more robust results and that comparisons among models are needed in the near future to gain accuracy regarding predictions of range shifts under climate change.</t>
  </si>
  <si>
    <t>[Morin, Xavier] CNRS, UMR 5175, Ctr Ecol Fonct &amp; Evolut, Equipe BIOFLUX, F-34293 Montpellier 5, France; [Morin, Xavier] McGill Univ, Dept Biol, Montreal, PQ H3A 1B1, Canada; [Thuiller, Wilfried] Univ Grenoble 1, CNRS, UMR 5553, Lab Ecol Alpine, F-38041 Grenoble 9, France</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</si>
  <si>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McGill University; Centre National de la Recherche Scientifique (CNRS); CNRS - Institute of Ecology &amp; Environment (INEE); Communaute Universite Grenoble Alpes; Universite Grenoble Alpes (UGA); Universite Savoie Mont Blanc</t>
  </si>
  <si>
    <t>Morin, X (corresponding author), CNRS, UMR 5175, Ctr Ecol Fonct &amp; Evolut, Equipe BIOFLUX, 1919 Route Mende, F-34293 Montpellier 5, France.</t>
  </si>
  <si>
    <t>xavier.morin@cefe.cnrs.fr</t>
  </si>
  <si>
    <t>Thuiller, Wilfried/G-3283-2010; Morin, Xavier/B-2790-2015</t>
  </si>
  <si>
    <t>PHENO-RANGE-EDGE project [39473]; Agence National pour la Recherche; European Commission's FP6 MACIS [044399]; ECOCHANGE [066866]</t>
  </si>
  <si>
    <t>PHENO-RANGE-EDGE project; Agence National pour la Recherche(Agence Nationale de la Recherche (ANR)); European Commission's FP6 MACIS(European Union (EU)European Commission Joint Research Centre); ECOCHANGE(European Union (EU))</t>
  </si>
  <si>
    <t>The authors thank Isabelle Chuine, Kathryn M. Flinn, Emmanuel S. Gritti, Martin J. Lechowicz, Ron Neilson, and one anonymous referee for valuable comments that improved this manuscript. Support was provided to X. Morin by a Marie Curie Outgoing International Fellowship within the European Commission's FP6, for the PHENO-RANGE-EDGE project (number 39473). W. Thuiller was partly funded by the Agence National pour la Recherche'' through the QDiv project (Quantifying the Effects of Global Environmental Change on Terrestrial Plant Diversity). W. Thuiller received support from European Commission's FP6 MACIS (Minimisation of and Adaptation to Climate change Impacts on biodiverSity number 044399) and ECOCHANGE (Challenges in assessing and forecasting biodiversity and ecosystem changes in Europe, number 066866 GOCE) projects.</t>
  </si>
  <si>
    <t>442CA</t>
  </si>
  <si>
    <t>WOS:000265816200012</t>
  </si>
  <si>
    <t>Yates, CJ; McNeill, A; Elith, J; Midgley, GF</t>
  </si>
  <si>
    <t>Yates, Colin J.; McNeill, Asha; Elith, Jane; Midgley, Guy F.</t>
  </si>
  <si>
    <t>Assessing the impacts of climate change and land transformation on Banksia in the South West Australian Floristic Region</t>
  </si>
  <si>
    <t>Biodiversity hotspot; climate change; habitat fragmentation; MAXENT; mediterranean-type ecosystem; species distribution model</t>
  </si>
  <si>
    <t>BIOCLIMATE ENVELOPE MODELS; FIRE-PRONE ENVIRONMENTS; CANOPY SEED STORAGE; SPECIES DISTRIBUTION; GLOBAL CHANGE; ECOLOGICAL SIGNIFICANCE; RANGE; DISPERSAL; RESPONSES; FUTURE</t>
  </si>
  <si>
    <t>Aim To determine the potential combined effects of climate change and land transformation on the modelled geographic ranges of Banksia. Location Mediterranean climate South West Australian Floristic Region (SWAFR). Methods We used the species distribution modelling software Maxent to relate current environmental conditions to occurrence data for 18 Banksia species, and subsequently made spatial predictions using two simple dispersal scenarios (zero and universal), for three climate-severity scenarios at 2070, taking the impacts of land transformation on species' ranges into account. The species were chosen to reflect the biogeography of Banksia in the SWAFR. Results Climate-severity scenario, dispersal scenario, biogeographic distribution and land transformation all influenced the direction and magnitude of the modelled range change responses for the 18 species. The predominant response of species to all climate change scenarios was range contraction, with exceptions for some northern and widespread species. Including land transformation in estimates of modelled geographic range size for the three climate-severity scenarios generally resulted in smaller gains and larger declines in species ranges across both dispersal scenarios. Including land transformation and assuming zero dispersal resulted, as expected, in the greatest declines in projected range size across all species. Increasing climate change severity greatly increased the risk of decline in the 18 Banksia species, indicating the critical role of mitigating future emissions. Main conclusions The combined effects of climate change and land transformation may have significant adverse impacts on endemic Proteaceae in the SWAFR, especially under high emissions scenarios and if, as expected, natural migration is limiting. Although these results need cautious interpretation in light of the many assumptions underlying the techniques used, the impacts identified warrant a clear focus on monitoring across species ranges to detect early signs of change, and experiments that determine physiological thresholds for species in order to validate and refine the models.</t>
  </si>
  <si>
    <t>[Yates, Colin J.; McNeill, Asha] Western Australian Dept Environm &amp; Conservat, LMB 104, Div Sci, Bentley, WA 6983, Australia; [Elith, Jane] Univ Melbourne, Sch Bot, Parkville, Vic 3010, Australia; [Midgley, Guy F.] S African Natl Biodivers Inst, ZA-7735 Claremont, South Africa</t>
  </si>
  <si>
    <t>University of Melbourne; South African National Biodiversity Institute</t>
  </si>
  <si>
    <t>Yates, CJ (corresponding author), Western Australian Dept Environm &amp; Conservat, LMB 104, Div Sci, Bentley Delivery Ctr, Bentley, WA 6983, Australia.</t>
  </si>
  <si>
    <t>colin.yates@dec.wa.gov.au</t>
  </si>
  <si>
    <t>Yates, Colin/B-5972-2011; Elith, Jane/F-2022-2015; McNeill, Asha/J-9339-2018; Midgley, Guy/H-3585-2014</t>
  </si>
  <si>
    <t>Elith, Jane/0000-0002-8706-0326; McNeill, Asha/0000-0002-3870-7517; Midgley, Guy/0000-0001-8264-0869</t>
  </si>
  <si>
    <t>ARC [DP0772671]; Australian Centre of Excellence; Australian Research Council [DP0772671] Funding Source: Australian Research Council</t>
  </si>
  <si>
    <t>ARC(Australian Research Council); Australian Centre of Excellence; Australian Research Council(Australian Research Council)</t>
  </si>
  <si>
    <t>We thank the Commonwealth Government of Australia Bilateral Climate Change Partnership Program for supporting DEC and SANBI in collaborative research on climate change and biodiversity in Western Australia and South Africa. We thank Paul Gioia (DEC) for help with data management. We are grateful to Linda Beaumont and Andres Roubicek at Macquarie University for providing us with the Matlab scripts for calculating bioclimatic variables. We thank Richard McKellar for comments on the manuscript. J.E. was supported by ARC grant DP0772671 and the Australian Centre of Excellence for Risk Analysis.</t>
  </si>
  <si>
    <t>545HM</t>
  </si>
  <si>
    <t>WOS:000273723100018</t>
  </si>
  <si>
    <t>Heikkinen, RK; Luoto, M; Leikola, N; Pöyry, J; Settele, J; Kudrna, O; Marmion, M; Fronzek, S; Thuiller, W</t>
  </si>
  <si>
    <t>Heikkinen, Risto K.; Luoto, Miska; Leikola, Niko; Poyry, Juha; Settele, Josef; Kudrna, Otakar; Marmion, Mathieu; Fronzek, Stefan; Thuiller, Wilfried</t>
  </si>
  <si>
    <t>Assessing the vulnerability of European butterflies to climate change using multiple criteria</t>
  </si>
  <si>
    <t>Bioclimatic model; Climate change; Land cover; Lepidoptera; Range shift; Species characteristics; Susceptibility; Topographical heterogeneity</t>
  </si>
  <si>
    <t>SPECIES DISTRIBUTIONS; EXTINCTION RISK; RANDOM FORESTS; CHANGE IMPACTS; RANGE SHIFTS; LAND-USE; DIVERSITY; BIODIVERSITY; CAPE; RESPONSES</t>
  </si>
  <si>
    <t>Vulnerability of 100 European butterfly species to climate change was assessed using 13 different criteria and data on species distributions, climate, land cover and topography from 1,608 grid squares 30' x 60' in size, and species characteristics increasing the susceptibility to climate change. Four bioclimatic model-based criteria were developed for each species by comparing the present-day distribution and climatic suitability of the occupied grid cells with projected distribution and suitability in the future using the HadCM3-A2 climate scenario for 2051-2080. The proportions of disadvantageous land cover types (bare areas, water, snow and ice, artificial surfaces) and cultivated and managed land in the occupied grid squares and their surroundings were measured to indicate the amount of unfavourable land cover and dispersal barriers for butterflies, and topographical heterogeneity to indicate the availability of potential climatic refugia. Vulnerability was also assessed based on species dispersal ability, geographical localization and habitat specialization. Northern European species appeared to be amongst the most vulnerable European butterflies. However, there is much species-to-species variation, and species appear to be threatened due to different combinations of critical characteristics. Inclusion of additional criteria, such as life-history species characteristics, topography and land cover to complement the bioclimatic model-based species vulnerability measures can significantly deepen the assessments of species susceptibility to climate change.</t>
  </si>
  <si>
    <t>[Heikkinen, Risto K.; Poyry, Juha] Finnish Environm Inst, Res Programme Biodivers, Res Dept, Helsinki 00251, Finland; [Luoto, Miska; Marmion, Mathieu] Univ Oulu, Dept Geog, Oulu 90014, Finland; [Leikola, Niko] Finnish Environm Inst, Nat Div, Expert Serv Dept, Helsinki 00251, Finland; [Settele, Josef] UFZ Helmholtz Ctr Environm Res, Dept Community Ecol, Helmholtz Ctr Environm Res, D-06120 Halle, Germany; [Kudrna, Otakar] Nat Museum Sudtirol, I-39100 Bolzano, Sudtirol, Italy; [Fronzek, Stefan] Finnish Environm Inst, Res Programme Global Change, Res Dept, Helsinki 00251, Finland; [Thuiller, Wilfried] Univ Grenoble 1, Lab Ecol Alpine, UMR CNRS 5553, F-38041 Grenoble 9, France</t>
  </si>
  <si>
    <t>Finnish Environment Institute; University of Oulu; Finnish Environment Institute; Helmholtz Association; Helmholtz Center for Environmental Research (UFZ); Finnish Environment Institute; Centre National de la Recherche Scientifique (CNRS); CNRS - Institute of Ecology &amp; Environment (INEE); Communaute Universite Grenoble Alpes; Universite Grenoble Alpes (UGA); Universite Savoie Mont Blanc</t>
  </si>
  <si>
    <t>Heikkinen, RK (corresponding author), Finnish Environm Inst, Res Programme Biodivers, Res Dept, POB 140, Helsinki 00251, Finland.</t>
  </si>
  <si>
    <t>risto.heikkinen@ymparisto.fi</t>
  </si>
  <si>
    <t>Fronzek, Stefan/W-5724-2019; Luoto, Miska/E-6693-2014; Settele, Josef/A-6371-2009; Pöyry, Juha/B-7487-2013; Thuiller, Wilfried/G-3283-2010; Heikkinen, Risto/AAN-6257-2020</t>
  </si>
  <si>
    <t>Fronzek, Stefan/0000-0003-2478-8050; Luoto, Miska/0000-0001-6203-5143; Settele, Josef/0000-0002-8624-4983; Pöyry, Juha/0000-0002-5548-1046;</t>
  </si>
  <si>
    <t>EC [GOCE-CT-2003-506675]; Academy of Finland [116544]; EU</t>
  </si>
  <si>
    <t>EC(European Union (EU)European Commission Joint Research Centre); Academy of Finland(Research Council of Finland); EU(European Union (EU))</t>
  </si>
  <si>
    <t>Zdravko Kolev helped with the assessment of butterfly species dispersal ability for S European species. Different parts of this research were funded by the EC FP6 Integrated Project ALARM (Settele et al. 2005; GOCE-CT-2003-506675). MM was funded by the Academy of Finland ( project grant 116544). WT was partly funded by the EU FP6 MACIS project (Kuhn et al. 2008; Minimisation of and Adaptation to Climate change: Impacts on biodiversity, contract No.: 044399) and EU FP6 ECOCHANGE integrated project (Challenges in assessing and forecasting biodiversity and ecosystem changes in Europe). M. Bailey helped with correction of the English text.</t>
  </si>
  <si>
    <t>552YI</t>
  </si>
  <si>
    <t>WOS:000274330800007</t>
  </si>
  <si>
    <t>Rebelo, H; Tarroso, P; Jones, G</t>
  </si>
  <si>
    <t>Rebelo, Hugo; Tarroso, Pedro; Jones, Gareth</t>
  </si>
  <si>
    <t>Predicted impact of climate change on European bats in relation to their biogeographic patterns</t>
  </si>
  <si>
    <t>bats; bioclimatic envelope; climate change; Europe; maximum entropy models; spatial PCA; species distributions</t>
  </si>
  <si>
    <t>FORAGING HABITATS; SPECIES RICHNESS; ENVELOPE MODELS; MYOTIS-MYOTIS; CONSERVATION; DIVERSITY; DISTRIBUTIONS; PROJECTIONS</t>
  </si>
  <si>
    <t>There has been considerable recent interest concerning the impact of climate change on a wide range of taxa. However, little is known about how the biogeographic affinities of taxa may affect their responses to these impacts. Our main aim was to study how predicted climate change will affect the distribution of 28 European bat species grouped by their biogeographic patterns as determined by a spatial Principal Component Analysis. Using presence-only modelling techniques and climatic data (minimum temperature, average temperature, precipitation, humidity and daily temperature range) for four different climate change scenarios (IPCC scenarios ranging from the most extreme A1FI, A2, B2 to the least severe, B1), we predict the potential geographic distribution of bat species in Europe grouped according to their biogeographic patterns for the years 2020-2030, 2050-2060 and 2090-2100. Biogeographic patterns exert a great influence on a species' response to climate change. Bat species more associated with colder climates, hence northern latitudes, could be more severely affected with some extinctions predicted by the end of the century. The Mediterranean and Temperate groups seem to be more tolerant of temperature increases, however, their projections varied considerably under different climate change scenarios. Scenario A1FI was clearly the most detrimental for European bat diversity, with several extinctions and declines in occupied area predicted for several species. The B scenarios were less damaging and even predicted that some species could increase their geographical ranges. However, all models only took into account climatic envelopes whereas available habitat and species interactions will also probably play an important role in delimiting future distribution patterns. The models may therefore generate 'best case' predictions about future changes in the distribution of European bats.</t>
  </si>
  <si>
    <t>[Rebelo, Hugo; Tarroso, Pedro] Ctr Invest Biodiversidade &amp; Recursos Genet, Inst Ciencias Agr Vairao, P-4485661 Vairao, Portugal; [Rebelo, Hugo; Jones, Gareth] Univ Bristol, Sch Biol Sci, Bristol BS8 1UG, Avon, England</t>
  </si>
  <si>
    <t>Universidade do Porto; University of Bristol</t>
  </si>
  <si>
    <t>Rebelo, H (corresponding author), Ctr Invest Biodiversidade &amp; Recursos Genet, Inst Ciencias Agr Vairao, P-4485661 Vairao, Portugal.</t>
  </si>
  <si>
    <t>hugo_reb@sapo.pt</t>
  </si>
  <si>
    <t>; Tarroso, Peo/I-3023-2012; Rebelo, Hugo/C-9005-2009</t>
  </si>
  <si>
    <t>Jones, Gareth/0000-0002-1904-3735; Tarroso, Peo/0000-0002-2694-1170; Rebelo, Hugo/0000-0002-7118-4068</t>
  </si>
  <si>
    <t>Fundacao da Ciencia e Tecnologia [SFRH/BD/17755/2004, SFRH/BD/42480/2007]; Fundação para a Ciência e a Tecnologia [SFRH/BD/17755/2004, SFRH/BD/42480/2007] Funding Source: FCT</t>
  </si>
  <si>
    <t>Fundacao da Ciencia e Tecnologia(Fundacao para a Ciencia e a Tecnologia (FCT)); Fundação para a Ciência e a Tecnologia(Fundacao para a Ciencia e a Tecnologia (FCT))</t>
  </si>
  <si>
    <t>The authors wish to thank Jose Carlos Brito for the advices and Dr. Tim Mitchell for the valuable help in converting climatic data. HR and PT were funded by Fundacao da Ciencia e Tecnologia (SFRH/BD/17755/2004 and SFRH/BD/42480/2007, respectively).</t>
  </si>
  <si>
    <t>554EX</t>
  </si>
  <si>
    <t>WOS:000274419400007</t>
  </si>
  <si>
    <t>Sinervo, B; Méndez-de-la-Cruz, F; Miles, DB; Heulin, B; Bastiaans, E; Cruz, MVS; Lara-Resendiz, R; Martínez-Méndez, N; Calderón-Espinosa, ML; Meza-Lázaro, RN; Gadsden, H; Avila, LJ; Morando, M; De la Riva, IJ; Sepulveda, PV; Rocha, CFD; Ibargüengoytía, N; Puntriano, CA; Massot, M; Lepetz, V; Oksanen, TA; Chapple, DG; Bauer, AM; Branch, WR; Clobert, J; Sites, JW</t>
  </si>
  <si>
    <t>Sinervo, Barry; Mendez-de-la-Cruz, Fausto; Miles, Donald B.; Heulin, Benoit; Bastiaans, Elizabeth; Villagran-Santa Cruz, Maricela; Lara-Resendiz, Rafael; Martinez-Mendez, Norberto; Lucia Calderon-Espinosa, Martha; Nelsi Meza-Lazaro, Rubi; Gadsden, Hector; Javier Avila, Luciano; Morando, Mariana; De la Riva, Ignacio J.; Victoriano Sepulveda, Pedro; Duarte Rocha, Carlos Frederico; Ibargueengoytia, Nora; Aguilar Puntriano, Cesar; Massot, Manuel; Lepetz, Virginie; Oksanen, Tuula A.; Chapple, David G.; Bauer, Aaron M.; Branch, William R.; Clobert, Jean; Sites, Jack W., Jr.</t>
  </si>
  <si>
    <t>Erosion of Lizard Diversity by Climate Change and Altered Thermal Niches</t>
  </si>
  <si>
    <t>EXTINCTION RISK; EVOLUTION; UNCERTAINTY; ECOLOGY; TEMPERATURE; PREDICTIONS; ECTOTHERMS; PHYSIOLOGY; SELECTION; MODELS</t>
  </si>
  <si>
    <t>It is predicted that climate change will cause species extinctions and distributional shifts in coming decades, but data to validate these predictions are relatively scarce. Here, we compare recent and historical surveys for 48 Mexican lizard species at 200 sites. Since 1975, 12% of local populations have gone extinct. We verified physiological models of extinction risk with observed local extinctions and extended projections worldwide. Since 1975, we estimate that 4% of local populations have gone extinct worldwide, but by 2080 local extinctions are projected to reach 39% worldwide, and species extinctions may reach 20%. Global extinction projections were validated with local extinctions observed from 1975 to 2009 for regional biotas on four other continents, suggesting that lizards have already crossed a threshold for extinctions caused by climate change.</t>
  </si>
  <si>
    <t>[Sinervo, Barry; Bastiaans, Elizabeth] Univ Calif Santa Cruz, Dept Ecol &amp; Evolutionary Biol, Santa Cruz, CA 95064 USA; [Mendez-de-la-Cruz, Fausto; Lara-Resendiz, Rafael; Martinez-Mendez, Norberto; Nelsi Meza-Lazaro, Rubi] Univ Nacl Autonoma Mexico, Inst Biol, Lab Herpetol, Mexico City 04510, DF, Mexico; [Miles, Donald B.] Ohio Univ, Dept Biol, Athens, OH 45701 USA; [Heulin, Benoit] CNRS, UMR 6553, Stn Biol, F-35380 Paimpont, France; [Villagran-Santa Cruz, Maricela] Univ Nacl Autonoma Mexico, Fac Ciencias, Dept Biol Comparada, Lab Biol Reprod Anim, Mexico City 04510, DF, Mexico; [Lucia Calderon-Espinosa, Martha] Univ Nacl Colombia, Inst Ciencias Nat, Bogota, Colombia; [Gadsden, Hector] Inst Ecol AC, Chihuahua 31109, Mexico; [Javier Avila, Luciano; Morando, Mariana] Consejo Nacl Invest Cient &amp; Tecn, Ctr Nacl Patagon, Puerto Madryn, Chubut, Argentina; [De la Riva, Ignacio J.] CSIC, Museo Nacl Ciencias Nat, E-28006 Madrid, Spain; [Victoriano Sepulveda, Pedro] Univ Concepcion, Dpto Zool, Concepcion, Chile; [Duarte Rocha, Carlos Frederico] Univ Estado Rio de Janeiro, Inst Biol, Dept Ecol, BR-20550019 Rio De Janeiro, Brazil; [Ibargueengoytia, Nora] Univ Nacl Comahue, Ctr Reg Univ Bariloche, Consejo Nacl Invest Cient &amp; Tecn, INIBIOMA, RA-8400 San Carlos De Bariloche, Rio Negro, Argentina; [Aguilar Puntriano, Cesar] Univ Nacl Mayor San Marcos, Museo Hist Nat, Dept Herpetol, Lima 14, Peru; [Massot, Manuel] Univ UPMC, CNRS, UMR 7625, Lab Ecol Evolut, F-75005 Paris, France; [Lepetz, Virginie; Clobert, Jean] CNRS, USR 2936, Stat Ecol Expt, F-09200 Moulis, Saint Girons, France; [Oksanen, Tuula A.] Univ Jyvaskyla, Dept Biol &amp; Environm Sci, Ctr Excellence Evolutionary Res, FI-40014 Jyvaskyla, Finland; [Chapple, David G.] Monash Univ, Sch Biol Sci, Clayton, Vic 3800, Australia; [Bauer, Aaron M.] Villanova Univ, Dept Biol, Villanova, PA 19085 USA; [Branch, William R.] Bayworld, ZA-6013 Humewood, South Africa; [Sites, Jack W., Jr.] Brigham Young Univ, Dept Biol, Provo, UT 84602 USA; [Sites, Jack W., Jr.] Brigham Young Univ, Bean Life Sci Museum, Provo, UT 84602 USA</t>
  </si>
  <si>
    <t>University of California System; University of California Santa Cruz; Universidad Nacional Autonoma de Mexico; University System of Ohio; Ohio University; Centre National de la Recherche Scientifique (CNRS); CNRS - Institute of Ecology &amp; Environment (INEE); Universidad Nacional Autonoma de Mexico; Universidad Nacional de Colombia; Instituto de Ecologia - Mexico; Consejo Nacional de Investigaciones Cientificas y Tecnicas (CONICET); Centro Nacional Patagonico (CENPAT); Consejo Superior de Investigaciones Cientificas (CSIC); CSIC - Museo Nacional de Ciencias Naturales (MNCN); Universidad de Concepcion; Universidade do Estado do Rio de Janeiro; Universidad Nacional del Comahue; Consejo Nacional de Investigaciones Cientificas y Tecnicas (CONICET); Universidad Nacional Mayor de San Marcos; Sorbonne Universite; Centre National de la Recherche Scientifique (CNRS); Centre National de la Recherche Scientifique (CNRS); University of Jyvaskyla; Monash University; Villanova University; Brigham Young University; Brigham Young University</t>
  </si>
  <si>
    <t>Sinervo, B (corresponding author), Univ Calif Santa Cruz, Dept Ecol &amp; Evolutionary Biol, Santa Cruz, CA 95064 USA.</t>
  </si>
  <si>
    <t>lizardrps@gmail.com</t>
  </si>
  <si>
    <t>Avila, Luciano Javier/AFN-1475-2022; Mendez, Fausto/O-3512-2018; Lara-Resendiz, Rafael A/AAG-5451-2021; Morando, Mariana/AGA-6105-2022; Martínez-Méndez, Norberto/AAB-2710-2021; Duarte Rocha, Carlos Frederico/A-6225-2013; Massot, Manuel/AGH-2703-2022; Aguilar Puntriano, Cesar/Q-6148-2018; Miles, Donald/AFW-0480-2022; Chapple, David/B-9073-2008; Gadsden, Hector/A-2066-2015; Mendez, Fausto/O-3512-2018</t>
  </si>
  <si>
    <t>Avila, Luciano Javier/0000-0003-4641-6581; Lara-Resendiz, Rafael A/0000-0002-6922-0330; De la Riva, Ignacio/0000-0001-5064-4507; Bastiaans, Elizabeth/0000-0002-7322-1088; Calderón Espinosa, Martha/0000-0002-3602-013X; Martínez-Méndez, Norberto/0000-0002-4029-4387; Oksanen, Tuula/0000-0003-3481-6158; Duarte Rocha, Carlos Frederico/0000-0003-3000-1242; Massot, Manuel/0000-0002-2762-4417; Aguilar Puntriano, Cesar/0000-0001-6372-7926; Miles, Donald/0000-0001-5768-179X; Chapple, David/0000-0002-7720-6280; Gadsden, Hector/0000-0002-1164-0578; Mendez, Fausto/0000-0002-5084-1276</t>
  </si>
  <si>
    <t>National Geographic Society, UC Mexus; UCSC Committee-On-Research; NSF [DEB 0108577, IBN 0213179, LTREB DEB 051597, DEB 0515909, 0844523, OISE 0530267]; CNRS; Museum Nationale d'Histoire Naturelle, Universite Paris 6, Universite Paul Sabatier Toulouse III [PAPIIT-UNAM IN213405, 224208]; Universite Paul Sabatier Toulouse III; CONACYT [4171N, 52852Q]; CONACYT-SEP [43142-Q]; ANR Blanche; FONDYCET [1090664]; SMSI [CGL2005-03156, CLG2008-04164, APCT-PICT1086]; Universidad Nacional Autonoma de Mexico; American Museum of Natural History; Academy of Finland [108955]; Australian Research Council; PIRE-Patagonia; Brigham Young University; Division Of Environmental Biology; Direct For Biological Sciences [0844523] Funding Source: National Science Foundation</t>
  </si>
  <si>
    <t>National Geographic Society, UC Mexus(National Geographic Society); UCSC Committee-On-Research; NSF(National Science Foundation (NSF)); CNRS(Centre National de la Recherche Scientifique (CNRS)); Museum Nationale d'Histoire Naturelle, Universite Paris 6, Universite Paul Sabatier Toulouse III; Universite Paul Sabatier Toulouse III; CONACYT(Consejo Nacional de Ciencia y Tecnologia (CONACyT)); CONACYT-SEP(Consejo Nacional de Ciencia y Tecnologia (CONACyT)); ANR Blanche(Agence Nationale de la Recherche (ANR)); FONDYCET; SMSI; Universidad Nacional Autonoma de Mexico(Universidad Nacional Autonoma de Mexico); American Museum of Natural History; Academy of Finland(Research Council of Finland); Australian Research Council(Australian Research Council); PIRE-Patagonia; Brigham Young University; Division Of Environmental Biology; Direct For Biological Sciences(National Science Foundation (NSF)NSF - Directorate for Biological Sciences (BIO))</t>
  </si>
  <si>
    <t>Research of B. S. was funded by the National Geographic Society, UC Mexus, UCSC Committee-On-Research, NSF awards (DEB 0108577, IBN 0213179, LTREB DEB 051597), CNRS fellowships, and visiting professorships (Museum Nationale d'Histoire Naturelle, Universite Paris 6, Universite Paul Sabatier Toulouse III), PAPIIT-UNAM IN213405 and 224208 to F. M.-C., a Universite Paul Sabatier Toulouse III Visiting Professorship to D. B. M., CONACYT grants (4171N and 52852Q) to M.V.-S.C., grant CONACYT-SEP (43142-Q) to H. G., a CONACYT fellowship to R.N.M.-L., CNRS funding to B. H., and M. M., Biodivera: Tenlamas and from ANR Blanche: DIAME to J.C., CONICET grants to L.J.A. and M. M., FONDYCET 1090664 grants to P. V. S., CGL2005-03156 and CLG2008-04164 grant from SMSI to I.J.R., APCT-PICT1086 grant to N.I., scholarships and grants from Universidad Nacional Autonoma de Mexico and American Museum of Natural History to M.V.-S.C., Academy of Finland grant (108955) to T.A.O., Australian Research Council grants to D. G. C., NSF awards DEB 0515909 and 0844523 to A. M. B., NSF award OISE 0530267, PIRE-Patagonia grant to J.W.S., L.J.A., M. M., and P. V. S. and Brigham Young University funding (Biology Department, Kennedy Center for International Studies, Bean Life Science Museum) to J.W.S.</t>
  </si>
  <si>
    <t>MAY 14</t>
  </si>
  <si>
    <t>595NT</t>
  </si>
  <si>
    <t>WOS:000277618800050</t>
  </si>
  <si>
    <t>Li, RQ; Tian, HD; Li, XH</t>
  </si>
  <si>
    <t>Li, Renqiang; Tian, Huidong; Li, Xinhai</t>
  </si>
  <si>
    <t>Climate change induced range shifts of Galliformes in China</t>
  </si>
  <si>
    <t>INTEGRATIVE ZOOLOGY</t>
  </si>
  <si>
    <t>climate change; Galliformes; generalized additive model; principal component analysis; range shift</t>
  </si>
  <si>
    <t>EXTINCTIONS; MODELS</t>
  </si>
  <si>
    <t>Climate change will cause range shifts of many species in the future. Galliformes might be particularly vulnerable to climate change, as they have low dispersal ability. Little is known about their possible responses to the future climate. We used a generalized additive model to predict the current and future ranges of all 63 Galliformes in China, based on a comprehensive species occurrence database and a combination of climate variables. Other environmental variables (e.g. elevation and human footprint index) were also considered, as well as the latitude and longitude of the occurrences. Principal component analysis was conducted to illustrate the association between environmental variables and Galliformes distributions. Using the Special Report on Emissions Scenarios (SRES) A2 climate change scenario for 2071-2100, we projected that 29 species would have range shifts over 50%, including 13 endemic species. Galliformes at higher elevation face greater range shifts. Northward shifts are greater than those in other directions. We suggest conservationists pay special attention to the 29 Galliformes that face extensive range shifts, especially the endemic species among them.</t>
  </si>
  <si>
    <t>[Li, Xinhai] Chinese Acad Sci, Inst Zool, Key Lab Zool Systemat &amp; Evolut, Beijing 100101, Peoples R China; [Li, Renqiang] Chinese Acad Sci, Inst Geog Sci &amp; Nat Resources Res, Key Lab Ecosyst Network Observat &amp; Modeling, Beijing 100101, Peoples R China; [Tian, Huidong] Chinese Acad Sci, Inst Zool, State Key Lab Integrated Pest Management Pest Ins, Beijing 100101, Peoples R China; [Tian, Huidong] Chinese Acad Sci, Grad Univ, Beijing 100101, Peoples R China</t>
  </si>
  <si>
    <t>Chinese Academy of Sciences; Institute of Zoology, CAS; Chinese Academy of Sciences; Institute of Geographic Sciences &amp; Natural Resources Research, CAS; Chinese Academy of Sciences; Institute of Zoology, CAS; Chinese Academy of Sciences; University of Chinese Academy of Sciences, CAS</t>
  </si>
  <si>
    <t>Li, XH (corresponding author), Chinese Acad Sci, Inst Zool, Key Lab Zool Systemat &amp; Evolut, 1-5 Beichen W Rd, Beijing 100101, Peoples R China.</t>
  </si>
  <si>
    <t>lixh@ioz.ac.cn</t>
  </si>
  <si>
    <t>; Li, Xinhai/G-9111-2011</t>
  </si>
  <si>
    <t>李, 仁强/0000-0002-3959-2221; Li, Xinhai/0000-0003-4514-0149</t>
  </si>
  <si>
    <t>Chinese Academy of Sciences (CAS) [KSCX2-YW-R-162, KSCX2-YW-N-063]; Chinese Ministry of Science and Technology; United States Department of Agriculture; Bureau of International Cooperation, Chinese Academy of Sciences [GJHZ200810]</t>
  </si>
  <si>
    <t>Chinese Academy of Sciences (CAS)(Chinese Academy of Sciences); Chinese Ministry of Science and Technology(Ministry of Science and Technology, China); United States Department of Agriculture(United States Department of Agriculture (USDA)); Bureau of International Cooperation, Chinese Academy of Sciences(Chinese Academy of Sciences)</t>
  </si>
  <si>
    <t>This work was supported by Chinese Academy of Sciences (CAS) (Knowledge Innovation Project, Grant No. KSCX2-YW-R-162 to X. L. and KSCX2-YW-N-063 to F. L.), Chinese Ministry of Science and Technology (Technical Platform Program), and United States Department of Agriculture (Cooperative Project of Surveillance on Avian Influenza). We would also like to thank the ISZS international research program Biological Consequences of Global Change (BCGC) sponsored by Bureau of International Cooperation, Chinese Academy of Sciences (GJHZ200810).</t>
  </si>
  <si>
    <t>1749-4877</t>
  </si>
  <si>
    <t>1749-4869</t>
  </si>
  <si>
    <t>INTEGR ZOOL</t>
  </si>
  <si>
    <t>Integr. Zool.</t>
  </si>
  <si>
    <t>605KB</t>
  </si>
  <si>
    <t>WOS:000278345400009</t>
  </si>
  <si>
    <t>Engler, R; Randin, CF; Thuiller, W; Dullinger, S; Zimmermann, NE; Araújo, MB; Pearman, PB; Le Lay, G; Piedallu, C; Albert, CH; Choler, P; Coldea, G; De Lamo, X; Dirnböck, T; Gegout, JC; Gómez-García, D; Grytnes, JA; Heegaard, E; Hoistad, F; Nogués-Bravo, D; Normand, S; Puscas, M; Sebastià, MT; Stanisci, A; Theurillat, JP; Trivedi, MR; Vittoz, P; Guisan, A</t>
  </si>
  <si>
    <t>Engler, Robin; Randin, Christophe F.; Thuiller, Wilfried; Dullinger, Stefan; Zimmermann, Niklaus E.; Araujo, Miguel B.; Pearman, Peter B.; Le Lay, Gwenaelle; Piedallu, Christian; Albert, Cecile H.; Choler, Philippe; Coldea, Gheorghe; De Lamo, Xavier; Dirnbock, Thomas; Gegout, Jean-Claude; Gomez-Garcia, Daniel; Grytnes, John-Arvid; Heegaard, Einar; Hoistad, Fride; Nogues-Bravo, David; Normand, Signe; Puscas, Mihai; Sebastia, Maria-Teresa; Stanisci, Angela; Theurillat, Jean-Paul; Trivedi, Mandar R.; Vittoz, Pascal; Guisan, Antoine</t>
  </si>
  <si>
    <t>21st century climate change threatens mountain flora unequally across Europe</t>
  </si>
  <si>
    <t>alpine plants; Europe vegetation; global change; impact assessment; species distribution models</t>
  </si>
  <si>
    <t>LAND-USE CHANGE; SPECIES DISTRIBUTION; DISTRIBUTION MODELS; PLANT-DISTRIBUTION; VASCULAR PLANTS; GLOBAL CHANGE; RANGE; DISTRIBUTIONS; VEGETATION; IMPACT</t>
  </si>
  <si>
    <t>Continental-scale assessments of 21st century global impacts of climate change on biodiversity have forecasted range contractions for many species. These coarse resolution studies are, however, of limited relevance for projecting risks to biodiversity in mountain systems, where pronounced microclimatic variation could allow species to persist locally, and are ill-suited for assessment of species-specific threat in particular regions. Here, we assess the impacts of climate change on 2632 plant species across all major European mountain ranges, using high-resolution (ca. 100 m) species samples and data expressing four future climate scenarios. Projected habitat loss is greater for species distributed at higher elevations; depending on the climate scenario, we find 36-55% of alpine species, 31-51% of subalpine species and 19-46% of montane species lose more than 80% of their suitable habitat by 2070-2100. While our high-resolution analyses consistently indicate marked levels of threat to cold-adapted mountain florae across Europe, they also reveal unequal distribution of this threat across the various mountain ranges. Impacts on florae from regions projected to undergo increased warming accompanied by decreased precipitation, such as the Pyrenees and the Eastern Austrian Alps, will likely be greater than on florae in regions where the increase in temperature is less pronounced and rainfall increases concomitantly, such as in the Norwegian Scandes and the Scottish Highlands. This suggests that change in precipitation, not only warming, plays an important role in determining the potential impacts of climate change on vegetation.</t>
  </si>
  <si>
    <t>[Engler, Robin; Pearman, Peter B.; Le Lay, Gwenaelle; Vittoz, Pascal; Guisan, Antoine] Univ Lausanne, Dept Ecol &amp; Evolut, CH-1015 Lausanne, Switzerland; [Randin, Christophe F.] Univ Basel, Inst Bot, CH-4056 Basel, Switzerland; [Thuiller, Wilfried; Albert, Cecile H.; Choler, Philippe] Univ Grenoble 1, CNRS, UJF, Lab Ecol Alpine,UMR 5553, F-38041 Grenoble, France; [Dullinger, Stefan] Vienna Inst Nat Conservat &amp; Analyses, A-1090 Vienna, Austria; [Dullinger, Stefan] Univ Vienna, Dept Conservat Biol Vegetat &amp; Landscape Ecol, A-1030 Vienna, Austria; [Zimmermann, Niklaus E.; Pearman, Peter B.; Normand, Signe] Swiss Fed Res Inst WSL, CH-8903 Birmensdorf, Switzerland; [Araujo, Miguel B.] CSIC, Natl Museum Nat Sci, E-28006 Madrid, Spain; [Araujo, Miguel B.; Nogues-Bravo, David] Univ Evora, CIBIO, Rui Nabeiro Biodivers Chair, P-7000 Evora, Portugal; [Piedallu, Christian; Gegout, Jean-Claude] AgroParisTech, ENGREF, UMR1092, Lab Etude Ressources Foret Bois LERFoB, FR-54000 Nancy, France; [Piedallu, Christian; Gegout, Jean-Claude] Ctr INRA Nancy, INRA, UMR1092, Lab Etude Ressources Foret Bois LERFoB, F-54280 Champenoux, France; [Choler, Philippe] Univ Grenoble 1, CNRS, UJF, Stn Alpine J Fourier,UMS 2925, F-38041 Grenoble, France; [Coldea, Gheorghe] Inst Biol Res, Dept Plant Ecol, Cluj Napoca 400015, Romania; [De Lamo, Xavier; Sebastia, Maria-Teresa] Forest Technol Ctr Catalonia, Lab Funct Ecol &amp; Global Change, Solsona 25280, Spain; [Dirnbock, Thomas] Environm Agcy Austria, Dep Ecosyst Res &amp; Monitoring, A-1090 Vienna, Austria; [Grytnes, John-Arvid] Univ Bergen, Dept Biol, N-5020 Bergen, Norway; [Gomez-Garcia, Daniel] CSIC, Inst Pirenaico Ecol, Jaca 22700, Spain; [Heegaard, Einar; Hoistad, Fride] Norwegian Forest &amp; Landscape Inst, N-5244 Fana, Norway; [Nogues-Bravo, David] Univ Copenhagen, Dept Biol, Ctr Macroecol Evolut &amp; Climate, DK-2100 Copenhagen, Denmark; [Normand, Signe] Aarhus Univ, Dept Biol Sci, DK-8000 Aarhus C, Denmark; [Puscas, Mihai] Univ Babes Bolyai, A Borza Bot Garden, Cluj Napoca 400015, Romania; [Sebastia, Maria-Teresa] Univ Lleida, ETSEA, Lleida 25198, Spain; [Stanisci, Angela] Univ Molise, Envirometr Lab, I-86090 Pesche, Isernia, Italy; [Theurillat, Jean-Paul] Fdn JM Aubert, Ctr Alpien Phytogeog, CH-1938 Champex Lac, Switzerland; [Theurillat, Jean-Paul] Univ Geneva, Lab Biogeog, Biol Sect, CH-1292 Chambesy, Switzerland; [Trivedi, Mandar R.] John Krebs Field Stn, Global Canopy Programme, Oxford OX2 8QJ, England</t>
  </si>
  <si>
    <t>University of Lausanne; University of Basel; Centre National de la Recherche Scientifique (CNRS); CNRS - Institute of Ecology &amp; Environment (INEE); Communaute Universite Grenoble Alpes; Universite Grenoble Alpes (UGA); Universite Savoie Mont Blanc; University of Vienna; Swiss Federal Institutes of Technology Domain; Swiss Federal Institute for Forest, Snow &amp; Landscape Research; Consejo Superior de Investigaciones Cientificas (CSIC); University of Evora; AgroParisTech; INRAE; Universite de Lorraine; Communaute Universite Grenoble Alpes; Universite Grenoble Alpes (UGA); Centre National de la Recherche Scientifique (CNRS); National Research Institute for Biological Sciences; Centre Tecnologic Forestal de Catalunya (CTFC); University of Bergen; Consejo Superior de Investigaciones Cientificas (CSIC); CSIC - Instituto Pirenaico de Ecologia (IPE); The Norwegian Forest &amp; Landscape Institute; University of Copenhagen; Aarhus University; Babes Bolyai University from Cluj; Universitat de Lleida; University of Molise; University of Geneva; University of Oxford</t>
  </si>
  <si>
    <t>Engler, R (corresponding author), Univ Lausanne, Dept Ecol &amp; Evolut, CH-1015 Lausanne, Switzerland.</t>
  </si>
  <si>
    <t>Robin.Engler@gmail.com</t>
  </si>
  <si>
    <t>Albert, Cécile/AAA-5490-2019; Randin, Christophe François/K-6969-2016; Normand, Signe/A-1561-2012; Pearman, Peter/C-6298-2011; Bastos Araújo, Miguel/B-6117-2008; Puscas, Mihai/C-4689-2012; Gegout, Jean-Claude/HKN-8801-2023; Grytnes, John-Arvid/L-6357-2013; Theurillat, Jean-Paul/ABV-4830-2022; Trivedi, Mandar/IQV-7534-2023; Zimmermann, Niklaus/A-4276-2008; Coldea, Gheorghe/C-3929-2012; Stanisci, Angela/F-4725-2012; Engler, Robin/B-7912-2015; CHOLER, Philippe/A-7270-2008; Guisan, Antoine/A-1057-2011; Sebastià, M Teresa/B-5479-2013; Thuiller, Wilfried/G-3283-2010</t>
  </si>
  <si>
    <t>Albert, Cécile/0000-0002-0991-1068; Randin, Christophe François/0000-0002-4171-0178; Dirnböck, Thomas/0000-0002-8294-0690; Normand, Signe/0000-0002-8782-4154; Pearman, Peter/0000-0002-0794-101X; Bastos Araújo, Miguel/0000-0002-5107-7265; Nogués-Bravo, David/0000-0002-4060-0153; Puscas, Mihai/0000-0002-2632-640X; Gegout, Jean-Claude/0000-0002-5760-9920; Grytnes, John-Arvid/0000-0002-6365-9676; Vittoz, Pascal/0000-0003-4218-4517; Theurillat, Jean-Paul/0000-0002-1843-5809; Zimmermann, Niklaus/0000-0003-3099-9604; Stanisci, Angela/0000-0002-5302-0932; CHOLER, Philippe/0000-0002-9062-2721; Dullinger, Stefan/0000-0003-3919-0887; Guisan, Antoine/0000-0002-3998-4815; Sebastià, M Teresa/0000-0002-9017-3575;</t>
  </si>
  <si>
    <t>Herbette Foundation; Faculty of Geosciences and Environment at the University of Lausanne; Mountain Research Initiative (MRI); Swiss National Science Foundation (SNF) [31003A-125145/NCCR, CRSII3_125240, 31003A_122433]; European commission; ECOCHANGE project; CNCSIS-UEFISCSU [123/29.07.2010]; EU [I3A4147E]; MICINN; FCT RangeShift project; French ANR DIVERSITALP [ANR-2007-BDIV-014]; Danish National Research Foundation; Norwegian Research Council; NERC; [R. P.: CGL2010-21642]; Swiss National Science Foundation (SNF) [31003A_122433] Funding Source: Swiss National Science Foundation (SNF)</t>
  </si>
  <si>
    <t>Herbette Foundation(ACEV Foundation); Faculty of Geosciences and Environment at the University of Lausanne; Mountain Research Initiative (MRI); Swiss National Science Foundation (SNF)(Swiss National Science Foundation (SNSF)); European commission(European Union (EU)European Commission Joint Research Centre); ECOCHANGE project(European Union (EU)); CNCSIS-UEFISCSU(Consiliul National al Cercetarii Stiintifice (CNCS)); EU(European Union (EU)); MICINN(Spanish GovernmentMinistry of Science &amp; Innovation, Spain (MICINN)); FCT RangeShift project; French ANR DIVERSITALP(Agence Nationale de la Recherche (ANR)); Danish National Research Foundation(Danmarks Grundforskningsfond); Norwegian Research Council(Research Council of Norway); NERC(UK Research &amp; Innovation (UKRI)Natural Environment Research Council (NERC)); ; Swiss National Science Foundation (SNF)(Swiss National Science Foundation (SNSF))</t>
  </si>
  <si>
    <t>The two workshops leading to this study were granted by the Herbette Foundation, the Faculty of Geosciences and Environment at the University of Lausanne and the Mountain Research Initiative (MRI). A. G. and R. E. received further support from the Swiss National Science Foundation (SNF grant 31003A-125145/NCCR Plant Survival) and the European commission (MACIS and ECOCHANGE projects). S. D. was supported by the ECOCHANGE project and M. P. by CNCSIS-UEFISCSU, project PNII-Resurse Umane (PD_405/no. 123/29.07.2010). M. T. S. was supported by EU INTERREG I3A4147E and MICINN CARBOPAS/CARBOAGROPAS/MONTES. M. B. A. was supported by the FCT RangeShift project. P. B. P. acknowledges support by SNF grants CRSII3_125240 'SPEED' and 31003A_122433 'ENNIS'. W. T. acknowledges support from the French ANR DIVERSITALP (ANR-2007-BDIV-014). D. N. B. thanks the Danish National Research Foundation for support to the Center for Macroecology, Evolution and Climate. F. H., J. A. G. and E. H. received financial support from the Norwegian Research Council. Herbarium JACA was supported by R. P.: CGL2010-21642. M. T. was supported by NERC. Finally we would like to acknowledge the three anonymous referees whose comments allowed us to greatly improve the manuscript.</t>
  </si>
  <si>
    <t>772FZ</t>
  </si>
  <si>
    <t>WOS:000291221000006</t>
  </si>
  <si>
    <t>Evangelista, PH; Kumar, S; Stohlgren, TJ; Young, NE</t>
  </si>
  <si>
    <t>Evangelista, Paul H.; Kumar, Sunil; Stohlgren, Thomas J.; Young, Nicholas E.</t>
  </si>
  <si>
    <t>Assessing forest vulnerability and the potential distribution of pine beetles under current and future climate scenarios in the Interior West of the US</t>
  </si>
  <si>
    <t>Bioclim; Climate change; Maxent; Niche models; Bark beetles; Rocky mountains</t>
  </si>
  <si>
    <t>BARK BEETLE; ENVELOPE MODELS; RANGE EXPANSION; PRESCRIBED FIRE; OUTBREAKS; PROJECTIONS; COMPETITION; VEGETATION; ENGRAVER; DYNAMICS</t>
  </si>
  <si>
    <t>The aim of our study was to estimate forest vulnerability and potential distribution of three bark beetles (Curculionidae: Scolytinae) under current and projected climate conditions for 2020 and 2050. Our study focused on the mountain pine beetle (Dendroctonus ponderosae), western pine beetle (Dendroctonus brevicomis), and pine engraver (Ips pini). This study was conducted across eight states in the Interior West of the US covering approximately 2.2 million km(2) and encompassing about 95% of the Rocky Mountains in the contiguous US. Our analyses relied on aerial surveys of bark beetle outbreaks that occurred between 1991 and 2008. Occurrence points for each species were generated within polygons created from the aerial surveys. Current and projected climate scenarios were acquired from the WorldClim database and represented by 19 bioclimatic variables. We used Maxent modeling technique fit with occurrence points and current climate data to model potential beetle distributions and forest vulnerability. Three available climate models, each having two emission scenarios, were modeled independently and results averaged to produce two predictions for 2020 and two predictions for 2050 for each analysis. Environmental parameters defined by current climate models were then used to predict conditions under future climate scenarios, and changes in different species' ranges were calculated. Our results suggested that the potential distribution for bark beetles under current climate conditions is extensive, which coincides with infestation trends observed in the last decade. Our results predicted that suitable habitats for the mountain pine beetle and pine engraver beetle will stabilize or decrease under future climate conditions, while habitat for the western pine beetle will continue to increase over time. The greatest increase in habitat area was for the western pine beetle, where one climate model predicted a 27% increase by 2050. In contrast, the predicted habitat of the mountain pine beetle from another climate model suggested a decrease in habitat areas as great as 46% by 2050. Generally, 2020 and 2050 models that tested the three climate scenarios independently had similar trends, though one climate scenario for the western pine beetle produced contrasting results. Ranges for all three species of bark beetles shifted considerably geographically suggesting that some host species may become more vulnerable to beetle attack in the future, while others may have a reduced risk over time. (C) 2011 Elsevier B.V. All rights reserved.</t>
  </si>
  <si>
    <t>[Evangelista, Paul H.; Kumar, Sunil; Young, Nicholas E.] Colorado State Univ, Nat Resource Ecol Lab, Ft Collins, CO 80523 USA; [Stohlgren, Thomas J.] US Geol Survey, Ft Collins Sci Ctr, Ft Collins, CO 80526 USA</t>
  </si>
  <si>
    <t>Colorado State University System; Colorado State University Fort Collins; United States Department of the Interior; United States Geological Survey</t>
  </si>
  <si>
    <t>Evangelista, PH (corresponding author), Colorado State Univ, Nat Resource Ecol Lab, A204 NESB, Ft Collins, CO 80523 USA.</t>
  </si>
  <si>
    <t>paulevan@nrel.colostate.edu</t>
  </si>
  <si>
    <t>Evangelista, Paul/D-2315-2016; Kumar, Sunil/A-6730-2009</t>
  </si>
  <si>
    <t>USDA Forest Service</t>
  </si>
  <si>
    <t>USDA Forest Service(United States Department of Agriculture (USDA)United States Forest Service)</t>
  </si>
  <si>
    <t>This work was partially supported by funding from the USDA Forest Service. We would like to thank Gregg DiNitto, Tony Cheng, Amy Randell, and Jim Graham for comments and consultation. We also thank the Natural Resource Ecology Laboratory at Colorado State University and the US Geological Survey Fort Collins Science Center for additional expertise and use of facilities. Finally, we thank the data contributors to the websites where we obtained bark beetle data and climate projections. To all we are grateful. Any use of trade, product, or firm names is for descriptive purposes only and does not imply endorsement by the US government.</t>
  </si>
  <si>
    <t>AUG 1</t>
  </si>
  <si>
    <t>788EP</t>
  </si>
  <si>
    <t>WOS:000292428500001</t>
  </si>
  <si>
    <t>Garzón, MB; Alía, R; Robson, TM; Zavala, MA</t>
  </si>
  <si>
    <t>Benito Garzon, Marta; Alia, Ricardo; Robson, T. Matthew; Zavala, Miguel A.</t>
  </si>
  <si>
    <t>Intra-specific variability and plasticity influence potential tree species distributions under climate change</t>
  </si>
  <si>
    <t>Global warming; Iberian Peninsula; local adaptation; phenotypic plasticity; Pinus pinaster; Pinus sylvestris; species distribution models</t>
  </si>
  <si>
    <t>PINUS-SYLVESTRIS L.; PHENOTYPIC PLASTICITY; GENETIC DIVERSITY; PINASTER PROVENANCES; MEDITERRANEAN PINES; HABITAT-SUITABILITY; DISTRIBUTION MODELS; GLACIAL REFUGIA; RANGE SHIFTS; POPULATION</t>
  </si>
  <si>
    <t>Aim To assess the effect of local adaptation and phenotypic plasticity on the potential distribution of species under future climate changes. Trees may be adapted to specific climatic conditions; however, species range predictions have classically been assessed by species distributionmodels (SDMs) that do not account for intra-specific genetic variability and phenotypic plasticity, because SDMs rely on the assumption that species respond homogeneously to climate change across their range, i.e. a species is equally adapted throughout its range, and all species are equally plastic. These assumptions could cause SDMs to exaggerate or underestimate species at risk under future climate change. Location The Iberian Peninsula. Methods Species distributions are predicted by integrating experimental data and modelling techniques. We incorporate plasticity and local adaptation into a SDM by calibrating models of tree survivorship with adaptive traits in provenance trials. Phenotypic plasticity was incorporated by calibrating our model with a climatic index that provides a measure of the differences between sites and provenances. Results We present a new modelling approach that is easy to implement and makes use of existing tree provenance trials to predict species distribution models under global warming. Our results indicate that the incorporation of intra- population genetic diversity and phenotypic plasticity in SDMs significantly altered their outcome. In comparing species range predictions, the decrease in area occupancy under global warming conditions is smaller when considering our survival-adaptation model than that predicted by a 'classical SDM' calibrated with presence-absence data. These differences in survivorship are due to both local adaptation and plasticity. Differences due to the use of experimental data in the model calibration are also expressed in our results: we incorporate a null model that uses survival data from all provenances together. This model always predicts less reduction in area occupancy for both species than the SDM calibrated with presence-absence. Main conclusions We reaffirm the importance of considering adaptive traits when predicting species distributions and avoiding the use of occurrence data as a predictive variable. In light of these recommendations, we advise that existing predictions of future species distributions and their component populations must be reconsidered.</t>
  </si>
  <si>
    <t>[Benito Garzon, Marta; Alia, Ricardo; Robson, T. Matthew; Zavala, Miguel A.] CIFOR INIA, Madrid 28040, Spain; [Benito Garzon, Marta] ESE Univ Paris Sud, F-91405 Orsay, France; [Robson, T. Matthew] Univ Helsinki, Dept Biol &amp; Environm Sci, FIN-00014 Helsinki, Finland; [Zavala, Miguel A.] Univ Alcala, Dept Ecol, Madrid 28871, Spain</t>
  </si>
  <si>
    <t>Instituto Nacional Investigacion Tecnologia Agraria Alimentaria (INIA); University of Helsinki; Universidad de Alcala</t>
  </si>
  <si>
    <t>Garzón, MB (corresponding author), CIFOR INIA, Cta la Coruna Km 7,5, Madrid 28040, Spain.</t>
  </si>
  <si>
    <t>marta.benito@gmail.com</t>
  </si>
  <si>
    <t>Garzon, Marta/E-3622-2013; Robson, Thomas Matthew/J-3381-2012; Alia, Ricardo/B-5160-2011; Zavala, Miguel A/H-3603-2015</t>
  </si>
  <si>
    <t>Alia, Ricardo/0000-0002-9426-0967; Zavala, Miguel A/0000-0003-1456-0132</t>
  </si>
  <si>
    <t>MCI [CGL2008-04503-C03-03]; INIA [SUM2008-00004-C03.01]; Juan de la Cierva</t>
  </si>
  <si>
    <t>MCI; INIA(Instituto de Investigacion Agropecuaria (INIA)Spanish Government); Juan de la Cierva(Instituto de Salud Carlos IIISpanish Government)</t>
  </si>
  <si>
    <t>M.B.G. and M.A.Z. were supported by grants CGL2008-04503-C03-03 (MCI) and SUM2008-00004-C03.01 (INIA). M.B.G. and T.M.R. were also supported by Juan de la Cierva post-doctoral fellowships. Comments from Daniel Montoya and two anonymous referees significantly improved the final manuscript.</t>
  </si>
  <si>
    <t>805BN</t>
  </si>
  <si>
    <t>WOS:000293701300011</t>
  </si>
  <si>
    <t>Wenger, SJ; Isaak, DJ; Luce, CH; Neville, HM; Fausch, KD; Dunham, JB; Dauwalter, DC; Young, MK; Elsner, MM; Rieman, BE; Hamlet, AF; Williams, JE</t>
  </si>
  <si>
    <t>Wenger, Seth J.; Isaak, Daniel J.; Luce, Charles H.; Neville, Helen M.; Fausch, Kurt D.; Dunham, Jason B.; Dauwalter, Daniel C.; Young, Michael K.; Elsner, Marketa M.; Rieman, Bruce E.; Hamlet, Alan F.; Williams, Jack E.</t>
  </si>
  <si>
    <t>Flow regime, temperature, and biotic interactions drive differential declines of trout species under climate change</t>
  </si>
  <si>
    <t>global change; hydrology; invasive species; niche model; distribution modeling</t>
  </si>
  <si>
    <t>BROOK TROUT; SALVELINUS-FONTINALIS; STREAM TEMPERATURES; CUTTHROAT TROUT; LIFE-HISTORY; SALMO-TRUTTA; BULL TROUT; INVASION; IMPACTS; HABITAT</t>
  </si>
  <si>
    <t>Broad-scale studies of climate change effects on freshwater species have focused mainly on temperature, ignoring critical drivers such as flow regime and biotic interactions. We use downscaled outputs from general circulation models coupled with a hydrologic model to forecast the effects of altered flows and increased temperatures on four interacting species of trout across the interior western United States (1.01 million km(2)), based on empirical statistical models built from fish surveys at 9,890 sites. Projections under the 2080s A1B emissions scenario forecast a mean 47% decline in total suitable habitat for all trout, a group of fishes of major socioeconomic and ecological significance. We project that native cutthroat trout Oncorhynchus clarkii, already excluded from much of its potential range by nonnative species, will lose a further 58% of habitat due to an increase in temperatures beyond the species' physiological optima and continued negative biotic interactions. Habitat for nonnative brook trout Salvelinus fontinalis and brown trout Salmo trutta is predicted to decline by 77% and 48%, respectively, driven by increases in temperature and winter flood frequency caused by warmer, rainier winters. Habitat for rainbow trout, Oncorhynchus mykiss, is projected to decline the least (35%) because negative temperature effects are partly offset by flow regime shifts that benefit the species. These results illustrate how drivers other than temperature influence species response to climate change. Despite some uncertainty, large declines in trout habitat are likely, but our findings point to opportunities for strategic targeting of mitigation efforts to appropriate stressors and locations.</t>
  </si>
  <si>
    <t>[Wenger, Seth J.; Neville, Helen M.; Dauwalter, Daniel C.] Trout Unltd, Boise, ID 83702 USA; [Isaak, Daniel J.; Luce, Charles H.] US Forest Serv, Rocky Mt Res Stn, Boise, ID 83702 USA; [Fausch, Kurt D.] Colorado State Univ, Dept Fish Wildlife &amp; Conservat Biol, Ft Collins, CO 80523 USA; [Dunham, Jason B.] US Geol Survey, Forest &amp; Rangeland Ecosyst Sci Ctr, Corvallis, OR 97331 USA; [Young, Michael K.] US Forest Serv, Rocky Mt Res Stn, Missoula, MT 59801 USA; [Elsner, Marketa M.; Hamlet, Alan F.] Univ Washington, Climate Impacts Grp, Ctr Earth Syst Sci, Seattle, WA 98195 USA; [Rieman, Bruce E.] US Forest Serv, Rocky Mt Res Stn, Seeley Lake, MT 59868 USA; [Williams, Jack E.] Trout Unltd, Medford, OR 97501 USA</t>
  </si>
  <si>
    <t>United States Department of Agriculture (USDA); United States Forest Service; Colorado State University System; Colorado State University Fort Collins; United States Department of the Interior; United States Geological Survey; United States Department of Agriculture (USDA); United States Forest Service; University of Washington; University of Washington Seattle; United States Department of Agriculture (USDA); United States Forest Service</t>
  </si>
  <si>
    <t>Wenger, SJ (corresponding author), Trout Unltd, Boise, ID 83702 USA.</t>
  </si>
  <si>
    <t>swenger@tu.org</t>
  </si>
  <si>
    <t>Dauwalter, Daniel/Z-2028-2019; Luce, Charles/A-9267-2008; Williams, Jack/JBJ-9584-2023; Wenger, Seth/G-6594-2011; Fausch, Kurt/A-8849-2010</t>
  </si>
  <si>
    <t>Dauwalter, Daniel/0000-0003-3070-188X; Luce, Charles/0000-0002-6938-9662; Wenger, Seth/0000-0001-7858-960X;</t>
  </si>
  <si>
    <t>National Fish and Wildlife Foundation's Keystone Initiative for Freshwater Fishes [2008-0087-000]; US Geological Survey [G09AC00050]; US Forest Service Rocky Mountain Research Station (RMRS)</t>
  </si>
  <si>
    <t>National Fish and Wildlife Foundation's Keystone Initiative for Freshwater Fishes; US Geological Survey(United States Geological Survey); US Forest Service Rocky Mountain Research Station (RMRS)(United States Department of Agriculture (USDA)United States Forest Service)</t>
  </si>
  <si>
    <t>The fish data used in this study were compiled from multiple sources, including a previous database of sites in the range of westslope cutthroat trout (48), which included data from the Idaho Fish and Game's General Parr Monitoring database and other sources. Additional data were provided by Bart Gammett, James Capurso, Mark Novak, Steven Kujala, Daniel Abeyta, and Paul Cowley; Joseph Benjamin; Hilda Sexauer; Kevin Meyer; Brad Shepard; Dona Horan; and Harry Vermillion. David Nagel, Sharon Parkes, and Gwynne Chandler helped to develop the dataset and GIS layers. Expert advice over the course of the study was provided by Russ Thurow, John Buffington, and Jim McKean. This manuscript was substantially improved by comments from Robert Al-Chokhachy, Dana Warren, two anonymous reviewers and the editor. This work was funded by Grant 2008-0087-000 of the National Fish and Wildlife Foundation's Keystone Initiative for Freshwater Fishes, US Geological Survey Grant G09AC00050, and a contract from the US Forest Service Rocky Mountain Research Station (RMRS).</t>
  </si>
  <si>
    <t>AUG 23</t>
  </si>
  <si>
    <t>810XO</t>
  </si>
  <si>
    <t>WOS:000294163500063</t>
  </si>
  <si>
    <t>Domisch, S; Jähnig, SC; Haase, P</t>
  </si>
  <si>
    <t>Domisch, Sami; Jaehnig, Sonja C.; Haase, Peter</t>
  </si>
  <si>
    <t>Climate-change winners and losers: stream macroinvertebrates of a submontane region in Central Europe</t>
  </si>
  <si>
    <t>FRESHWATER BIOLOGY</t>
  </si>
  <si>
    <t>altitudinal shift; benthic invertebrates; species distribution model; species range change; suitable habitat area</t>
  </si>
  <si>
    <t>SPECIES DISTRIBUTION; EXTINCTION RISK; COUPLED MODEL; TEMPERATURE; DIVERSITY; PATTERNS; RIVER; TRICHOPTERA; ACCURACY; INSECTS</t>
  </si>
  <si>
    <t>1. Freshwater ecosystems will be profoundly affected by global climate change, especially those in mountainous areas, which are known to be particularly vulnerable to warming temperatures. We modelled impacts of climate change on the distribution ranges of 38 species of benthic stream macroinvertebrates from nine macroinvertebrate orders covering all river zones from the headwaters to large river reaches. 2. Species altitudinal shifts as well as range changes up to the year 2080 were simulated using the A2a and B2a Intergovernmental Panel on Climate Change climate-warming scenarios. Presence-only species distribution models were constructed for a stream network in Germany's lower mountain ranges by means of consensus projections of four algorithms, as implemented in the BIOMOD package in R (GLM, GAM, GBM and ANN). 3. Species were predicted to shift an average of 122 and 83 m up in altitude along the river continuum by the year 2080 under the A2a and B2a climate-warming scenarios, respectively. No correlation between altitudinal shifts and mean annual air temperature of species' occurrence could be detected. 4. Depending on the climate-warming scenario, most or all (97% for A2a and 100% for B2a) of the macroinvertebrate species investigated were predicted to survive under climate change in the study area. Ranges were predicted to contract for species that currently occur in streams with low annual mean air temperatures but expand for species that inhabit rivers where air temperatures are higher. 5. Our models predict that novel climate conditions will reorganise species composition and community structure along the river continuum. Possible effects are discussed, including significant reductions in population size of headwater species, eventually leading to a loss of genetic diversity. A shift in river species composition is likely to enhance the establishment of non-native macroinvertebrates in the lower reaches of the river continuum.</t>
  </si>
  <si>
    <t>[Domisch, Sami; Jaehnig, Sonja C.; Haase, Peter] Biodivers &amp; Climate Res Ctr BiK F, D-60325 Frankfurt, Germany; [Domisch, Sami; Jaehnig, Sonja C.; Haase, Peter] Senckenberg Res Inst, Gelnhausen, Germany; [Domisch, Sami; Jaehnig, Sonja C.; Haase, Peter] Nat Hist Museums, Dept Limnol &amp; Conservat, Gelnhausen, Germany</t>
  </si>
  <si>
    <t>Senckenberg Biodiversitat &amp; Klima- Forschungszentrum (BiK-F); Leibniz Association; Senckenberg Gesellschaft fur Naturforschung (SGN); Leibniz Association; Senckenberg Gesellschaft fur Naturforschung (SGN)</t>
  </si>
  <si>
    <t>Domisch, S (corresponding author), Biodivers &amp; Climate Res Ctr BiK F, Senckenberganlage 25, D-60325 Frankfurt, Germany.</t>
  </si>
  <si>
    <t>sami.domisch@senckenberg.de</t>
  </si>
  <si>
    <t>Jähnig, Sonja C/D-7126-2011; Domisch, Sami/E-5745-2011; Haase, Peter/A-5644-2011</t>
  </si>
  <si>
    <t>Jähnig, Sonja C/0000-0002-6349-9561; Domisch, Sami/0000-0002-8127-9335;</t>
  </si>
  <si>
    <t>'LOEWE - Landes-Offensive zur Entwicklung Wissenschaftlich-okonomischer Exzellenz' of Hesse's Ministry of Higher Education, Research, and the Arts</t>
  </si>
  <si>
    <t>We are grateful to the Umweltbundesamt, Hessisches Landesamt fur Umwelt und Geologie and Landesamt fur Umwelt, Messungen und Naturschutz Baden-Wurttemberg for kindly providing the species record data. We thank Denise Fruh, Jan Sauer, Mathias Kuemmerlen, Heike Kappes and two anonymous referees for constructive comments and Karin Boos for linguistic revision of the manuscript. This work was financially supported by the research funding programme 'LOEWE - Landes-Offensive zur Entwicklung Wissenschaftlich-okonomischer Exzellenz' of Hesse's Ministry of Higher Education, Research, and the Arts.</t>
  </si>
  <si>
    <t>0046-5070</t>
  </si>
  <si>
    <t>1365-2427</t>
  </si>
  <si>
    <t>FRESHWATER BIOL</t>
  </si>
  <si>
    <t>Freshw. Biol.</t>
  </si>
  <si>
    <t>Ecology; Marine &amp; Freshwater Biology</t>
  </si>
  <si>
    <t>821ZU</t>
  </si>
  <si>
    <t>WOS:000295013800006</t>
  </si>
  <si>
    <t>Bond, N; Thomson, J; Reich, P; Stein, J</t>
  </si>
  <si>
    <t>Bond, Nick; Thomson, Jim; Reich, Paul; Stein, Janet</t>
  </si>
  <si>
    <t>Using species distribution models to infer potential climate change-induced range shifts of freshwater fish in south-eastern Australia</t>
  </si>
  <si>
    <t>MARINE AND FRESHWATER RESEARCH</t>
  </si>
  <si>
    <t>bioclimatic model; conservation planning; environmental filters; hydrology; prediction; validation</t>
  </si>
  <si>
    <t>ASSEMBLAGE STRUCTURE; FLOW REGIME; IMPACTS; HABITAT; VALIDATION; RIVERS; CLASSIFICATION; COMMUNITIES; ECOSYSTEMS; STREAMS</t>
  </si>
  <si>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</si>
  <si>
    <t>[Bond, Nick; Thomson, Jim; Reich, Paul] Monash Univ, Sch Biol Sci, Clayton, Vic 3800, Australia; [Bond, Nick] Monash Univ, EWater Cooperat Res Ctr, Clayton, Vic 3800, Australia; [Stein, Janet] Australian Natl Univ, Fenner Sch Environm &amp; Soc, Canberra, ACT 0200, Australia</t>
  </si>
  <si>
    <t>Monash University; Monash University; Australian National University</t>
  </si>
  <si>
    <t>Bond, N (corresponding author), Griffith Univ, Australian Rivers Inst, Nathan, Qld 4111, Australia.</t>
  </si>
  <si>
    <t>n.bond@griffith.edu.au</t>
  </si>
  <si>
    <t>Bond, Nick/A-1129-2016; Reich, Paul/D-4321-2013</t>
  </si>
  <si>
    <t>Bond, Nick/0000-0003-4294-6008; Stein, Janet/0000-0002-0475-0410; Reich, Paul/0000-0003-1192-5909</t>
  </si>
  <si>
    <t>Victorian Department of Sustainability and Environment</t>
  </si>
  <si>
    <t>We thank John Koehn for organising the special issue and providing useful feedback on the manuscript. The work was funded by the Victorian Department of Sustainability and Environment, and Sam Marwood provided valuable guidance and project management. Mark Kennard, Bill Young, Francis Chiew, Rory Nathan John Koehn, Andrew Boulton and an anonymous reviewer variously provided valuable contributions in the form of data, and comments on the project and manuscript. Thanks also go to Darren Twiggy Giling for his efforts in bringing together the various datasets.</t>
  </si>
  <si>
    <t>CSIRO PUBLISHING</t>
  </si>
  <si>
    <t>CLAYTON</t>
  </si>
  <si>
    <t>UNIPARK, BLDG 1, LEVEL 1, 195 WELLINGTON RD, LOCKED BAG 10, CLAYTON, VIC 3168, AUSTRALIA</t>
  </si>
  <si>
    <t>1323-1650</t>
  </si>
  <si>
    <t>1448-6059</t>
  </si>
  <si>
    <t>MAR FRESHWATER RES</t>
  </si>
  <si>
    <t>Mar. Freshw. Res.</t>
  </si>
  <si>
    <t>SI</t>
  </si>
  <si>
    <t>Fisheries; Limnology; Marine &amp; Freshwater Biology; Oceanography</t>
  </si>
  <si>
    <t>Fisheries; Marine &amp; Freshwater Biology; Oceanography</t>
  </si>
  <si>
    <t>822XM</t>
  </si>
  <si>
    <t>WOS:000295083900006</t>
  </si>
  <si>
    <t>Bálint, M; Domisch, S; Engelhardt, CHM; Haase, P; Lehrian, S; Sauer, J; Theissinger, K; Pauls, SU; Nowak, C</t>
  </si>
  <si>
    <t>Balint, M.; Domisch, S.; Engelhardt, C. H. M.; Haase, P.; Lehrian, S.; Sauer, J.; Theissinger, K.; Pauls, S. U.; Nowak, C.</t>
  </si>
  <si>
    <t>Cryptic biodiversity loss linked to global climate change</t>
  </si>
  <si>
    <t>NATURE CLIMATE CHANGE</t>
  </si>
  <si>
    <t>CONSERVATION; DIVERSITY; MODELS</t>
  </si>
  <si>
    <t>Global climate change (GCC) significantly affects distributional patterns of organisms(1), and considerable impacts on biodiversity are predicted for the next decades. Inferred effects include large-scale range shifts towards higher altitudes and latitudes(2), facilitation of biological invasions(3) and species extinctions(1,3). Alterations of biotic patterns caused by GCC have usually been predicted on the scale of taxonomically recognized morphospecies(1). However, the effects of climate change at the most fundamental level of biodiversity-intraspecific genetic diversity-remain elusive(4). Here we show that the use of morphospecies-based assessments of GCC effects will result in underestimations of the true scale of biodiversity loss. Species distribution modelling and assessments of mitochondrial DNA variability in nine montane aquatic insect species in Europe indicate that future range contractions will be accompanied by severe losses of cryptic evolutionary lineages and genetic diversity within these lineages. These losses greatly exceed those at the scale of morphospecies. We also document that the extent of range reduction may be a useful proxy when predicting losses of genetic diversity. Our results demonstrate that intraspecific patterns of genetic diversity should be considered when estimating the effects of climate change on biodiversity.</t>
  </si>
  <si>
    <t>[Balint, M.; Domisch, S.; Haase, P.; Sauer, J.; Pauls, S. U.; Nowak, C.] Biodivers &amp; Climate Res Ctr BiK F, D-60325 Frankfurt, Germany; [Balint, M.] Babes Bolyai Univ, Mol Biol Ctr, Cluj Napoca 400271, Romania; [Domisch, S.; Engelhardt, C. H. M.; Haase, P.; Lehrian, S.; Nowak, C.] Nat Hist Museum, Dept Limnol &amp; Conservat, D-63571 Gelnhausen, Germany; [Domisch, S.; Engelhardt, C. H. M.; Haase, P.; Lehrian, S.; Nowak, C.] Senckenberg Res Inst, D-63571 Gelnhausen, Germany; [Theissinger, K.] Johannes Gutenberg Univ Mainz, Dept Ecol, Inst Zool, D-55128 Mainz, Germany; [Theissinger, K.] Univ Koblenz Landau, Inst Environm Sci, D-76829 Landau, Germany</t>
  </si>
  <si>
    <t>Senckenberg Biodiversitat &amp; Klima- Forschungszentrum (BiK-F); Leibniz Association; Senckenberg Gesellschaft fur Naturforschung (SGN); Babes Bolyai University from Cluj; Leibniz Association; Senckenberg Gesellschaft fur Naturforschung (SGN); Johannes Gutenberg University of Mainz; RPTU University Kaiserslautern</t>
  </si>
  <si>
    <t>Bálint, M (corresponding author), Biodivers &amp; Climate Res Ctr BiK F, Senckenberganlage 25, D-60325 Frankfurt, Germany.</t>
  </si>
  <si>
    <t>steffen.pauls@senckenberg.de; carsten.nowak@senckenberg.de</t>
  </si>
  <si>
    <t>Pauls, Steffen/C-2192-2011; Nowak, Carsten/A-4466-2014; Haase, Peter/A-5644-2011; Domisch, Sami/E-5745-2011</t>
  </si>
  <si>
    <t>Theissinger, Kathrin/0000-0001-7255-326X; Nowak, Carsten/0000-0002-3139-1951; Domisch, Sami/0000-0002-8127-9335</t>
  </si>
  <si>
    <t>Hesse's Ministry of Higher Education, Research, and the Arts</t>
  </si>
  <si>
    <t>We thank J. Hughes (Griffith University), A. Mulch (BiK-F), M. Pfenninger (BiK-F) and K. Schwenk (University of Landau) for helpful comments. This study was financially supported by the research funding program LOEWE-Landes-Offensive zur Entwicklung Wissenschaftlich-okonomischer Exzellenz of Hesse's Ministry of Higher Education, Research, and the Arts.</t>
  </si>
  <si>
    <t>1758-678X</t>
  </si>
  <si>
    <t>1758-6798</t>
  </si>
  <si>
    <t>NAT CLIM CHANGE</t>
  </si>
  <si>
    <t>Nat. Clim. Chang.</t>
  </si>
  <si>
    <t>10.1038/NCLIMATE1191</t>
  </si>
  <si>
    <t>Environmental Sciences; Environmental Studies; Meteorology &amp; Atmospheric Sciences</t>
  </si>
  <si>
    <t>832JD</t>
  </si>
  <si>
    <t>WOS:000295799900018</t>
  </si>
  <si>
    <t>Early, R; Sax, DF</t>
  </si>
  <si>
    <t>Early, Regan; Sax, Dov F.</t>
  </si>
  <si>
    <t>Analysis of climate paths reveals potential limitations on species range shifts</t>
  </si>
  <si>
    <t>ECOLOGY LETTERS</t>
  </si>
  <si>
    <t>Anura; assisted migration; climate variability; dispersal; fundamental and realised niche; landscape ecology; population persistence; salamander; translocation</t>
  </si>
  <si>
    <t>ECOSYSTEM RESPONSES; BIOTIC INTERACTIONS; DISPERSAL; ECOLOGY; DECLINE; DISTRIBUTIONS; FLUCTUATION; HYPOTHESES; SPECIATION; DIVERSITY</t>
  </si>
  <si>
    <t>Forecasts of species endangerment under climate change usually ignore the processes by which species ranges shift. By analysing the 'climate paths' that range shifts might follow, and two key range-shift processes dispersal and population persistence - we show that short-term climatic and population characteristics have dramatic effects on range-shift forecasts. By employing this approach with 15 amphibian species in the western USA, we make unexpected predictions. First, inter-decadal variability in climate change can prevent range shifts by causing gaps in climate paths, even in the absence of geographic barriers. Second, the hitherto unappreciated trait of persistence during unfavourable climatic conditions is critical to species range shifts. Third, climatic fluctuations and low persistence could lead to endangerment even if the future potential range size is large. These considerations may render habitat corridors ineffectual for some species, and conservationists may need to consider managed relocation and augmentation of in situ populations.</t>
  </si>
  <si>
    <t>[Early, Regan] Univ Evora, Catedra Rui Nabeiro Biodiversidade, P-7000890 Evora, Portugal; [Sax, Dov F.] Brown Univ, Dept Ecol &amp; Evolutionary Biol, Providence, RI 02912 USA</t>
  </si>
  <si>
    <t>University of Evora; Brown University</t>
  </si>
  <si>
    <t>Early, R (corresponding author), Univ Evora, Catedra Rui Nabeiro Biodiversidade, Casa Cordovil 2A Andar,Rua Dr Joaquim Henrique da, P-7000890 Evora, Portugal.</t>
  </si>
  <si>
    <t>regan.early@gmail.com</t>
  </si>
  <si>
    <t>Early, Regan/A-5442-2010</t>
  </si>
  <si>
    <t>Early, Regan/0000-0003-4108-5904</t>
  </si>
  <si>
    <t>Portuguese Foundation for Science and Technology [BPD/63185/2009]; US DOE</t>
  </si>
  <si>
    <t>Portuguese Foundation for Science and Technology(Fundacao para a Ciencia e a Tecnologia (FCT)); US DOE(United States Department of Energy (DOE))</t>
  </si>
  <si>
    <t>We acknowledge the Program for Climate Model Diagnosis and Intercomparison (PCMDI) and the WCRP's Working Group on Coupled Modelling (WGCM) for making available the WCRP CMIP3 multimodel dataset. Support of this dataset is provided by the US DOE. M. Tyree and T. Das at the UCSD Climate Research Division assisted with the interpretation of climate data. D. Wake gave advice on amphibian distributions and taxonomy. A. Weinblatt assisted with data management. F. Guilhaumon, V. St-Louis and C. Thomas commented on the manuscript. R. Early was partially supported by a Post Doctoral Grant (BPD/63185/2009) awarded by the Portuguese Foundation for Science and Technology. We greatly appreciate the input of the subject editor and three anonymous referees, which improved this manuscript.</t>
  </si>
  <si>
    <t>1461-023X</t>
  </si>
  <si>
    <t>1461-0248</t>
  </si>
  <si>
    <t>ECOL LETT</t>
  </si>
  <si>
    <t>Ecol. Lett.</t>
  </si>
  <si>
    <t>838CB</t>
  </si>
  <si>
    <t>WOS:000296263200007</t>
  </si>
  <si>
    <t>Sheldon, KS; Yang, S; Tewksbury, JJ</t>
  </si>
  <si>
    <t>Sheldon, Kimberly S.; Yang, Sylvia; Tewksbury, Joshua J.</t>
  </si>
  <si>
    <t>Climate change and community disassembly: impacts of warming on tropical and temperate montane community structure</t>
  </si>
  <si>
    <t>Dispersal; ectotherms; elevational gradient; endotherms; extinction risk; geographical range; latitude; mountain biodiversity; range shifts; tropics</t>
  </si>
  <si>
    <t>LATITUDINAL VARIATION; BIOTIC ATTRITION; MOUNTAIN PASSES; RANGE SHIFTS; DISTRIBUTIONS; POPULATIONS; TOLERANCE; DIVERSITY; ELEVATION; MODELS</t>
  </si>
  <si>
    <t>Both tropical and temperate species are responding to global warming through range shifts, but our understanding of the consequences of these shifts for whole communities is limited. Here, we use current elevational range data for six taxonomic groups spanning 90 degrees in latitude to examine the potential impacts of climate-driven range shifts on community change, or disassembly, across latitude. Elevational ranges are smaller at low latitudes for most groups and, as a consequence, tropical communities appear to be more sensitive to temperature increases compared with temperate communities. Under site-specific temperature projections, we generally found greater community disassembly in tropical compared with temperate communities, although this varied by dispersal assumptions. Mountain height can impact the amount of community disassembly, with greater change occurring on smaller mountains. Finally, projected community disassembly was higher for ectotherms than endotherms, although the variation among ectotherms was greater than the variation separating endotherms and ectotherms.</t>
  </si>
  <si>
    <t>[Sheldon, Kimberly S.; Yang, Sylvia; Tewksbury, Joshua J.] Univ Washington, Dept Biol, Seattle, WA 98195 USA</t>
  </si>
  <si>
    <t>University of Washington; University of Washington Seattle</t>
  </si>
  <si>
    <t>Sheldon, KS (corresponding author), Univ Washington, Dept Biol, Seattle, WA 98195 USA.</t>
  </si>
  <si>
    <t>kimberlyssheldon@gmail.com</t>
  </si>
  <si>
    <t>; Tewksbury, Josh/JJD-8034-2023</t>
  </si>
  <si>
    <t>Tewksbury, Joshua/0000-0002-9786-1477; Sheldon, Kimberly/0000-0002-3215-2223;</t>
  </si>
  <si>
    <t>National Science Foundation (NSF) [0853825]; University of Washington (UW) Department of Biology; NSF Ocean and Coastal Interdisciplinary Science [GK-12]; Office Of Internatl Science &amp;Engineering; Office Of The Director [0853825] Funding Source: National Science Foundation</t>
  </si>
  <si>
    <t>National Science Foundation (NSF)(National Science Foundation (NSF)); University of Washington (UW) Department of Biology(University of Washington); NSF Ocean and Coastal Interdisciplinary Science; Office Of Internatl Science &amp;Engineering; Office Of The Director(National Science Foundation (NSF)NSF - Office of the Director (OD))</t>
  </si>
  <si>
    <t>We are grateful to the many biologists who made their data sets available for use. We thank A. Ettinger, D. Haak, J. Hille Ris Lambers, R. Huey, R. Colwell and two anonymous reviewers for technical assistance, discussion and comments that greatly improved this manuscript. KSS was funded by a Graduate Research Fellowship and Doctoral Dissertation Enhancement Project (DEB no. 0853825) from the National Science Foundation (NSF) and a Washington Research Foundation writing fellowship from the University of Washington (UW) Department of Biology. SY was funded by an NSF Ocean and Coastal Interdisciplinary Science GK-12 Fellowship at UW.</t>
  </si>
  <si>
    <t>849TG</t>
  </si>
  <si>
    <t>WOS:000297147500002</t>
  </si>
  <si>
    <t>Sauer, J; Domisch, S; Nowak, C; Haase, P</t>
  </si>
  <si>
    <t>Sauer, Jan; Domisch, Sami; Nowak, Carsten; Haase, Peter</t>
  </si>
  <si>
    <t>Low mountain ranges: summit traps for montane freshwater species under climate change</t>
  </si>
  <si>
    <t>BIOMOD; Climate change; Low mountain ranges; Montane aquatic insects; Species distribution models</t>
  </si>
  <si>
    <t>GENETIC POPULATION-STRUCTURE; EXTINCTION RISK; COUPLED MODEL; AQUATIC INSECTS; BIODIVERSITY; PATTERNS; PHYLOGEOGRAPHY; CONSERVATION; DISPERSAL; RESPONSES</t>
  </si>
  <si>
    <t>Global climate change (GCC) is expected to lead to massive loss of global biodiversity in the alpine regions of mountain ranges. Studies on the potential effects of GCC on low mountain areas remain sparse, however, despite the high conservation value of these areas as biodiversity refugia. We chose a species distribution modeling approach to assess potential GCC impacts on the future distributions of montane freshwater invertebrates under two different greenhouse gas scenarios and three averaged general circulation models. For this, ensemble models consisting of six algorithms [generalized linear model (GLM), generalized boosted model (GBM), generalized additive model (GAM), classification tree analysis (CTA), artificial neural networks (ANN), and multivariate adaptive regression splines (MARS)] were applied to project areas of 23 cold-stenothermic aquatic insects from montane regions of Central Europe. We found an average loss of 70-80% of the potential distribution for the study species until 2080, depending on the underlying Intergovernmental Panel on Climate Change scenario. Species distribution ranges below 1000 m above sea level were found to decrease by up to similar to 96% according to the severest greenhouse gas emission scenario. While the Alps remain the single main refugium under the A2a greenhouse gas emission scenario, the more moderate climate scenario B2a shows fragmented potential persistence of montane insects in some low mountain ranges. The results show that montane freshwater assemblages in low mountain ranges are particularly threatened by ongoing GCC. As vertical dispersal is limited by elevational restriction, low mountain ranges may act as summit traps under GCC. We thus propose that GCC will lead to the extinction of several species and unique genetic lineages of postglacial relict species, resulting in a significant decline in Central European fauna.</t>
  </si>
  <si>
    <t>[Sauer, Jan; Domisch, Sami; Nowak, Carsten; Haase, Peter] Senckenberg Res Inst, Dept Limnol &amp; Conservat, D-63571 Gelnhausen, Germany; [Sauer, Jan; Domisch, Sami; Nowak, Carsten; Haase, Peter] Nat Hist Museums, D-63571 Gelnhausen, Germany; [Sauer, Jan; Domisch, Sami; Nowak, Carsten; Haase, Peter] Biodivers &amp; Climate Res Ctr BiK F, D-60325 Frankfurt, Germany</t>
  </si>
  <si>
    <t>Leibniz Association; Senckenberg Gesellschaft fur Naturforschung (SGN); Senckenberg Biodiversitat &amp; Klima- Forschungszentrum (BiK-F); Leibniz Association; Senckenberg Gesellschaft fur Naturforschung (SGN)</t>
  </si>
  <si>
    <t>Sauer, J (corresponding author), Senckenberg Res Inst, Dept Limnol &amp; Conservat, Clamecystr 12, D-63571 Gelnhausen, Germany.</t>
  </si>
  <si>
    <t>jsauer@senckenberg.de</t>
  </si>
  <si>
    <t>Haase, Peter/A-5644-2011; Nowak, Carsten/A-4466-2014; Domisch, Sami/E-5745-2011</t>
  </si>
  <si>
    <t>Nowak, Carsten/0000-0002-3139-1951; Domisch, Sami/0000-0002-8127-9335</t>
  </si>
  <si>
    <t>Hessian initiative for scientific and economic excellence [Landes-Offensive zur Entwicklung wissenschaftlich-okonomischer Exzellenz (LOEWE)] of the Hessian Ministry of Higher Education, Research, and the Arts</t>
  </si>
  <si>
    <t>We are grateful to J. Bohmer, R. Brettfeld, B. Eiseler, F. Fischer, A. Haybach, R. Kuttner, S. Lehrian, A. Lorenz, W. Mey, P. Neu, S. U. Pauls, T. Pitsch, B. Robert, R. Semmler-Elpers, K. Theissinger, A. Weinzierl, and P. Zwick for kindly providing the data points for the analyzed species. Thanks to M. Balint and S. U. Pauls for scientific support. This study was funded by the Hessian initiative for scientific and economic excellence [Landes-Offensive zur Entwicklung wissenschaftlich-okonomischer Exzellenz (LOEWE)] of the Hessian Ministry of Higher Education, Research, and the Arts.</t>
  </si>
  <si>
    <t>850CB</t>
  </si>
  <si>
    <t>WOS:000297170900017</t>
  </si>
  <si>
    <t>Renwick, AR; Massimino, D; Newson, SE; Chamberlain, DE; Pearce-Higgins, JW; Johnston, A</t>
  </si>
  <si>
    <t>Renwick, Anna R.; Massimino, Dario; Newson, Stuart E.; Chamberlain, Dan E.; Pearce-Higgins, James W.; Johnston, Alison</t>
  </si>
  <si>
    <t>Modelling changes in species' abundance in response to projected climate change</t>
  </si>
  <si>
    <t>Breeding birds; climate change; climate envelope model; conservation; global warming; habitat; land cover; rainfall; temperature</t>
  </si>
  <si>
    <t>LAND-COVER; DISTRIBUTION PATTERNS; PREDICTED EXTINCTION; BIOCLIMATIC ENVELOPE; RANGE SHIFTS; POPULATION; BIRDS; DISTRIBUTIONS; HABITAT; NORTHERN</t>
  </si>
  <si>
    <t>Aim Existing climate envelope models give an indication of broad scale shifts in distribution, but do not specifically provide information on likely future population changes useful for conservation prioritization and planning. We demonstrate how these techniques can be developed to model likely future changes in absolute density and population size as a result of climate change. Location Great Britain. Methods Generalized linear models were used to model breeding densities of two northerly- and two southerly-distributed bird species as a function of climate and land use. Models were built using count data from extensive national bird monitoring data and incorporated detectability to estimate absolute abundance. Projections of likely future changes in the distribution and abundance of these species were made by applying these models to projections of future climate change under two emissions scenarios. Results Models described current spatial variation in abundance for three of the four species and produced modelled current estimates of national populations that were similar to previously published estimates for all species. Climate change was projected to result in national population declines in the two northerly-distributed species, with declines for Eurasian curlew Numenius arquata projected to be particularly severe. Conversely, the abundances of the two southerly distributed species were projected to increase nationally. Projected maps of future abundance may be used to identify priority areas for the future conservation of each species. Main conclusions The analytical methods provide a framework to make projections of impacts of climate change on species abundance, rather than simply projected range changes. Outputs may be summarized at any spatial scale, providing information to inform future conservation planning at national, regional and local scales. Results suggest that as a consequence of climate change, northerly distributed bird species in Great Britain are likely to become an increasingly high conservation priority within the UK.</t>
  </si>
  <si>
    <t>[Renwick, Anna R.; Massimino, Dario; Newson, Stuart E.; Pearce-Higgins, James W.; Johnston, Alison] British Trust Ornithol, Thetford IP24 2PU, Norfolk, England; [Chamberlain, Dan E.] Univ Turin, Dipartimento Biol Anim &amp; Uomo, I-10123 Turin, Italy</t>
  </si>
  <si>
    <t>British Trust for Ornithology; University of Turin</t>
  </si>
  <si>
    <t>Renwick, AR (corresponding author), British Trust Ornithol, Thetford IP24 2PU, Norfolk, England.</t>
  </si>
  <si>
    <t>anna.renwick@bto.org</t>
  </si>
  <si>
    <t>Chamberlain, Dan/K-1809-2015; Massimino, Dario/A-8113-2010; Renwick, Anna/F-9707-2012; Johnston, Alison/N-4820-2016</t>
  </si>
  <si>
    <t>Chamberlain, Dan/0000-0002-5381-2024; Johnston, Alison/0000-0001-8221-013X</t>
  </si>
  <si>
    <t>873IL</t>
  </si>
  <si>
    <t>WOS:000298874900003</t>
  </si>
  <si>
    <t>Fordham, DA; Akçakaya, HR; Araújo, MB; Elith, J; Keith, DA; Pearson, R; Auld, TD; Mellin, C; Morgan, JW; Regan, TJ; Tozer, M; Watts, MJ; White, M; Wintle, BA; Yates, C; Brook, BW</t>
  </si>
  <si>
    <t>Fordham, Damien A.; Akcakaya, H. Resit; Araujo, Miguel B.; Elith, Jane; Keith, David A.; Pearson, Richard; Auld, Tony D.; Mellin, Camille; Morgan, John W.; Regan, Tracey J.; Tozer, Mark; Watts, Michael J.; White, Matthew; Wintle, Brendan A.; Yates, Colin; Brook, Barry W.</t>
  </si>
  <si>
    <t>Plant extinction risk under climate change: are forecast range shifts alone a good indicator of species vulnerability to global warming?</t>
  </si>
  <si>
    <t>abundance; bioclimate envelope; connectivity; coupled niche-population model; dispersal; habitat suitability; mechanistic model; metapopulation; population viability analysis; species distribution model</t>
  </si>
  <si>
    <t>IUCN RED LIST; DISTRIBUTION MODELS; POPULATION-MODELS; PREDICTION; ABUNDANCE; IMPACTS; UNCERTAINTY; VEGETATION; BIOCLIMATE; DYNAMICS</t>
  </si>
  <si>
    <t>Models that couple habitat suitability with demographic processes offer a potentially improved approach for estimating spatial distributional shifts and extinction risk under climate change. Applying such an approach to five species of Australian plants with contrasting demographic traits, we show that: (i) predicted climate-driven changes in range area are sensitive to the underlying habitat model, regardless of whether demographic traits and their interaction with habitat patch configuration are modeled explicitly; and (ii) caution should be exercised when using predicted changes in total habitat suitability or geographic extent to infer extinction risk, because the relationship between these metrics is often weak. Measures of extinction risk, which quantify threats to population persistence, are particularly sensitive to life-history traits, such as recruitment response to fire, which explained approximately 60% of the deviance in expected minimum abundance. Dispersal dynamics and habitat patch structure have the strongest influence on the amount of movement of the trailing and leading edge of the range margin, explaining roughly 40% of modeled structural deviance. These results underscore the need to consider direct measures of extinction risk (population declines and other measures of stochastic viability), as well as measures of change in habitat area, when assessing climate change impacts on biodiversity. Furthermore, direct estimation of extinction risk incorporates important demographic and ecosystem processes, which potentially influence species vulnerability to extinction due to climate change.</t>
  </si>
  <si>
    <t>[Fordham, Damien A.; Mellin, Camille; Watts, Michael J.; Brook, Barry W.] Univ Adelaide, Inst Environm, Adelaide, SA 5005, Australia; [Fordham, Damien A.; Mellin, Camille; Watts, Michael J.; Brook, Barry W.] Univ Adelaide, Sch Earth &amp; Environm Sci, Adelaide, SA 5005, Australia; [Akcakaya, H. Resit] SUNY Stony Brook, Dept Ecol &amp; Evolut, Stony Brook, NY 11794 USA; [Araujo, Miguel B.] CSIC, Natl Museum Nat Sci, Dept Biodivers &amp; Evolutionary Biol, E-28006 Madrid, Spain; [Araujo, Miguel B.] Univ Evora, CIBIO, Rui Nabeiro Biodivers Chair, P-7000 Evora, Portugal; [Elith, Jane; Regan, Tracey J.; Wintle, Brendan A.] Univ Melbourne, Sch Bot, Parkville, Vic 3010, Australia; [Keith, David A.; Auld, Tony D.; Tozer, Mark] NSW Off Environm &amp; Heritage, Hurstville, NSW 2220, Australia; [Keith, David A.] Univ New S Wales, Australian Wetlands &amp; Rivers Ctr, Sch Biol Earth &amp; Environm Sci, Sydney, NSW 2052, Australia; [Pearson, Richard] Amer Museum Nat Hist, New York, NY 10024 USA; [Mellin, Camille] Townsville MC, Australian Inst Marine Sci, Townsville, Qld 4810, Australia; [Morgan, John W.] La Trobe Univ, Dept Bot, Bundoora, Vic 3086, Australia; [White, Matthew] Arthur Rylah Inst Environm Res, Dept Sustainabil &amp; Environm, Heidelberg, Vic 3084, Australia; [Yates, Colin] Dept Environm &amp; Conservat, Div Sci, Bentley, WA 6983, Australia</t>
  </si>
  <si>
    <t>Adelaide University; University of Adelaide; Adelaide University; University of Adelaide; State University of New York (SUNY) System; Stony Brook University; Consejo Superior de Investigaciones Cientificas (CSIC); University of Evora; University of Melbourne; Office of Environment &amp; Heritage - New South Wales; University of New South Wales Sydney; American Museum of Natural History (AMNH); Australian Institute of Marine Science; La Trobe University; Arthur Rylah Institute for Environmental Research (ARI)</t>
  </si>
  <si>
    <t>Fordham, DA (corresponding author), Univ Adelaide, Inst Environm, Adelaide, SA 5005, Australia.</t>
  </si>
  <si>
    <t>damien.fordham@adelaide.edu.au</t>
  </si>
  <si>
    <t>Mellin, Camille/X-9161-2019; Bastos Araújo, Miguel/B-6117-2008; Elith, Jane/F-2022-2015; Watts, Michael/A-9139-2010; Fordham, Damien/E-9255-2013; Brook, Barry/G-2686-2011; Pearson, Richard/GQH-2760-2022; Akcakaya, H./A-7830-2008</t>
  </si>
  <si>
    <t>Mellin, Camille/0000-0002-7369-2349; wintle, brendan/0000-0002-4234-5950; Bastos Araújo, Miguel/0000-0002-5107-7265; Elith, Jane/0000-0002-8706-0326; Watts, Michael/0000-0003-1559-3091; Fordham, Damien/0000-0003-2137-5592; Brook, Barry/0000-0002-2491-1517; Keith, David/0000-0002-7627-4150; Auld, Tony/0000-0002-8766-2829;</t>
  </si>
  <si>
    <t>Australian Research Council (ARC) [LP0989420, FT0991640, FT100100819]; National Aeronautics and Space Administration through the NASA [NNX09AK19G]; Portuguese FCT [PTDC/AAC-AMB/98163/2008]; [LP0989537]; Australian Research Council [FT0991640, FT100100819, LP0989420] Funding Source: Australian Research Council</t>
  </si>
  <si>
    <t>Australian Research Council (ARC)(Australian Research Council); National Aeronautics and Space Administration through the NASA(National Aeronautics &amp; Space Administration (NASA)); Portuguese FCT(Fundacao para a Ciencia e a Tecnologia (FCT)); ; Australian Research Council(Australian Research Council)</t>
  </si>
  <si>
    <t>The ARC-NZ Research Network for Vegetation Function (http://www.vegfunction.net/index.html) funded two workshops, bringing together experts in the fields of plant ecology, quantitative ecology population viability analysis and species distribution modeling. Graeme Hastwell and Lee Heard helped collate species data sets. Australian Research Council (ARC) Linkage grants were used to support the contributions of DAF, BWB and MJW (LP0989420); and DAK, BAW, TJR and JE (LP0989537). JE and BAW were also supported by ARC grants FT0991640 and FT100100819 respectively. Contributions of HRA and RGP were supported by the National Aeronautics and Space Administration under Grant No. NNX09AK19G awarded through the NASA Biodiversity Program, MBA was supported by the Portuguese FCT grant PTDC/AAC-AMB/98163/2008.</t>
  </si>
  <si>
    <t>909AB</t>
  </si>
  <si>
    <t>WOS:000301533100013</t>
  </si>
  <si>
    <t>Ihlow, F; Dambach, J; Engler, JO; Flecks, M; Hartmann, T; Nekum, S; Rajaei, H; Rödder, D</t>
  </si>
  <si>
    <t>Ihlow, Flora; Dambach, Johannes; Engler, Jan O.; Flecks, Morris; Hartmann, Timo; Nekum, Sven; Rajaei, Hossein; Roedder, Dennis</t>
  </si>
  <si>
    <t>On the brink of extinction? How climate change may affect global chelonian species richness and distribution</t>
  </si>
  <si>
    <t>biodiversity; chelonia; extrapolation; species distribution modeling; species range; temperature-dependent sex determination (TSD)</t>
  </si>
  <si>
    <t>DEPENDENT SEX DETERMINATION; DISTRIBUTION MODELS; ECOLOGICAL RESPONSES; LIZARD DIVERSITY; SAMPLE-SIZE; IMPACTS; RANGE; CONSERVATION; BIODIVERSITY; PREDICTIONS</t>
  </si>
  <si>
    <t>Anthropogenic global climate change has already led to alterations in biodiversity patterns by directly and indirectly affecting species distributions. It has been suggested that poikilothermic animals, including reptiles, will be particularly affected by global change and large-scale reptile declines have already been observed. Currently, half of the world's freshwater turtles and tortoises are considered threatened with extinction, and climate change may exacerbate these declines. In this study, we assess how global chelonian species richness will change in the near future. We use species distribution models developed under current climate conditions for 78% of all extant species and project them onto different Intergovernmental Panel on Climate Change (IPCC) scenarios for 2080. We detect a strong dependence of temperature shaping most species ranges, which coincide with their general temperature-related physiological traits (i.e., temperature-dependent sex determination). Furthermore, the extent and distribution of the current bioclimatic niches of most chelonians may change remarkably in the near future, likely leading to a substantial decrease of local species abundance and ultimately a reduction in species richness. Future climatic changes may cause the ranges of 86% of the species to contract, and of these ranges, nearly 12% are predicted to be situated completely outside their currently realized niches. Hence, the interplay of increasing habitat fragmentation and loss due to climatic stress may result in a serious threat for several chelonian species.</t>
  </si>
  <si>
    <t>[Ihlow, Flora; Dambach, Johannes; Engler, Jan O.; Flecks, Morris; Hartmann, Timo; Nekum, Sven; Rajaei, Hossein; Roedder, Dennis] Zool Forsch Museum Alexander Koenig, D-53113 Bonn, Germany; [Engler, Jan O.] Univ Trier, Biogeog Dept, D-54286 Trier, Germany</t>
  </si>
  <si>
    <t>Zoologisches Forschungsmuseum Alexander Koenig (ZFMK); Universitat Trier</t>
  </si>
  <si>
    <t>Rödder, D (corresponding author), Zool Forsch Museum Alexander Koenig, Adenauerallee 160, D-53113 Bonn, Germany.</t>
  </si>
  <si>
    <t>d.roedder.zfmk@uni-bonn.de</t>
  </si>
  <si>
    <t>Sh., Hossein/E-5819-2012; Engler, Jan/C-3432-2009; Rödder, Dennis/AAT-8644-2021; Ihlow, Flora/HTP-4946-2023</t>
  </si>
  <si>
    <t>Rödder, Dennis/0000-0002-6108-1639; Ihlow, Flora/0000-0002-0460-4210</t>
  </si>
  <si>
    <t>922JP</t>
  </si>
  <si>
    <t>WOS:000302543500005</t>
  </si>
  <si>
    <t>Gardali, T; Seavy, NE; DiGaudio, RT; Comrack, LA</t>
  </si>
  <si>
    <t>Gardali, Thomas; Seavy, Nathaniel E.; DiGaudio, Ryan T.; Comrack, Lyann A.</t>
  </si>
  <si>
    <t>A Climate Change Vulnerability Assessment of California's At-Risk Birds</t>
  </si>
  <si>
    <t>POPULATION CONSEQUENCES; EXTINCTION RISK; HABITAT; FUTURE; BUTTERFLIES; RESILIENCE; FRAMEWORK; RESPONSES; IMPACTS; EVENTS</t>
  </si>
  <si>
    <t>Conservationists must develop new strategies and adapt existing tools to address the consequences of anthropogenic climate change. To support statewide climate change adaptation, we developed a framework for assessing climate change vulnerability of California's at-risk birds and integrating it into the existing California Bird Species of Special Concern list. We defined climate vulnerability as the amount of evidence that climate change will negatively impact a population. We quantified climate vulnerability by scoring sensitivity (intrinsic characteristics of an organism that make it vulnerable) and exposure (the magnitude of climate change expected) for each taxon. Using the combined sensitivity and exposure scores as an index, we ranked 358 avian taxa, and classified 128 as vulnerable to climate change. Birds associated with wetlands had the largest representation on the list relative to other habitat groups. Of the 29 state or federally listed taxa, 21 were also classified as climate vulnerable, further raising their conservation concern. Integrating climate vulnerability and California's Bird Species of Special Concern list resulted in the addition of five taxa and an increase in priority rank for ten. Our process illustrates a simple, immediate action that can be taken to inform climate change adaptation strategies for wildlife.</t>
  </si>
  <si>
    <t>[Gardali, Thomas; Seavy, Nathaniel E.] PRBO Conservat Sci, Pacific Coast &amp; Cent Valley Grp, Petaluma, CA USA; [DiGaudio, Ryan T.] PRBO Conservat Sci, Emerging Programs &amp; Partnerships Grp, Petaluma, CA USA; [Comrack, Lyann A.] Calif Dept Fish &amp; Game, Nongame Wildlife Program, Sacramento, CA 95814 USA</t>
  </si>
  <si>
    <t>Gardali, T (corresponding author), PRBO Conservat Sci, Pacific Coast &amp; Cent Valley Grp, Petaluma, CA USA.</t>
  </si>
  <si>
    <t>tgardali@prbo.org</t>
  </si>
  <si>
    <t>MAR 2</t>
  </si>
  <si>
    <t>e29507</t>
  </si>
  <si>
    <t>928TC</t>
  </si>
  <si>
    <t>WOS:000303006500001</t>
  </si>
  <si>
    <t>Hughes, AC; Satasook, C; Bates, PJJ; Bumrungsri, S; Jones, G</t>
  </si>
  <si>
    <t>Hughes, Alice C.; Satasook, Chutamas; Bates, Paul J. J.; Bumrungsri, Sara; Jones, Gareth</t>
  </si>
  <si>
    <t>The projected effects of climatic and vegetation changes on the distribution and diversity of Southeast Asian bats</t>
  </si>
  <si>
    <t>environmental; impact; projections; range size; scenario; species richness</t>
  </si>
  <si>
    <t>SPECIES DISTRIBUTIONS; CONSERVATION; EXTINCTION; FOREST; RANGE; FRUIT; PTEROPODIDAE; CHIROPTERA; COMMUNITY; RICHNESS</t>
  </si>
  <si>
    <t>Southeast-Asia (SEA) constitutes a global biodiversity hotspot, but is exposed to extensive deforestation and faces numerous threats to its biodiversity. Climate change represents a major challenge to the survival and viability of species, and the potential consequences must be assessed to allow for mitigation. We project the effects of several climate change scenarios on bat diversity, and predict changes in range size for 171 bat species throughout SEA. We predict decreases in species richness in all areas with high species richness (&gt;80 species) at 20502080, using bioclimatic IPCC scenarios A2 (a severe scenario, continuously increasing human population size, regional changes in economic growth) and B1 (the greenest scenario, global population peaking mid-century). We also predicted changes in species richness in scenarios that project vegetation changes in addition to climate change up to 2050. At 2050 and 2080, A2 and B1 scenarios incorporating changes in climatic factors predicted that 39% species would lose all currently suitable niche space. When considering total extents of species distribution in SEA (including possible range expansions), 26% of species may have no suitable niche space in 20502080. When potential vegetation and climate changes were combined only 1% of species showed no changes in their predicted ranges by 2050. Although some species are projected to expand ranges, this may be ecologically impossible due to potential barriers to dispersal, especially for species with poor dispersal ability. Only 113% of species showed no projected reductions in their current range under bioclimatic scenarios. An effective way to facilitate range shift for dispersal-limited species is to improve landscape connectivity. If current trends in environmental change continue and species cannot expand their ranges into new areas, then the majority of bat species in SEA may show decreases in range size and increased extinction risk within the next century.</t>
  </si>
  <si>
    <t>[Hughes, Alice C.; Jones, Gareth] Univ Bristol, Sch Biol Sci, Bristol BS8 1UG, Avon, England; [Satasook, Chutamas; Bumrungsri, Sara] Prince Songkla Univ, Dept Biol, Fac Sci, Hat Yai 90112, Songkhla, Thailand; [Bates, Paul J. J.] Ctr Systemat &amp; Biodivers Res, Harrison Inst, Sevenoaks TN13 3AQ, Kent, England</t>
  </si>
  <si>
    <t>University of Bristol; Prince of Songkla University</t>
  </si>
  <si>
    <t>Hughes, AC (corresponding author), Univ Bristol, Sch Biol Sci, Woodland Rd, Bristol BS8 1UG, Avon, England.</t>
  </si>
  <si>
    <t>dr_achughes@hotmail.co.uk</t>
  </si>
  <si>
    <t>hughes, Alice/G-7285-2012; Bates, Paul/HDO-0192-2022</t>
  </si>
  <si>
    <t>hughes, Alice/0000-0002-4899-3158; Jones, Gareth/0000-0002-1904-3735</t>
  </si>
  <si>
    <t>British Council</t>
  </si>
  <si>
    <t>British Council(The British Council in India)</t>
  </si>
  <si>
    <t>We greatly thank Jefferson Fox and Trung Kien for their contributions of vegetation projections and their assistance during this study. We also thank Gabor Csorba, Neil Furey, Ben Hayes, Nor Zalipah Mohamed and Sebastien Puechmaille for personal contributions of spatial species distribution data and the agencies which projected the eco-geographic data that have been essential to the project, and the British Council who funded fieldwork. Comments from three referees were extremely valuable for improving earlier drafts of the manuscript.</t>
  </si>
  <si>
    <t>938WF</t>
  </si>
  <si>
    <t>WOS:000303763600008</t>
  </si>
  <si>
    <t>Schloss, CA; Nuñez, TA; Lawler, JJ</t>
  </si>
  <si>
    <t>Schloss, Carrie A.; Nunez, Tristan A.; Lawler, Joshua J.</t>
  </si>
  <si>
    <t>Dispersal will limit ability of mammals to track climate change in the Western Hemisphere</t>
  </si>
  <si>
    <t>IMPACTS; MODELS; CLASSIFICATION; FORESTS</t>
  </si>
  <si>
    <t>As they have in response to past climatic changes, many species will shift their distributions in response to modern climate change. However, due to the unprecedented rapidity of projected climatic changes, some species may not be able to move their ranges fast enough to track shifts in suitable climates and associated habitats. Here, we investigate the ability of 493 mammals to keep pace with projected climatic changes in the Western Hemisphere. We modeled the velocities at which species will likely need to move to keep pace with projected changes in suitable climates. We compared these velocities with the velocities at which species are able to move as a function of dispersal distances and dispersal frequencies. Across the Western Hemisphere, on average, 9.2% of mammals at a given location will likely be unable to keep pace with climate change. In some places, up to 39% of mammals may be unable to track shifts in suitable climates. Eighty-seven percent of mammalian species are expected to experience reductions in range size and 20% of these range reductions will likely be due to limited dispersal abilities as opposed to reductions in the area of suitable climate. Because climate change will likely outpace the response capacity of many mammals, mammalian vulnerability to climate change may be more extensive than previously anticipated.</t>
  </si>
  <si>
    <t>[Schloss, Carrie A.; Nunez, Tristan A.; Lawler, Joshua J.] Univ Washington, Sch Environm &amp; Forest Sci, Seattle, WA 98195 USA</t>
  </si>
  <si>
    <t>Schloss, CA (corresponding author), Univ Washington, Sch Environm &amp; Forest Sci, Seattle, WA 98195 USA.</t>
  </si>
  <si>
    <t>cschloss@u.washington.edu</t>
  </si>
  <si>
    <t>Nuñez, Tristan/0000-0002-1776-1442</t>
  </si>
  <si>
    <t>MAY 29</t>
  </si>
  <si>
    <t>953PD</t>
  </si>
  <si>
    <t>Green Published, Bronze</t>
  </si>
  <si>
    <t>WOS:000304881700053</t>
  </si>
  <si>
    <t>Dullinger, S; Gattringer, A; Thuiller, W; Moser, D; Zimmermann, NE; Guisan, A; Willner, W; Plutzar, C; Leitner, M; Mang, T; Caccianiga, M; Dirnböck, T; Ertl, S; Fischer, A; Lenoir, J; Svenning, JC; Psomas, A; Schmatz, DR; Silc, U; Vittoz, P; Hülber, K</t>
  </si>
  <si>
    <t>Dullinger, Stefan; Gattringer, Andreas; Thuiller, Wilfried; Moser, Dietmar; Zimmermann, Niklaus E.; Guisan, Antoine; Willner, Wolfgang; Plutzar, Christoph; Leitner, Michael; Mang, Thomas; Caccianiga, Marco; Dirnboeck, Thomas; Ertl, Siegrun; Fischer, Anton; Lenoir, Jonathan; Svenning, Jens-Christian; Psomas, Achilleas; Schmatz, Dirk R.; Silc, Urban; Vittoz, Pascal; Huelber, Karl</t>
  </si>
  <si>
    <t>Extinction debt of high-mountain plants under twenty-first-century climate change</t>
  </si>
  <si>
    <t>CHANGE IMPACTS; BIODIVERSITY; DISTRIBUTIONS; VEGETATION; ELEVATION; DIVERSITY; SHIFTS</t>
  </si>
  <si>
    <t>Quantitative estimates of the range loss of mountain plants under climate change have so far mostly relied on static geographical projections of species' habitat shifts(1-3). Here, we use a hybrid model(4) that combines such projections with simulations of demography and seed dispersal to forecast the climate-driven spatio-temporal dynamics of 150 high-mountain plant species across the European Alps. This model predicts average range size reductions of 44-50% by the end of the twenty-first century, which is similar to projections from the most 'optimistic' static model (49%). However, the hybrid model also indicates that population dynamics will lag behind climatic trends and that an average of 40% of the range still occupied at the end of the twenty-first century will have become climatically unsuitable for the respective species, creating an extinction debt(5,6). Alarmingly, species endemic to the Alps seem to face the highest range losses. These results caution against optimistic conclusions from moderate range size reductions observed during the twenty-first century as they are likely to belie more severe longer-term effects of climate warming on mountain plants.</t>
  </si>
  <si>
    <t>[Dullinger, Stefan; Gattringer, Andreas; Moser, Dietmar; Willner, Wolfgang; Plutzar, Christoph; Mang, Thomas; Huelber, Karl] Vienna Inst Nat Conservat &amp; Anal, A-1090 Vienna, Austria; [Dullinger, Stefan; Mang, Thomas; Ertl, Siegrun] Univ Vienna, Fac Ctr Biodivers, A-1030 Vienna, Austria; [Thuiller, Wilfried] Univ Grenoble 1, CNRS, Lab Ecol Alpine, UMR 5553, F-38041 Grenoble 9, France; [Zimmermann, Niklaus E.; Psomas, Achilleas; Schmatz, Dirk R.] Swiss Fed Res Inst WSL, Landscape Dynam Unit, CH-8903 Birmensdorf, Switzerland; [Guisan, Antoine; Vittoz, Pascal] Univ Lausanne, Dept Ecol &amp; Evolut, CH-1015 Lausanne, Switzerland; [Plutzar, Christoph] Alpen Adria Univ, Inst Social Ecol Vienna SEC, A-1070 Vienna, Austria; [Leitner, Michael] Univ Vienna, Fac Phys, A-1090 Vienna, Austria; [Leitner, Michael] Tech Univ Munich, FRM 2, D-85747 Garching, Germany; [Caccianiga, Marco] Univ Milan, Dept Biol, I-20133 Milan, Italy; [Dirnboeck, Thomas] Environm Agcy Austria, Dept Ecosyst Res &amp; Monitoring, A-1090 Vienna, Austria; [Fischer, Anton] Tech Univ Munich, Ctr Life &amp; Food Sci, D-85354 Freising Weihenstephan, Germany; [Lenoir, Jonathan; Svenning, Jens-Christian] Aarhus Univ, Dept Biosci, Ecoinformat &amp; Biodivers Grp, DK-8000 Aarhus, Denmark; [Lenoir, Jonathan] Univ Picardie Jules Verne, Ecol &amp; Dynam Syst Anthropises EA4698, F-80037 Amiens, France; [Silc, Urban] Inst Biol Zrc Sazu, SI-1000 Ljubljana, Slovenia</t>
  </si>
  <si>
    <t>University of Vienna; Communaute Universite Grenoble Alpes; Universite Grenoble Alpes (UGA); Centre National de la Recherche Scientifique (CNRS); Universite Savoie Mont Blanc; CNRS - Institute of Ecology &amp; Environment (INEE); Swiss Federal Institutes of Technology Domain; Swiss Federal Institute for Forest, Snow &amp; Landscape Research; University of Lausanne; University of Klagenfurt; University of Vienna; Technical University of Munich; University of Milan; Technical University of Munich; Aarhus University; Universite de Picardie Jules Verne (UPJV); Slovenian Academy of Sciences &amp; Arts (SASA)</t>
  </si>
  <si>
    <t>Dullinger, S (corresponding author), Vienna Inst Nat Conservat &amp; Anal, Giessergasse 6-7, A-1090 Vienna, Austria.</t>
  </si>
  <si>
    <t>stefan.dullinger@univie.ac.at</t>
  </si>
  <si>
    <t>Svenning, Jens-Christian/C-8977-2012; Plutzar, Christoph/J-6055-2015; Schmatz, Dirk/L-7281-2013; Zimmermann, Niklaus/A-4276-2008; CACCIANIGA, MARCO STEFANO/B-1025-2017; Fischer, Anton/E-9941-2017; Šilc, Urban/ABC-8488-2021; Hülber, Karl/H-7822-2019; Guisan, Antoine/A-1057-2011; Willner, Wolfgang/AAA-4822-2019; Plutzar, Christoph/J-6055-2015; Lenoir, Jonathan/AAE-8441-2019; Psomas, Achilleas/M-1141-2013; Thuiller, Wilfried/G-3283-2010</t>
  </si>
  <si>
    <t>Svenning, Jens-Christian/0000-0002-3415-0862; Schmatz, Dirk/0000-0002-8198-6136; Zimmermann, Niklaus/0000-0003-3099-9604; Leitner, Michael/0000-0002-4975-6787; CACCIANIGA, MARCO STEFANO/0000-0001-9715-1830; Fischer, Anton/0000-0002-6781-2594; Moser, Dietmar/0000-0002-2745-7508; Šilc, Urban/0000-0002-3052-699X; Vittoz, Pascal/0000-0003-4218-4517; Hülber, Karl/0000-0001-9274-1647; Dullinger, Stefan/0000-0003-3919-0887; Guisan, Antoine/0000-0002-3998-4815; Willner, Wolfgang/0000-0003-1591-8386; Dirnböck, Thomas/0000-0002-8294-0690; Plutzar, Christoph/0000-0003-2041-6399;</t>
  </si>
  <si>
    <t>EU [GOCE-CT-2007-036866]; Danish Council for Independent Research-Natural Sciences [272-07-0242]; ANR [ANR-2007-BDIV-014]; Rhone-Alpes region [CPER07-13 CIRA]</t>
  </si>
  <si>
    <t>EU(European Union (EU)); Danish Council for Independent Research-Natural Sciences(Det Frie Forskningsrad (DFF)); ANR(Agence Nationale de la Recherche (ANR)); Rhone-Alpes region(Region Auvergne-Rhone-Alpes)</t>
  </si>
  <si>
    <t>This research was financially supported by the EU 6th Framework Programme for Research, Technological Development and Demonstration (project ECOCHANGE, GOCE-CT-2007-036866) as well as by the Danish Council for Independent Research-Natural Sciences (grant 272-07-0242 to J-C.S.) and the ANR Diversitalp project (ANR-2007-BDIV-014). We thank the Vienna Scientific Cluster (http://vsc.ac.at/) for granting access to its computational resources. Niche-based models were performed using the CIMENT infrastructure (https://ciment.ujf-grenoble.fr), supported by the Rhone-Alpes region (GRANT CPER07-13 CIRA). Thanks to S. Rechnitzer for improving the English.</t>
  </si>
  <si>
    <t>10.1038/NCLIMATE1514</t>
  </si>
  <si>
    <t>986TU</t>
  </si>
  <si>
    <t>WOS:000307369300020</t>
  </si>
  <si>
    <t>Hof, AR; Jansson, R; Nilsson, C</t>
  </si>
  <si>
    <t>Hof, Anouschka R.; Jansson, Roland; Nilsson, Christer</t>
  </si>
  <si>
    <t>Future Climate Change Will Favour Non-Specialist Mammals in the (Sub)Arctics</t>
  </si>
  <si>
    <t>BIOTIC INTERACTIONS; SPECIES DISTRIBUTIONS; DIVERSITY; RESPONSES; BIODIVERSITY; BUTTERFLIES; EXTINCTION; PATTERNS; RECOVERY; IMPACTS</t>
  </si>
  <si>
    <t>Arctic and subarctic (i.e., [sub] arctic) ecosystems are predicted to be particularly susceptible to climate change. The area of tundra is expected to decrease and temperate climates will extend further north, affecting species inhabiting northern environments. Consequently, species at high latitudes should be especially susceptible to climate change, likely experiencing significant range contractions. Contrary to these expectations, our modelling of species distributions suggests that predicted climate change up to 2080 will favour most mammals presently inhabiting (sub) arctic Europe. Assuming full dispersal ability, most species will benefit from climate change, except for a few cold-climate specialists. However, most resident species will contract their ranges if they are not able to track their climatic niches, but no species is predicted to go extinct. If climate would change far beyond current predictions, however, species might disappear. The reason for the relative stability of mammalian presence might be that arctic regions have experienced large climatic shifts in the past, filtering out sensitive and range-restricted taxa. We also provide evidence that for most (sub) arctic mammals it is not climate change per se that will threaten them, but possible constraints on their dispersal ability and changes in community composition. Such impacts of future changes in species communities should receive more attention in literature.</t>
  </si>
  <si>
    <t>[Hof, Anouschka R.; Jansson, Roland; Nilsson, Christer] Umea Univ, Landscape Ecol Grp, Dept Ecol &amp; Environm Sci, Umea, Sweden; [Hof, Anouschka R.] Swedish Univ Agr Sci SLU, Dept Wildlife Fish &amp; Environm Studies, Umea, Sweden</t>
  </si>
  <si>
    <t>Umea University; Swedish University of Agricultural Sciences</t>
  </si>
  <si>
    <t>Hof, AR (corresponding author), Umea Univ, Landscape Ecol Grp, Dept Ecol &amp; Environm Sci, Umea, Sweden.</t>
  </si>
  <si>
    <t>Anouschka.Hof@emg.umu.se</t>
  </si>
  <si>
    <t>Nilsson, Christer/AAI-1354-2019; Hof, Anouschka/V-5994-2019; Jansson, Roland/B-7972-2013</t>
  </si>
  <si>
    <t>Nilsson, Christer/0000-0003-1186-8115; Jansson, Roland/0000-0003-1767-7010</t>
  </si>
  <si>
    <t>Nordic Council of Ministers [91228]</t>
  </si>
  <si>
    <t>Nordic Council of Ministers</t>
  </si>
  <si>
    <t>This project was funded by the Nordic Council of Ministers (http://www.norden.org/en/nordic-council-of-ministers), Project number: 91228. The funders had no role in study design, data collection and analysis, decision to publish, or preparation of the manuscript.</t>
  </si>
  <si>
    <t>DEC 20</t>
  </si>
  <si>
    <t>e52574</t>
  </si>
  <si>
    <t>060RA</t>
  </si>
  <si>
    <t>WOS:000312794500202</t>
  </si>
  <si>
    <t>Jones, MC; Dye, SR; Fernandes, JA; Frölicher, TL; Pinnegar, JK; Warren, R; Cheung, WWL</t>
  </si>
  <si>
    <t>Jones, Miranda C.; Dye, Stephen R.; Fernandes, Jose A.; Froelicher, Thomas L.; Pinnegar, John K.; Warren, Rachel; Cheung, William W. L.</t>
  </si>
  <si>
    <t>Predicting the Impact of Climate Change on Threatened Species in UK Waters</t>
  </si>
  <si>
    <t>POTENTIAL IMPACTS; FISH ASSEMBLAGE; MARINE FISHES; DISTRIBUTIONS; MODELS; AREAS; PROJECTIONS; FUTURE; SHIFTS; SCALE</t>
  </si>
  <si>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</si>
  <si>
    <t>[Jones, Miranda C.; Fernandes, Jose A.; Warren, Rachel] Univ E Anglia, Sch Environm Sci, Norwich NR4 7TJ, Norfolk, England; [Jones, Miranda C.; Dye, Stephen R.; Pinnegar, John K.] Ctr Environm Fisheries &amp; Aquaculture Sci, Lowestoft, Suffolk, England; [Jones, Miranda C.; Warren, Rachel] Tyndall Ctr Climate Change Res, Norwich, Norfolk, England; [Froelicher, Thomas L.] Princeton Univ, Atmospher &amp; Ocean Sci Program, Princeton, NJ 08544 USA; [Cheung, William W. L.] Univ British Columbia, Fisheries Ctr, Changing Ocean Res Unit, Vancouver, BC V5Z 1M9, Canada</t>
  </si>
  <si>
    <t>University of East Anglia; Centre for Environment Fisheries &amp; Aquaculture Science; University of East Anglia; National Oceanic Atmospheric Admin (NOAA) - USA; Princeton University; University of British Columbia</t>
  </si>
  <si>
    <t>Jones, MC (corresponding author), Univ E Anglia, Sch Environm Sci, Norwich NR4 7TJ, Norfolk, England.</t>
  </si>
  <si>
    <t>miranda.jones@uea.ac.uk</t>
  </si>
  <si>
    <t>Cheung, William/F-5104-2013; Warren, Rachel/G-9997-2011; Salvador, Jose/AAH-7939-2019; Frölicher, Thomas/E-5137-2015; , William/F-5104-2013; Pinnegar, John/C-4400-2012; Dye, Stephen/C-9456-2011</t>
  </si>
  <si>
    <t>Warren, Rachel/0000-0002-0122-1599; Frölicher, Thomas/0000-0003-2348-7854; , William/0000-0003-3626-1045; Pinnegar, John/0000-0001-5061-9520; Dye, Stephen/0000-0002-4182-8475</t>
  </si>
  <si>
    <t>UK Department for Environment, Food and Rural Affairs (DEFRA)/Centre for Environment, Fisheries and Aquaculture Science (CEFAS) [ME5102-ACME]; National Geographic Society; Natural Sciences and Engineering Research Council of Canada; NF-UBC Nereus Program; European project EURO-BASIN; EU; NERC [NE/F016107/1] Funding Source: UKRI; Natural Environment Research Council [NE/F016107/1] Funding Source: researchfish</t>
  </si>
  <si>
    <t>UK Department for Environment, Food and Rural Affairs (DEFRA)/Centre for Environment, Fisheries and Aquaculture Science (CEFAS); National Geographic Society(National Geographic Society); Natural Sciences and Engineering Research Council of Canada(Natural Sciences and Engineering Research Council of Canada (NSERC)CGIAR); NF-UBC Nereus Program; European project EURO-BASIN; EU(European Union (EU)); NERC(UK Research &amp; Innovation (UKRI)Natural Environment Research Council (NERC)); Natural Environment Research Council(UK Research &amp; Innovation (UKRI)Natural Environment Research Council (NERC))</t>
  </si>
  <si>
    <t>This work was supported by the UK Department for Environment, Food and Rural Affairs (DEFRA)/Centre for Environment, Fisheries and Aquaculture Science (CEFAS) under project ME5102-ACME. WWLC acknowledges funding support from the National Geographic Society and Natural Sciences and Engineering Research Council of Canada. The authors also thank the EU Vectors project for supporting time for JKP. TLF is partly supported by NF-UBC Nereus Program. JAF is funded by the European project EURO-BASIN. The funders had no role in study design, data collection and analysis, decision to publish, or preparation of the manuscript.</t>
  </si>
  <si>
    <t>JAN 22</t>
  </si>
  <si>
    <t>e54216</t>
  </si>
  <si>
    <t>077HS</t>
  </si>
  <si>
    <t>WOS:000314019100051</t>
  </si>
  <si>
    <t>Domisch, S; Araújo, MB; Bonada, N; Pauls, SU; Jähnig, SC; Haase, P</t>
  </si>
  <si>
    <t>Domisch, Sami; Araujo, Miguel B.; Bonada, Nuria; Pauls, Steffen U.; Jaehnig, Sonja C.; Haase, Peter</t>
  </si>
  <si>
    <t>Modelling distribution in European stream macroinvertebrates under future climates</t>
  </si>
  <si>
    <t>bioclimatic envelope model; BIOMOD; climatically suitable area; endemic species; invertebrates; range shift; river</t>
  </si>
  <si>
    <t>SPECIES DISTRIBUTION MODELS; FRESH-WATER ECOSYSTEMS; GLOBAL BIODIVERSITY; EXTINCTION RATES; COUPLED MODEL; RANGE SHIFTS; LAND-USE; COMMUNITY; IMPACTS; TRENDS</t>
  </si>
  <si>
    <t>Climate change is predicted to have profound effects on freshwater organisms due to rising temperatures and altered precipitation regimes. Using an ensemble of bioclimatic envelope models (BEMs), we modelled the climatic suitability of 191 stream macroinvertebrate species from 12 orders across Europe under two climate change scenarios for 2080 on a spatial resolution of 5 arc minutes. Analyses included assessments of relative changes in species climatically suitable areas as well as their potential shifts in latitude and longitude with respect to species thermal preferences. Climate-change effects were also analysed regarding species ecological and biological groupings, namely (1) endemicity and (2) rarity within European ecoregions, (3) life cycle, (4) stream zonation preference and (5) current preference. The BEMs projected that suitable climate conditions would persist in Europe in the year 2080 for nearly 99% of the modelled species regardless of the climate scenario. Nevertheless, a decrease in the amount of climatically suitable areas was projected for 5759% of the species. Depending on the scenario, losses could be of 3844% on average. The suitable areas for species were projected to shift, on average, 4.76.6 degrees north and 3.95.4 degrees east. Cold-adapted species were projected to lose climatically suitable areas, while gains were expected for warm-adapted species. When projections were analysed for different species groupings, only endemics stood out as a particular group. That is, endemics were projected to lose significantly larger amounts of suitable climatic areas than nonendemic species. Despite the uncertainties involved in modelling exercises such as this, the extent of projected distributional changes reveals further the vulnerability of freshwater organisms to climate change and implies a need to understand the consequences for ecological function and biodiversity conservation.</t>
  </si>
  <si>
    <t>[Domisch, Sami; Pauls, Steffen U.; Jaehnig, Sonja C.; Haase, Peter] Biodivers &amp; Climate Res Ctr BiK F, D-60325 Frankfurt, Germany; [Domisch, Sami; Jaehnig, Sonja C.; Haase, Peter] Senckenberg Res Inst, D-63571 Gelnhausen, Germany; [Domisch, Sami; Jaehnig, Sonja C.; Haase, Peter] Nat Hist Museum Frankfurt, Dept River Ecol &amp; Conservat, D-63571 Gelnhausen, Germany; [Araujo, Miguel B.] CSIC, Natl Museum Nat Sci, Dept Biogeog &amp; Global Change, E-28006 Madrid, Spain; [Araujo, Miguel B.] Univ Copenhagen, Ctr Macroecol Evolut &amp; Climate, DK-2100 Copenhagen, Denmark; [Araujo, Miguel B.] Univ Evora, Rui Nabeiro Biodivers Chair, CIBIO, P-7000 Evora, Portugal; [Bonada, Nuria] Univ Barcelona, Fac Biol, Dept Ecol, Grup Recerca Freshwater Ecol &amp; Management FEM, E-08028 Barcelona, Catalonia, Spain</t>
  </si>
  <si>
    <t>Leibniz Association; Senckenberg Gesellschaft fur Naturforschung (SGN); Senckenberg Biodiversitat &amp; Klima- Forschungszentrum (BiK-F); Leibniz Association; Senckenberg Gesellschaft fur Naturforschung (SGN); Consejo Superior de Investigaciones Cientificas (CSIC); University of Copenhagen; University of Evora; University of Barcelona</t>
  </si>
  <si>
    <t>Bastos Araújo, Miguel/B-6117-2008; Bonada, Núria/L-5137-2015; Jähnig, Sonja C/D-7126-2011; Domisch, Sami/E-5745-2011; Pauls, Steffen/C-2192-2011; Haase, Peter/A-5644-2011</t>
  </si>
  <si>
    <t>Bastos Araújo, Miguel/0000-0002-5107-7265; Bonada, Núria/0000-0002-2983-3335; Jähnig, Sonja C/0000-0002-6349-9561; Domisch, Sami/0000-0002-8127-9335; Pauls, Steffen/0000-0002-6451-3425;</t>
  </si>
  <si>
    <t>research funding programme LOEWE - Landes-Offensive zur Entwicklung Wissenschaftlich-okonomischer Exzellenz of Hesse's Ministry of Higher Education, Research; Arts; German Academic Exchange Service (DAAD); German Research Foundation DFG [HA3431/2-1]; FCT [PTDC/AAC-AMB/98163/2008]; Spanish Research Council (CSIC); 'Rui Nabeiro' Biodiversity Chair; Danish NSF; GUADALMED project [HID98-0323-C05, REN2001-3438-C07]; Spanish Ministry of Science and Technology [70/04/P/E]; Spanish Ministry of Foreign Affairs and Cooperation; BioFresh EU [226874]</t>
  </si>
  <si>
    <t>research funding programme LOEWE - Landes-Offensive zur Entwicklung Wissenschaftlich-okonomischer Exzellenz of Hesse's Ministry of Higher Education, Research; Arts; German Academic Exchange Service (DAAD)(Deutscher Akademischer Austausch Dienst (DAAD)); German Research Foundation DFG(German Research Foundation (DFG)); FCT(Fundacao para a Ciencia e a Tecnologia (FCT)); Spanish Research Council (CSIC)(Consejo Superior de Investigaciones Cientificas (CSIC)); 'Rui Nabeiro' Biodiversity Chair; Danish NSF; GUADALMED project; Spanish Ministry of Science and Technology(Spanish GovernmentMinistry of Science &amp; Innovation, Spain (MICINN)); Spanish Ministry of Foreign Affairs and Cooperation(Spanish Government); BioFresh EU(European Union (EU))</t>
  </si>
  <si>
    <t>The authors wish to thank all species' collectors as well as contributors to the Limnofauna Europaea and the freshwaterecology.info database. S. D., S. U. P., S. C. J. and P. H. acknowledge support from the research funding programme LOEWE - Landes-Offensive zur Entwicklung Wissenschaftlich-okonomischer Exzellenz of Hesse's Ministry of Higher Education, Research, and the Arts. Research by S. U. P. was financially assisted by the German Academic Exchange Service (DAAD) and the German Research Foundation DFG (grant HA3431/2-1). Research by M. B. A. was funded through the FCT PTDC/AAC-AMB/98163/2008 project. M. B. A. also acknowledges the Spanish Research Council (CSIC), the 'Rui Nabeiro' Biodiversity Chair, and the Danish NSF for support of his research. N. B. acknowledges the GUADALMED project (HID98-0323-C05 and REN2001-3438-C07) funded by the Spanish Ministry of Science and Technology, an international cooperation project between Spain and Morocco (70/04/P/E) funded by the Spanish Ministry of Foreign Affairs and Cooperation, and the BioFresh EU funded project- Biodiversity of Freshwater Ecosystems: Status, Trends, Pressures, and Conservation Priorities (7th FWP contract No 226874). Steve Ormerod and three anonymous referees made valuable comments and improvements on an earlier version of the manuscript.</t>
  </si>
  <si>
    <t>080CV</t>
  </si>
  <si>
    <t>WOS:000314219700008</t>
  </si>
  <si>
    <t>Albouy, C; Guilhaumon, F; Leprieur, F; Lasram, FB; Somot, S; Aznar, R; Velez, L; Le Loc'h, F; Mouillot, D</t>
  </si>
  <si>
    <t>Albouy, Camille; Guilhaumon, Francois; Leprieur, Fabien; Lasram, Frida Ben Rais; Somot, Samuel; Aznar, Roland; Velez, Laure; Le Loc'h, Francois; Mouillot, David</t>
  </si>
  <si>
    <t>Projected climate change and the changing biogeography of coastal Mediterranean fishes</t>
  </si>
  <si>
    <t>Body size; climate change; commercial fishing; Mediterranean fish; recreational fishing; species distribution modelling</t>
  </si>
  <si>
    <t>SPECIES DISTRIBUTION MODELS; RANGE SHIFTS; BODY-SIZE; PATTERNS; SEA; DIVERSITY; ASSEMBLAGE; ABUNDANCE; BIOLOGY; FOOD</t>
  </si>
  <si>
    <t>Aim To forecast the potential effects of climate change in the Mediterranean Sea on the species richness and mean body size of coastal fish assemblages. Location The Mediterranean Sea. Methods Using an ensemble forecasting approach, we used species distribution modelling to project the potential distribution of 288 coastal fish species by the middle and end of the 21st century based on the IPCC A2 scenario implemented with the Mediterranean climatic model NEMOMED8. Results A mean rise of 1.4 degrees C was projected for the Mediterranean Sea by the middle of the 21st century and 2.8 degrees C by the end of the 21st century. Projections for the end of the century suggest that: (1) 54 species are expected to lose their climatically suitable habitat, (2) species richness was predicted to decrease across 70.4% of the continental shelf area, especially in the western Mediterranean Sea and several parts of the Aegean Sea, and (3) mean fish body size would increase over 74.8% of the continental shelf area. Small-bodied species that are not targeted by either commercial or recreational fleets presented, on average, the highest predicted decrease in geographic range size. Main conclusions Projected climate change in the Mediterranean Sea may have deleterious effects on coastal fish diversity, including a significant loss of climatically suitable habitat for endemic fish species. In addition, climate change may contribute to the loss of small and low trophic-level fishes, which may have ecosystem-wide impacts by reducing food supply to larger and higher trophic-level species. Fishing pressure is already selectively removing large-bodied species from marine ecosystems, and so fishing and climatic change might act in tandem to drive both direct and secondary extinctions.</t>
  </si>
  <si>
    <t>[Albouy, Camille; Guilhaumon, Francois; Leprieur, Fabien; Velez, Laure; Mouillot, David] CNRS, IRD, IFREMER, Lab Ecol Syst Marins Cotiers,UMR 5119,UM2,ECOSYM, F-34095 Montpellier 5, France; [Albouy, Camille; Le Loc'h, Francois] IFREMER, IRD, Lab Ecosyst Marins Exploites, UMR EME 212,UM2, Sete, France; [Guilhaumon, Francois] Univ Evora, CIBIO, Rui Nabeiro Biodivers Chair, Evora, Portugal; [Lasram, Frida Ben Rais] Inst Natl Agron Tunisie, Lab Ecosyst &amp; Ressources Aquat UR03AGRO1, Tunis, Tunisia; [Somot, Samuel] Meteo France, Ctr Natl Rech Meteorol CNRM GAME, Toulouse, France; [Aznar, Roland] Organismo Publ Puertos Estado, Area Medio Fis, Madrid, Spain; [Mouillot, David] James Cook Univ, ARC Ctr Excellence Coral Reef Studies, Townsville, Qld 4811, Australia</t>
  </si>
  <si>
    <t>Centre National de la Recherche Scientifique (CNRS); Universite de Montpellier; Institut de Recherche pour le Developpement (IRD); Ifremer; Ifremer; Institut de Recherche pour le Developpement (IRD); Universite de Montpellier; University of Evora; Universite de Carthage; Meteo France; Puertos del Estado; James Cook University; ARC Centre of Excellence for Coral Reef Studies</t>
  </si>
  <si>
    <t>Albouy, C (corresponding author), CNRS, IRD, IFREMER, Lab Ecol Syst Marins Cotiers,UMR 5119,UM2,ECOSYM, Pl E Bataillon, F-34095 Montpellier 5, France.</t>
  </si>
  <si>
    <t>albouycamille@gmail.com</t>
  </si>
  <si>
    <t>albouy, camille/H-9317-2012; Mouillot, David/HCH-5670-2022; Leprieur, Fabien/ABA-4433-2020; Guilhaumon, François/C-3240-2009; Somot, Samuel/A-7585-2008; Le Loc'h, François/A-5038-2008</t>
  </si>
  <si>
    <t>albouy, camille/0000-0003-1629-2389; Ben Rais Lasram, Frida/0000-0003-3327-908X; velez, laure/0000-0001-9555-6770; Aznar, Roland/0000-0002-9793-1834; Guilhaumon, François/0000-0003-4707-8932; Somot, Samuel/0000-0002-5066-2921; Le Loc'h, François/0000-0002-3372-6997</t>
  </si>
  <si>
    <t>Total Foundation; 'Fondation pour la Recherche sur la Biodiversite' (project BIODIVMED); Marie Curie International Outgoing Fellowship (FISHECO) [IOF-GA-2009-236316]; project PERSEUS (Policy-oriented marine Environmental Research for the Southern European Seas) [FP7-287600]; Fundacao para a Ciencia e a Tecnologia (Portugal) [PTDC/AAC-AMB/098163/2008]; European Social Fund; Delta Cafes; Fundação para a Ciência e a Tecnologia [PTDC/AAC-AMB/098163/2008] Funding Source: FCT</t>
  </si>
  <si>
    <t>Total Foundation(Total SA); 'Fondation pour la Recherche sur la Biodiversite' (project BIODIVMED); Marie Curie International Outgoing Fellowship (FISHECO)(European Union (EU)); project PERSEUS (Policy-oriented marine Environmental Research for the Southern European Seas); Fundacao para a Ciencia e a Tecnologia (Portugal)(Fundacao para a Ciencia e a Tecnologia (FCT)); European Social Fund(European Social Fund (ESF)); Delta Cafes; Fundação para a Ciência e a Tecnologia(Fundacao para a Ciencia e a Tecnologia (FCT))</t>
  </si>
  <si>
    <t>We thank Regan Early for her constructive comments on the manuscript and language editing. We are grateful to the three anonymous referees for all the remarks and suggestions that improved the manuscript. This work was partly funded by the Total Foundation, the 'Fondation pour la Recherche sur la Biodiversite' (project BIODIVMED). D. M. was supported by a Marie Curie International Outgoing Fellowship (FISHECO) with agreement number IOF-GA-2009-236316. This work was financially supported by project PERSEUS (FP7-287600 - Policy-oriented marine Environmental Research for the Southern European Seas). F. G. was supported by the 'Range Shift' project (PTDC/AAC-AMB/098163/2008) from Fundacao para a Ciencia e a Tecnologia (Portugal), co-financed by the European Social Fund. The 'Rui Nabeiro' Biodiversity Chair is financed by Delta Cafes. The regional climate change scenario of the Mediterranean Sea physics was carried out within the framework of the Spanish PLAYA DEL PALMAT project.</t>
  </si>
  <si>
    <t>1365-2699</t>
  </si>
  <si>
    <t>089PM</t>
  </si>
  <si>
    <t>WOS:000314922500011</t>
  </si>
  <si>
    <t>Cabral, JS; Jeltsch, F; Thuiller, W; Higgins, S; Midgley, GF; Rebelo, AG; Rouget, M; Schurr, FM</t>
  </si>
  <si>
    <t>Cabral, Juliano Sarmento; Jeltsch, Florian; Thuiller, Wilfried; Higgins, Steven; Midgley, Guy F.; Rebelo, Anthony G.; Rouget, Mathieu; Schurr, Frank M.</t>
  </si>
  <si>
    <t>Impacts of past habitat loss and future climate change on the range dynamics of South African Proteaceae</t>
  </si>
  <si>
    <t>biodiversity refugia; CFR Proteaceae; climate change; demographic properties; habitat loss; local abundances; process-based range models; range filling; range size; species distribution models</t>
  </si>
  <si>
    <t>CAPE FLORISTIC REGION; PLANT MIGRATION RATES; SPECIES DISTRIBUTIONS; BIODIVERSITY HOTSPOT; GLOBAL BIODIVERSITY; EXTINCTION RISK; LAND-USE; DISPERSAL; PERSISTENCE; SHIFTS</t>
  </si>
  <si>
    <t>Aim To assess how habitat loss and climate change interact in affecting the range dynamics of species and to quantify how predicted range dynamics depend on demographic properties of species and the severity of environmental change. Location South African Cape Floristic Region. Methods We use data-driven demographic models to assess the impacts of past habitat loss and future climate change on range size, range filing and abundances of eight species of woody plants (Proteaceae). The species-specific models employ a hybrid approach that simulates population dynamics and long-distance dispersal on top of expected spatio-temporal dynamics of suitable habitat. Results Climate change was mainly predicted to reduce range size and range filling (because of a combination of strong habitat shifts with low migration ability). In contrast, habitat loss mostly decreased mean local abundance. For most species and response measures, the combination of habitat loss and climate change had the most severe effect. Yet, this combined effect was mostly smaller than expected from adding or multiplying effects of the individual environmental drivers. This seems to be because climate change shifts suitable habitats to regions less affected by habitat loss. Interspecific variation in range size responses depended mostly on the severity of environmental change, whereas responses in range filling and local abundance depended mostly on demographic properties of species. While most surviving populations concentrated in areas that remain climatically suitable, refugia for multiple species were overestimated by simply overlying habitat models and ignoring demography. Main conclusions Demographic models of range dynamics can simultaneously predict the response of range size, abundance and range filling to multiple drivers of environmental change. Demographic knowledge is particularly needed to predict abundance responses and to identify areas that can serve as biodiversity refugia under climate change. These findings highlight the need for data-driven, demographic assessments in conservation biogeography.</t>
  </si>
  <si>
    <t>[Cabral, Juliano Sarmento; Jeltsch, Florian; Schurr, Frank M.] Univ Potsdam, Inst Biochem &amp; Biol, D-14469 Potsdam, Germany; [Cabral, Juliano Sarmento] Univ Gottingen, D-37077 Gottingen, Germany; [Thuiller, Wilfried] Univ Grenoble 1, Lab Ecol Alpine, UMR CNRS 5553, F-38041 Grenoble 9, France; [Higgins, Steven] Goethe Univ Frankfurt, Inst Phys Geog, D-60438 Frankfurt, Germany; [Midgley, Guy F.; Rebelo, Anthony G.] South African Natl Biodivers Inst, ZA-7735 Cape Town, South Africa; [Midgley, Guy F.] Univ Kwazulu Natal, Sch Agr Earth &amp; Environm Sci, ZA-3209 Scottsville, South Africa; [Rouget, Mathieu] South African Natl Biodivers Inst, Biodivers Planning Unit, Pretoria, South Africa; [Schurr, Frank M.] Univ Montpellier 2, Inst Sci Evolut, UMR 5554, Montpellier 5, France</t>
  </si>
  <si>
    <t>University of Potsdam; University of Gottingen; Communaute Universite Grenoble Alpes; Universite Grenoble Alpes (UGA); Centre National de la Recherche Scientifique (CNRS); Universite Savoie Mont Blanc; CNRS - Institute of Ecology &amp; Environment (INEE); Goethe University Frankfurt; South African National Biodiversity Institute; University of Kwazulu Natal; South African National Biodiversity Institute; Centre National de la Recherche Scientifique (CNRS); Institut de Recherche pour le Developpement (IRD); Universite de Montpellier</t>
  </si>
  <si>
    <t>Cabral, JS (corresponding author), Univ Gottingen, Busgenweg 2, D-37077 Gottingen, Germany.</t>
  </si>
  <si>
    <t>jsarmen@uni-goettingen.de</t>
  </si>
  <si>
    <t>Schurr, Frank/O-6575-2016; Midgley, Guy/H-3585-2014; Higgins, Steven/A-5138-2012; Thuiller, Wilfried/G-3283-2010; Rouget, Mathieu/B-7249-2008; Sarmento Cabral, Juliano/K-3973-2012</t>
  </si>
  <si>
    <t>Midgley, Guy/0000-0001-8264-0869; Higgins, Steven/0000-0001-5695-9665; Jeltsch, Florian/0000-0002-4670-6469; Rouget, Mathieu/0000-0002-6172-3152; Sarmento Cabral, Juliano/0000-0002-0116-220X</t>
  </si>
  <si>
    <t>German Academic Exchange Service (DAAD); German Ministry of Education and Research (BMBF) through Biota Southern Africa [FKZ: 54419938]; Potsdam Graduate School (PoGS); University of Potsdam Graduate Initiative in Ecological Modelling (UPGradE); European Union through Marie Curie Transfer of Knowledge Project FEMMES [MTKD-CT-2006-042261]; German Research Foundation [SCHU 2259/3-1]</t>
  </si>
  <si>
    <t>German Academic Exchange Service (DAAD)(Deutscher Akademischer Austausch Dienst (DAAD)); German Ministry of Education and Research (BMBF) through Biota Southern Africa(Federal Ministry of Education &amp; Research (BMBF)); Potsdam Graduate School (PoGS); University of Potsdam Graduate Initiative in Ecological Modelling (UPGradE); European Union through Marie Curie Transfer of Knowledge Project FEMMES(European Union (EU)); German Research Foundation(German Research Foundation (DFG))</t>
  </si>
  <si>
    <t>We thank David Richardson, William Bond, Jorn Pagel, Carsten Buchmann and three anonymous referees for discussions and comments. J.S.C. was funded by the German Academic Exchange Service (DAAD). We acknowledge support from the German Ministry of Education and Research (BMBF) through Biota Southern Africa (FKZ: 54419938), the Potsdam Graduate School (PoGS), the University of Potsdam Graduate Initiative in Ecological Modelling (UPGradE), the European Union through Marie Curie Transfer of Knowledge Project FEMMES (MTKD-CT-2006-042261) and the German Research Foundation (SCHU 2259/3-1). This is publication ISEM 2012-126 of the Institut des Sciences de l'Evolution de Montpellier. WT thanks the International Research Network (GDRI) project France South Africa -Dynamics of Biodiversity in Southern African Ecosystems and Sustainable Use in the Context of Global Change: Processes and mechanisms involved.</t>
  </si>
  <si>
    <t>108VR</t>
  </si>
  <si>
    <t>WOS:000316324800001</t>
  </si>
  <si>
    <t>Khanum, R; Mumtaz, AS; Kumar, S</t>
  </si>
  <si>
    <t>Khanum, Rizwana; Mumtaz, A. S.; Kumar, Sunil</t>
  </si>
  <si>
    <t>Predicting impacts of climate change on medicinal asclepiads of Pakistan using Maxent modeling</t>
  </si>
  <si>
    <t>ACTA OECOLOGICA-INTERNATIONAL JOURNAL OF ECOLOGY</t>
  </si>
  <si>
    <t>Climate change; Niche modeling; Maxent; Species distribution modeling; Species vulnerability; Risk analysis</t>
  </si>
  <si>
    <t>SPECIES DISTRIBUTIONS; DISPERSAL; RANGE; BIODIVERSITY; LANDSCAPE; MIGRATION; FUTURE; FOREST; WEST; L.</t>
  </si>
  <si>
    <t>Maximum entropy (Maxent) modeling was used to predict the potential climatic niches of three medicinally important Asclepiad species: Pentatropis spiralis, Tylophora hirsuta, and Vincetoxicum arnottianum. All three species are members of the Asclepiad plant family, yet they differ in ecological requirements, biogeographic importance, and conservation value. Occurrence data were collected from herbarium specimens held in major herbaria of Pakistan and two years (2010 and 2011) of field surveys. The Maxent model performed better than random for the three species with an average test AUC value of 0.74 for P. spiralis, 0.84 for V. arnottianum, and 0.59 for T. hirsuta. Under the future climate change scenario, the Maxent model predicted habitat gains for P. spiralis in southern Punjab and Balochistan, and loss of habitat in south-eastern Sindh. Vincetoxicum arnottianum as well as T hirsuta would gain habitat in upper Peaks of northern parts of Pakistan. T hirsuta is predicted to lose most of the habitats in northern Punjab and in parches from lower peaks of Galliat, Zhob, Qalat etc. The predictive modeling approach presented here may be applied to other rare Asclepiad species, especially those under constant extinction threat. (C) 2013 Elsevier Masson SAS. All rights reserved.</t>
  </si>
  <si>
    <t>[Khanum, Rizwana; Mumtaz, A. S.] Quiad I Azam Univ, Islamabad 44000, Pakistan; [Kumar, Sunil] Colorado State Univ, Nat Resource Ecol Lab, Ft Collins, CO 80523 USA</t>
  </si>
  <si>
    <t>Quaid I Azam University; Colorado State University System; Colorado State University Fort Collins</t>
  </si>
  <si>
    <t>Khanum, R (corresponding author), Quiad I Azam Univ, Islamabad 44000, Pakistan.</t>
  </si>
  <si>
    <t>rizvana.khan@gmail.com; asmumtaz@qau.edu.pk; sunil.kumar@colostate.edu</t>
  </si>
  <si>
    <t>Mumtaz, Abdul/A-1565-2019; Kumar, Sunil/A-6730-2009; Mumtaz, Abdul Samad/A-1565-2019</t>
  </si>
  <si>
    <t>Mumtaz, Abdul Samad/0000-0002-7034-9203</t>
  </si>
  <si>
    <t>1146-609X</t>
  </si>
  <si>
    <t>1873-6238</t>
  </si>
  <si>
    <t>ACTA OECOL</t>
  </si>
  <si>
    <t>Acta Oecol.-Int. J. Ecol.</t>
  </si>
  <si>
    <t>152NP</t>
  </si>
  <si>
    <t>WOS:000319538700005</t>
  </si>
  <si>
    <t>Foden, WB; Butchart, SHM; Stuart, SN; Vié, JC; Akçakaya, HR; Angulo, A; DeVantier, LM; Gutsche, A; Turak, E; Cao, L; Donner, SD; Katariya, V; Bernard, R; Holland, RA; Hughes, AF; O'Hanlon, SE; Garnett, ST; Sekercioglu, CH; Mace, GM</t>
  </si>
  <si>
    <t>Foden, Wendy B.; Butchart, Stuart H. M.; Stuart, Simon N.; Vie, Jean-Christophe; Akcakaya, H. Resit; Angulo, Ariadne; DeVantier, Lyndon M.; Gutsche, Alexander; Turak, Emre; Cao, Long; Donner, Simon D.; Katariya, Vineet; Bernard, Rodolphe; Holland, Robert A.; Hughes, Adrian F.; O'Hanlon, Susannah E.; Garnett, Stephen T.; Sekercioglu, Cagan H.; Mace, Georgina M.</t>
  </si>
  <si>
    <t>Identifying the World's Most Climate Change Vulnerable Species: A Systematic Trait-Based Assessment of all Birds, Amphibians and Corals</t>
  </si>
  <si>
    <t>GLOBAL BIODIVERSITY; POPULATION DECLINES; CONSERVATION; ENVELOPE; IMPACTS; RANGE; ADAPTATION; SCENARIOS; MODELS; RATES</t>
  </si>
  <si>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</si>
  <si>
    <t>[Foden, Wendy B.; Katariya, Vineet; Hughes, Adrian F.] Int Union Conservat Nat, Global Species Programme, Cambridge, England; [Foden, Wendy B.] Univ Witwatersrand, Johannesburg, South Africa; [Butchart, Stuart H. M.] BirdLife Int, Science, Cambridge, England; [Stuart, Simon N.] Int Union Conservat Nat, Species Survival Commiss, Gland, Switzerland; [Stuart, Simon N.] World Conservat Monitoring Ctr, United Nations Environm Programme, Cambridge, England; [Stuart, Simon N.] Ain Wildlife Pk &amp; Resort, Al Ain, U Arab Emirates; [Stuart, Simon N.] Univ Bath, Dept Biol &amp; Biochem, Bath BA2 7AY, Somerset, England; [Vie, Jean-Christophe; Angulo, Ariadne] Int Union Conservat Nat, Global Species Programme, Gland, Switzerland; [Akcakaya, H. Resit] SUNY Stony Brook, Dept Ecol &amp; Evolut, Stony Brook, NY USA; Leibniz Inst Res Evolut &amp; Biodivers, Museum Nat Kunde, Berlin, Germany; [Turak, Emre] James Cook Univ, Catchment Reef Res Grp, Ctr Trop Water &amp; Aquat Ecosyst Res, Townsville, Qld, Australia; [Turak, Emre] Zhejiang Univ, Dept Earth Sci, Hangzhou 310027, Peoples R China; [Donner, Simon D.] Univ British Columbia, Dept Geog, Vancouver, BC, Canada; [Katariya, Vineet] Univ London Imperial Coll Sci Technol &amp; Med, Ctr Populat Biol, Ascot SL5 7PY, Berks, England; [Holland, Robert A.] Univ Southampton, Ctr Biol Sci, Southampton, Hants, England; [O'Hanlon, Susannah E.] Anglia Ruskin Univ, Dept Life Sci, Cambridge, England; [Garnett, Stephen T.] Charles Darwin Univ, Res Inst Environm &amp; Livelihoods, Darwin, NT 0909, Australia; [Sekercioglu, Cagan H.] Univ Utah, Dept Biol, Salt Lake City, UT 84112 USA; [Mace, Georgina M.] UCL, Dept Genet Evolut &amp; Environm, Ctr Biodivers &amp; Environm Res, London, England</t>
  </si>
  <si>
    <t>University of Witwatersrand; BirdLife International; University of Bath; State University of New York (SUNY) System; Stony Brook University; Leibniz Institut fur Evolutions und Biodiversitatsforschung; James Cook University; Zhejiang University; University of British Columbia; Imperial College London; University of Southampton; Anglia Ruskin University; Charles Darwin University; Utah System of Higher Education; University of Utah; University of London; University College London</t>
  </si>
  <si>
    <t>Foden, WB (corresponding author), Int Union Conservat Nat, Global Species Programme, Cambridge, England.</t>
  </si>
  <si>
    <t>fodenw@gmail.com</t>
  </si>
  <si>
    <t>Butchart, Stuart/Y-2711-2018; Holland, Robert/C-1928-2012; Garnett, Stephen/M-3877-2013; Holland, Robert/C-1928-2012; Akcakaya, H./A-7830-2008; Şekercioğlu, Çağan H/A-2331-2013; Mace, Georgina/I-3072-2016</t>
  </si>
  <si>
    <t>Butchart, Stuart/0000-0002-1140-4049; Holland, Robert/0000-0002-5927-9160; Garnett, Stephen/0000-0002-0724-7060; Holland, Robert/0000-0002-3038-9227; Şekercioğlu, Çağan H/0000-0003-3193-0377; Mace, Georgina/0000-0001-8965-5211; Hughes, Aian/0000-0002-0807-6646</t>
  </si>
  <si>
    <t>John D. and Catherine T. MacArthur Foundation [06-87945-000-GSS]</t>
  </si>
  <si>
    <t>John D. and Catherine T. MacArthur Foundation</t>
  </si>
  <si>
    <t>This study was funded by the John D. and Catherine T. MacArthur Foundation. Grant number: 06-87945-000-GSS (http://www.macfound.org/). In kind contributions were also made by Imperial College London and Conservation International. The funders had no role in study design, data collection and analysis, decision to publish, or preparation of the manuscript.</t>
  </si>
  <si>
    <t>JUN 12</t>
  </si>
  <si>
    <t>e65427</t>
  </si>
  <si>
    <t>163FW</t>
  </si>
  <si>
    <t>WOS:000320322400025</t>
  </si>
  <si>
    <t>Moyle, PB; Kiernan, JD; Crain, PK; Quiñones, RM</t>
  </si>
  <si>
    <t>Moyle, Peter B.; Kiernan, Joseph D.; Crain, Patrick K.; Quinones, Rebecca M.</t>
  </si>
  <si>
    <t>Climate Change Vulnerability of Native and Alien Freshwater Fishes of California: A Systematic Assessment Approach</t>
  </si>
  <si>
    <t>SAN-FRANCISCO ESTUARY; BIODIVERSITY; IMPACTS; DECLINE; THREATS</t>
  </si>
  <si>
    <t>Freshwater fishes are highly vulnerable to human-caused climate change. Because quantitative data on status and trends are unavailable for most fish species, a systematic assessment approach that incorporates expert knowledge was developed to determine status and future vulnerability to climate change of freshwater fishes in California, USA. The method uses expert knowledge, supported by literature reviews of status and biology of the fishes, to score ten metrics for both (1) current status of each species (baseline vulnerability to extinction) and (2) likely future impacts of climate change (vulnerability to extinction). Baseline and climate change vulnerability scores were derived for 121 native and 43 alien fish species. The two scores were highly correlated and were concordant among different scorers. Native species had both greater baseline and greater climate change vulnerability than did alien species. Fifty percent of California's native fish fauna was assessed as having critical or high baseline vulnerability to extinction whereas all alien species were classified as being less or least vulnerable. For vulnerability to climate change, 82% of native species were classified as highly vulnerable, compared with only 19% for aliens. Predicted climate change effects on freshwater environments will dramatically change the fish fauna of California. Most native fishes will suffer population declines and become more restricted in their distributions; some will likely be driven to extinction. Fishes requiring cold water (&lt;22 degrees C) are particularly likely to go extinct. In contrast, most alien fishes will thrive, with some species increasing in abundance and range. However, a few alien species will likewise be negatively affected through loss of aquatic habitats during severe droughts and physiologically stressful conditions present in most waterways during summer. Our method has high utility for predicting vulnerability to climate change of diverse fish species. It should be useful for setting conservation priorities in many different regions.</t>
  </si>
  <si>
    <t>[Moyle, Peter B.; Kiernan, Joseph D.; Crain, Patrick K.; Quinones, Rebecca M.] Univ Calif Davis, Ctr Watershed Sci, Davis, CA 95616 USA; [Moyle, Peter B.; Kiernan, Joseph D.; Crain, Patrick K.; Quinones, Rebecca M.] Univ Calif Davis, Dept Wildlife Fish &amp; Conservat Biol, Davis, CA 95616 USA; [Kiernan, Joseph D.] NOAA, Fisheries Ecol Div, Southwest Fisheries Sci Ctr, Natl Marine Fisheries Serv, Santa Cruz, CA USA; [Crain, Patrick K.] ICF Int, Sacramento, CA USA; [Quinones, Rebecca M.] Tech Univ Munich, Lehrstuhl Aquat Systembiol, Freising Weihenstephan, Germany</t>
  </si>
  <si>
    <t>University of California System; University of California Davis; University of California System; University of California Davis; National Oceanic Atmospheric Admin (NOAA) - USA; Technical University of Munich</t>
  </si>
  <si>
    <t>Moyle, PB (corresponding author), Univ Calif Davis, Ctr Watershed Sci, Davis, CA 95616 USA.</t>
  </si>
  <si>
    <t>pbmoyle@ucdavis.edu</t>
  </si>
  <si>
    <t>Kiernan, Joseph/S-3613-2019</t>
  </si>
  <si>
    <t>California Energy Commission</t>
  </si>
  <si>
    <t>Funding for this work was provided by the California Energy Commission. The funder had no role in study design, data collection and analysis, decision to publish, or preparation of the manuscript. An earlier version of the manuscript is available as a report (CEC-500-2012-028) at http://www.energy.ca.gov/publications.</t>
  </si>
  <si>
    <t>MAY 22</t>
  </si>
  <si>
    <t>e63883</t>
  </si>
  <si>
    <t>163UP</t>
  </si>
  <si>
    <t>WOS:000320362700075</t>
  </si>
  <si>
    <t>Gallardo, B; Aldridge, DC</t>
  </si>
  <si>
    <t>Gallardo, Belinda; Aldridge, David C.</t>
  </si>
  <si>
    <t>Evaluating the combined threat of climate change and biological invasions on endangered species</t>
  </si>
  <si>
    <t>BIOMOD; Ensemble distribution models; Europe; Random forest; Species distribution models; Species translocation</t>
  </si>
  <si>
    <t>MUSSEL DREISSENA-POLYMORPHA; CRAYFISH PACIFASTACUS-LENIUSCULUS; DEPRESSED-RIVER-MUSSEL; ZEBRA MUSSEL; SIGNAL CRAYFISH; PSEUDANODONTA-COMPLANATA; EXTINCTION RISK; MODELS; DISTRIBUTIONS; UNIONIDAE</t>
  </si>
  <si>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</si>
  <si>
    <t>[Gallardo, Belinda; Aldridge, David C.] Univ Cambridge, Dept Zool, Aquat Ecol Grp, Cambridge CB2 3EJ, England</t>
  </si>
  <si>
    <t>University of Cambridge</t>
  </si>
  <si>
    <t>Gallardo, B (corresponding author), Univ Cambridge, Dept Zool, Aquat Ecol Grp, Downing St, Cambridge CB2 3EJ, England.</t>
  </si>
  <si>
    <t>bg3062@cam.ac.uk</t>
  </si>
  <si>
    <t>Gallardo, Belinda/H-9038-2013</t>
  </si>
  <si>
    <t>Gallardo, Belinda/0000-0002-1552-8233; Alidge, David/0000-0001-9067-8592</t>
  </si>
  <si>
    <t>European Commission [251785]</t>
  </si>
  <si>
    <t>European Commission(European Union (EU)European Commission Joint Research Centre)</t>
  </si>
  <si>
    <t>The research leading to these results has received funding from the European Commission (FP7/2007-2013, Marie Curie IEF program) under Grant agreement No. 251785.</t>
  </si>
  <si>
    <t>168DA</t>
  </si>
  <si>
    <t>WOS:000320684700025</t>
  </si>
  <si>
    <t>Li, XH; Tian, HD; Wang, Y; Li, RQ; Song, ZM; Zhang, FC; Xu, M; Li, DM</t>
  </si>
  <si>
    <t>Li, Xinhai; Tian, Huidong; Wang, Yuan; Li, Renqiang; Song, Zengming; Zhang, Fengchun; Xu, Ming; Li, Dianmo</t>
  </si>
  <si>
    <t>Vulnerability of 208 endemic or endangered species in China to the effects of climate change</t>
  </si>
  <si>
    <t>REGIONAL ENVIRONMENTAL CHANGE</t>
  </si>
  <si>
    <t>BIOMOD; Climate change; Conservation action plans; Range shift; Vulnerability</t>
  </si>
  <si>
    <t>INDUCED RANGE SHIFTS; PREDICTION UNCERTAINTY; POTENTIAL IMPACTS; DISTRIBUTIONS; MODELS; CLASSIFICATION; AREAS; WILL</t>
  </si>
  <si>
    <t>We assessed the vulnerability of 208 endemic or endangered species in China to the effects of climate change, as a part of the project Research on China's National Biodiversity and Climate Change Strategy and Action Plans. Based on the China Species Information System, we selected comprehensive species as analysis targets, covering taxa including mammals, birds, reptiles, amphibians and plants. We applied nine species distribution models in BIOMOD (a package of R software) to estimate the current (1991-2010) ranges and predicted future (2081-2100) ranges of these species, using six climate variables based on Regional Climate Model version 3 (RegCM3) and A1B emission scenario. The model results showed that different taxa might show diverse potential range shifts over time. The range sizes of half of the species (104 species) would decrease, and those of another half would increase. We predicted that the future remaining ranges (intersection of current and future ranges/current ranges) of 135 species would be less than 50 % of their current range sizes. Species that are both endemic and critically endangered would lose more of their range than others. In summary, the most vulnerable species are currently found on the Qinghai-Tibetan Plateau, in the Hengduan Mountain Range, and southern China. Future action plans dealing with climate change in China should be prepared with consideration for vulnerable species and their habitats.</t>
  </si>
  <si>
    <t>[Li, Xinhai; Tian, Huidong; Wang, Yuan; Li, Dianmo] Chinese Acad Sci, Inst Zool, Key Lab Zool Systemat &amp; Evolut, Beijing 100101, Peoples R China; [Li, Renqiang; Song, Zengming; Xu, Ming] Chinese Acad Sci, Inst Geog Sci &amp; Nat Resources Res, Key Lab Ecosyst Network Observat &amp; Modeling, Beijing 100101, Peoples R China; [Zhang, Fengchun] Minist Environm Protect, Foreign Econ Cooperat Off, Beijing 100035, Peoples R China</t>
  </si>
  <si>
    <t>Chinese Academy of Sciences; Institute of Zoology, CAS; Chinese Academy of Sciences; Institute of Geographic Sciences &amp; Natural Resources Research, CAS</t>
  </si>
  <si>
    <t>Li, XH (corresponding author), Chinese Acad Sci, Inst Zool, Key Lab Zool Systemat &amp; Evolut, 1-5 Beichen West Rd, Beijing 100101, Peoples R China.</t>
  </si>
  <si>
    <t>EU-China Biodiversity Program (ECBP); Chinese Academy of Sciences [XDA05080701]; Ministry of Environmental Protection of China [201209027]</t>
  </si>
  <si>
    <t>EU-China Biodiversity Program (ECBP); Chinese Academy of Sciences(Chinese Academy of Sciences); Ministry of Environmental Protection of China</t>
  </si>
  <si>
    <t>This work is a part of the project Research on China national biodiversity and climate change strategy and action plans'', supported by the EU-China Biodiversity Program (ECBP). This study was also supported by the Strategic Priority Research Program of the Chinese Academy of Sciences (XDA05080701) and the Public Welfare Project (201209027) of the Ministry of Environmental Protection of China. We thank anonymous reviewers who provided valuable comments and suggestions.</t>
  </si>
  <si>
    <t>SPRINGER HEIDELBERG</t>
  </si>
  <si>
    <t>HEIDELBERG</t>
  </si>
  <si>
    <t>TIERGARTENSTRASSE 17, D-69121 HEIDELBERG, GERMANY</t>
  </si>
  <si>
    <t>1436-3798</t>
  </si>
  <si>
    <t>1436-378X</t>
  </si>
  <si>
    <t>REG ENVIRON CHANGE</t>
  </si>
  <si>
    <t>Reg. Envir. Chang.</t>
  </si>
  <si>
    <t>Environmental Sciences; Environmental Studies</t>
  </si>
  <si>
    <t>194ZR</t>
  </si>
  <si>
    <t>WOS:000322671700008</t>
  </si>
  <si>
    <t>Martínez-Freiría, F; Argaz, H; Fahd, S; Brito, JC</t>
  </si>
  <si>
    <t>Martinez-Freiria, Fernando; Argaz, Hamida; Fahd, Soumia; Brito, Jose C.</t>
  </si>
  <si>
    <t>Climate change is predicted to negatively influence Moroccan endemic reptile richness. Implications for conservation in protected areas</t>
  </si>
  <si>
    <t>NATURWISSENSCHAFTEN</t>
  </si>
  <si>
    <t>Biodiversity; Biomod; Future scenarios; Mediterranean hot spot; Morocco; Mountains</t>
  </si>
  <si>
    <t>SPECIES DISTRIBUTION MODELS; TERRESTRIAL HERPETOFAUNA; RANGE SHIFTS; DISTRIBUTIONS; UNCERTAINTIES; DIVERSITY; POPULATIONS; PERFORMANCE; PROJECTIONS; RESOLUTION</t>
  </si>
  <si>
    <t>The identification of species-rich areas and their prognosticated turnover under climate change are crucial for the conservation of endemic taxa. This study aims to identify areas of reptile endemicity richness in a global biodiversity hot spot (Morocco) under current and future climatic conditions and to investigate the role of protected areas in biodiversity conservation under climate change. Species distribution models (SDM) were performed over the distribution of 21 endemic reptiles, combined to estimate current species richness at 1 x 1 km resolution and projected to years 2050 and 2080 according to distinct story lines and ensemble global circulation models, assuming unlimited and null dispersion ability. Generalized additive models were performed between species richness and geographic characteristics of 43 protected areas. SDM found precipitation as the most important factor related to current species distributions. Important reductions in future suitable areas were predicted for 50 % of species, and four species were identified as highly vulnerable to extinction. Drastic reductions in species-rich areas were predicted for the future, with considerable variability between years and dispersal scenarios. High turnover rates of species composition were predicted for eastern Morocco, whereas low values were forecasted for the Northern Atlantic coast and mountains. Species richness for current and future conditions was significantly related to the altitude and latitude of protected areas. Protected areas located in mountains and/or in the Northern Atlantic coast were identified as refugia, where population monitoring and conservation management is needed.</t>
  </si>
  <si>
    <t>[Martinez-Freiria, Fernando; Brito, Jose C.] Univ Porto, Inst Ciencias Agr Vairao, Ctr Invest Biodiversidade &amp; Recursos Genet, CIBIO,InBIO, P-4485661 Vairao, Portugal; [Argaz, Hamida; Fahd, Soumia] Univ Abdelmalek Essaadi, Dept Biol, Fac Sci, Tetouan, Morocco; [Brito, Jose C.] Fac Ciencias, Dept Biol, P-4169007 Oporto, Portugal</t>
  </si>
  <si>
    <t>Universidade do Porto; Abdelmalek Essaadi University of Tetouan; Universidade do Porto</t>
  </si>
  <si>
    <t>Martínez-Freiría, F (corresponding author), Univ Porto, Inst Ciencias Agr Vairao, Ctr Invest Biodiversidade &amp; Recursos Genet, CIBIO,InBIO, P-4485661 Vairao, Portugal.</t>
  </si>
  <si>
    <t>fmartinez-freiria@cibio.up.pt</t>
  </si>
  <si>
    <t>Brito, José Carlos/A-7831-2010; Fahd, Soumia/L-6196-2013; Martínez-Freiría, Fernando/L-7075-2013</t>
  </si>
  <si>
    <t>Brito, José Carlos/0000-0001-5444-8132; Fahd, Soumia/0000-0002-4464-4145; Martínez-Freiría, Fernando/0000-0003-2311-8960</t>
  </si>
  <si>
    <t>Fundacao para a Ciencia e Tecnologia (FCT, Lisbon, Portugal) [POCTI/BIA-BDE/55596/2004]; Cooperation CNRST-FCT; project Biodiversity, Ecology and Global Change; North Portugal Regional Operational Programme under the National Strategic Reference Framework (NSRF) through the European Regional Development Fund (ERDF) [ON.2-O Novo Norte]; FCT [SFRH/BPD/69857/2010]; Fundação para a Ciência e a Tecnologia [SFRH/BPD/69857/2010] Funding Source: FCT</t>
  </si>
  <si>
    <t>Fundacao para a Ciencia e Tecnologia (FCT, Lisbon, Portugal)(Fundacao para a Ciencia e a Tecnologia (FCT)); Cooperation CNRST-FCT; project Biodiversity, Ecology and Global Change; North Portugal Regional Operational Programme under the National Strategic Reference Framework (NSRF) through the European Regional Development Fund (ERDF); FCT(Fundacao para a Ciencia e a Tecnologia (FCT)); Fundação para a Ciência e a Tecnologia</t>
  </si>
  <si>
    <t>This study was partially supported by project POCTI/BIA-BDE/55596/2004 from Fundacao para a Ciencia e Tecnologia (FCT, Lisbon, Portugal), by Cooperation CNRST-FCT (2008-2009), and by project Biodiversity, Ecology and Global Change cofinanced by North Portugal Regional Operational Programme 2007/2013 (ON.2-O Novo Norte), under the National Strategic Reference Framework (NSRF), through the European Regional Development Fund (ERDF). FMF is supported by FCT (SFRH/BPD/69857/2010). The authors acknowledge M. Barata, D.J. Harris, D. Salvi, S. Ferreira, C. Vale, Z. Boratynski, G. Velo-Anton, P. Sierra, and A. Perez for helping with the fieldwork carried out during 2012 and the four anonymous referees for their comments in the early version of this work.</t>
  </si>
  <si>
    <t>NEW YORK</t>
  </si>
  <si>
    <t>233 SPRING ST, NEW YORK, NY 10013 USA</t>
  </si>
  <si>
    <t>0028-1042</t>
  </si>
  <si>
    <t>Naturwissenschaften</t>
  </si>
  <si>
    <t>208IG</t>
  </si>
  <si>
    <t>WOS:000323670800008</t>
  </si>
  <si>
    <t>Fordham, DA; Mellin, C; Russell, BD; Akçakaya, RH; Bradshaw, CJA; Aiello-Lammens, ME; Caley, JM; Connell, SD; Mayfield, S; Shepherd, SA; Brook, BW</t>
  </si>
  <si>
    <t>Fordham, Damien A.; Mellin, Camille; Russell, Bayden D.; Akcakaya, Resit H.; Bradshaw, Corey J. A.; Aiello-Lammens, Matthew E.; Caley, Julian M.; Connell, Sean D.; Mayfield, Stephen; Shepherd, Scoresby A.; Brook, Barry W.</t>
  </si>
  <si>
    <t>Population dynamics can be more important than physiological limits for determining range shifts under climate change</t>
  </si>
  <si>
    <t>abalone; demographic processes; ecological niche model; extinction risk; marine biodiversity conservation; marine species distribution model; mechanistic model; metapopulation dynamics; population viability analysis; source-sink dynamics</t>
  </si>
  <si>
    <t>SPECIES DISTRIBUTION MODELS; HALIOTIS-RUBRA LEACH; GREENLIP ABALONE FISHERY; AUSTRALIAN ABALONE; VARIABLE SELECTION; JUVENILE GREENLIP; GENUS HALIOTIS; CHANGE IMPACTS; TEMPERATURE; LAEVIGATA</t>
  </si>
  <si>
    <t>Evidence is accumulating that species' responses to climate changes are best predicted by modelling the interaction of physiological limits, biotic processes and the effects of dispersal-limitation. Using commercially harvested blacklip (Haliotis rubra) and greenlip abalone (Haliotis laevigata) as case studies, we determine the relative importance of accounting for interactions among physiology, metapopulation dynamics and exploitation in predictions of range (geographical occupancy) and abundance (spatially explicit density) under various climate change scenarios. Traditional correlative ecological niche models (ENM) predict that climate change will benefit the commercial exploitation of abalone by promoting increased abundances without any reduction in range size. However, models that account simultaneously for demographic processes and physiological responses to climate-related factors result in future (and present) estimates of area of occupancy (AOO) and abundance that differ from those generated by ENMs alone. Range expansion and population growth are unlikely for blacklip abalone because of important interactions between climate-dependent mortality and metapopulation processes; in contrast, greenlip abalone should increase in abundance despite a contraction in AOO. The strongly non-linear relationship between abalone population size and AOO has important ramifications for the use of ENM predictions that rely on metrics describing change in habitat area as proxies for extinction risk. These results show that predicting species' responses to climate change often require physiological information to understand climatic range determinants, and a metapopulation model that can make full use of this data to more realistically account for processes such as local extirpation, demographic rescue, source-sink dynamics and dispersal-limitation.</t>
  </si>
  <si>
    <t>[Fordham, Damien A.; Mellin, Camille; Bradshaw, Corey J. A.; Brook, Barry W.] Univ Adelaide, Inst Environm, Sch Earth &amp; Environm Sci, Adelaide, SA 5005, Australia; [Mellin, Camille; Caley, Julian M.] Australian Inst Marine Sci, Townsville, Qld 4810, Australia; [Russell, Bayden D.] Univ Adelaide, Sch Earth &amp; Environm Sci, Southern Seas Ecol Labs, Adelaide, SA 5005, Australia; [Akcakaya, Resit H.; Aiello-Lammens, Matthew E.; Connell, Sean D.] SUNY Stony Brook, Dept Ecol &amp; Evolut, Stony Brook, NY 11794 USA; [Bradshaw, Corey J. A.; Mayfield, Stephen; Shepherd, Scoresby A.] South Australian Res &amp; Dev Inst, Henley Beach, SA 5022, Australia</t>
  </si>
  <si>
    <t>Adelaide University; University of Adelaide; Australian Institute of Marine Science; Adelaide University; University of Adelaide; State University of New York (SUNY) System; Stony Brook University; South Australian Research &amp; Development Institute (SARDI)</t>
  </si>
  <si>
    <t>Fordham, DA (corresponding author), Univ Adelaide, Inst Environm, Sch Earth &amp; Environm Sci, Adelaide, SA 5005, Australia.</t>
  </si>
  <si>
    <t>Connell, Sean/A-8874-2008; Fordham, Damien/E-9255-2013; Bradshaw, Corey/A-1311-2008; Brook, Barry/G-2686-2011; Mellin, Camille/X-9161-2019; Russell, Bayden/A-9942-2008; Akcakaya, H./A-7830-2008; Caley, Julian/A-4042-2008</t>
  </si>
  <si>
    <t>Connell, Sean/0000-0002-5350-6852; Fordham, Damien/0000-0003-2137-5592; Bradshaw, Corey/0000-0002-5328-7741; Brook, Barry/0000-0002-2491-1517; Mellin, Camille/0000-0002-7369-2349; Russell, Bayden/0000-0003-1282-9978; Aiello-Lammens, Matthew/0000-0002-6180-5959; Caley, Julian/0000-0001-5739-749X</t>
  </si>
  <si>
    <t>Australian Research Council [DP1096427, FS110200051, FT100100200]; Marine Biodiversity Hub; Australian Government National Environmental Research Programme; NSF [DEB-1146198]; Division Of Environmental Biology; Direct For Biological Sciences [1146198] Funding Source: National Science Foundation; National Health and Medical Research Council (NHMRC) [1146198] Funding Source: National Health and Medical Research Council (NHMRC); Australian Research Council [FT100100200, DP1096427, FS110200051] Funding Source: Australian Research Council</t>
  </si>
  <si>
    <t>Australian Research Council(Australian Research Council); Marine Biodiversity Hub; Australian Government National Environmental Research Programme(Australian Government); NSF(National Science Foundation (NSF)); Division Of Environmental Biology; Direct For Biological Sciences(National Science Foundation (NSF)NSF - Directorate for Biological Sciences (BIO)); National Health and Medical Research Council (NHMRC)(National Health &amp; Medical Research Council (NHMRC) of Australia); Australian Research Council(Australian Research Council)</t>
  </si>
  <si>
    <t>Funded by Australian Research Council Discovery Project grants DP1096427 (D.A.F., B.W.B.) and Super Science Fellowship FS110200051 (D.A.F.) and Future Fellowship FT100100200 (B.W.B.). C.M. was supported by the Marine Biodiversity Hub, funded by the Australian Government National Environmental Research Programme. NSF DEB-1146198 supported HRA. T. Peterson and two anonymous reviewers provided comments that improved the manuscript.</t>
  </si>
  <si>
    <t>210OS</t>
  </si>
  <si>
    <t>WOS:000323844200027</t>
  </si>
  <si>
    <t>Warren, R; VanDerWal, J; Price, J; Welbergen, JA; Atkinson, I; Ramirez-Villegas, J; Osborn, TJ; Jarvis, A; Shoo, LP; Williams, SE; Lowe, J</t>
  </si>
  <si>
    <t>Warren, R.; VanDerWal, J.; Price, J.; Welbergen, J. A.; Atkinson, I.; Ramirez-Villegas, J.; Osborn, T. J.; Jarvis, A.; Shoo, L. P.; Williams, S. E.; Lowe, J.</t>
  </si>
  <si>
    <t>Quantifying the benefit of early climate change mitigation in avoiding biodiversity loss</t>
  </si>
  <si>
    <t>PROJECTIONS; FUTURE; LIFE</t>
  </si>
  <si>
    <t>Climate change is expected to have significant influences on terrestrial biodiversity at all system levels, including species-level reductions in range size and abundance, especially amongst endemic species(1-6). However, little is known about how mitigation of greenhouse gas emissions could reduce biodiversity impacts, particularly amongst common and widespread species. Our global analysis of future climatic range change of common and widespread species shows that without mitigation, 57 +/- 6% of plants and 34 +/- 7% of animals are likely to lose &gt;= 50% of their present climatic range by the 2080s. With mitigation, however, losses are reduced by 60% if emissions peak in 2016 or 40% if emissions peak in 2030. Thus, our analyses indicate that without mitigation, large range contractions can be expected even amongst common and widespread species, amounting to a substantial global reduction in biodiversity and ecosystem services by the end of this century. Prompt and stringent mitigation, on the other hand, could substantially reduce range losses and buy up to four decades for climate change adaptation.</t>
  </si>
  <si>
    <t>[Warren, R.; Price, J.] Univ E Anglia, Sch Environm Sci, Tyndall Ctr Climate Change Res, Norwich NR4 7TJ, Norfolk, England; [VanDerWal, J.; Welbergen, J. A.; Atkinson, I.; Shoo, L. P.; Williams, S. E.] James Cook Univ, Sch Marine &amp; Trop Biol, Ctr Trop Biodivers &amp; Climate Change, Townsville, Qld 4811, Australia; [VanDerWal, J.; Atkinson, I.] James Cook Univ, Div Res &amp; Innovat, ERes Ctr, Townsville, Qld 4811, Australia; [Ramirez-Villegas, J.; Jarvis, A.] Int Ctr Trop Agr CIAT, Cali 6713, Colombia; [Ramirez-Villegas, J.; Jarvis, A.] CIAT, CGIAR Res Program Climate Change Agr &amp; Food Secur, Cali 6713, Colombia; [Ramirez-Villegas, J.] Univ Leeds, Sch Earth &amp; Environm, Inst Climate &amp; Atmospher Sci ICAS, Leeds LS2 9JT, W Yorkshire, England; [Osborn, T. J.] Univ E Anglia, Sch Environm Sci, Climat Res Unit, Norwich NR4 7TJ, Norfolk, England; [Shoo, L. P.] Univ Queensland, Sch Biol Sci, St Lucia, Qld 4072, Australia; [Lowe, J.] Univ Reading, Dept Meteorol, Met Off Hadley Ctr, Reading EX1 3PB, Berks, England</t>
  </si>
  <si>
    <t>University of East Anglia; James Cook University; James Cook University; Alliance; International Center for Tropical Agriculture - CIAT; Alliance; International Center for Tropical Agriculture - CIAT; CGIAR; University of Leeds; University of East Anglia; University of Queensland; University of Reading; Met Office - UK; Hadley Centre</t>
  </si>
  <si>
    <t>Warren, R (corresponding author), Univ E Anglia, Sch Environm Sci, Tyndall Ctr Climate Change Res, Norwich NR4 7TJ, Norfolk, England.</t>
  </si>
  <si>
    <t>r.warren@uea.ac.uk</t>
  </si>
  <si>
    <t>Shoo, Luke/A-2715-2009; Atkinson, Ian/H-1806-2011; VanDerWal, Jeremy/C-7457-2009; Ramirez-Villegas, Julian/AAY-8073-2020; Willia, Stephen/A-7250-2008; Welbergen, Justin/AGN-0091-2022; Jarvis, Andy/K-5516-2013; Warren, Rachel/G-9997-2011; Osborn, Timothy/E-9740-2011; Lowe, Jason/GQI-4036-2022</t>
  </si>
  <si>
    <t>Atkinson, Ian/0000-0002-2295-6818; VanDerWal, Jeremy/0000-0001-7439-8953; Ramirez-Villegas, Julian/0000-0002-8044-583X; Willia, Stephen/0000-0002-2510-7408; Welbergen, Justin/0000-0002-8085-5759; Jarvis, Andy/0000-0001-6543-0798; Warren, Rachel/0000-0002-0122-1599; Osborn, Timothy/0000-0001-8425-6799;</t>
  </si>
  <si>
    <t>MacArthur Foundation to World Wildlife Fund, US; ARC [DP110104186]; CGIAR Research Program on Climate Change, Agriculture and Food Security (CCAFS); Natural Environment Research Council [NE/F016107/1] Funding Source: researchfish; NERC [NE/F016107/1] Funding Source: UKRI</t>
  </si>
  <si>
    <t>MacArthur Foundation to World Wildlife Fund, US; ARC(Australian Research Council); CGIAR Research Program on Climate Change, Agriculture and Food Security (CCAFS); Natural Environment Research Council(UK Research &amp; Innovation (UKRI)Natural Environment Research Council (NERC)); NERC(UK Research &amp; Innovation (UKRI)Natural Environment Research Council (NERC))</t>
  </si>
  <si>
    <t>We thank the Met Office Hadley Centre and the UK Department of Energy and Climate Change for use of the emission scenarios produced for the AVOID project. We also thank the Global Biodiversity Information Facility (GBIF), in particular T. Robertson, for the support provided during the completion of the analyses presented here. A portion of the funding for the Wallace Initiative came from a grant from the MacArthur Foundation to World Wildlife Fund, US. We wish to acknowledge S. Raper's contribution to the production of the probabilistic climate model. We thank M. Brown at James Cook University for technical assistance. J.A.W. was financially supported, in part, by ARC Discovery Grant DP110104186. J.R-V. and A.J. were partly financially supported by the CGIAR Research Program on Climate Change, Agriculture and Food Security (CCAFS).</t>
  </si>
  <si>
    <t>10.1038/NCLIMATE1887</t>
  </si>
  <si>
    <t>219DR</t>
  </si>
  <si>
    <t>WOS:000324486300025</t>
  </si>
  <si>
    <t>Sánchez-Guillén, RA; Muñoz, J; Rodríguez-Tapia, G; Arroyo, TPF; Córdoba-Aguilar, A</t>
  </si>
  <si>
    <t>Ana Sanchez-Guillen, Rosa; Munoz, Jesus; Rodriguez-Tapia, Gerardo; Arroyo, T. Patricia Feria; Cordoba-Aguilar, Alex</t>
  </si>
  <si>
    <t>Climate-Induced Range Shifts and Possible Hybridisation Consequences in Insects</t>
  </si>
  <si>
    <t>BIMODAL HYBRID ZONES; REPRODUCTIVE ISOLATION; POSTZYGOTIC ISOLATION; SPECIES RECOGNITION; ISCHNURA-GRAELLSII; ODONATA; PATTERNS; DAMSELFLIES; COENAGRIONIDAE; INTROGRESSION</t>
  </si>
  <si>
    <t>Many ectotherms have altered their geographic ranges in response to rising global temperatures. Current range shifts will likely increase the sympatry and hybridisation between recently diverged species. Here we predict future sympatric distributions and risk of hybridisation in seven Mediterranean ischnurid damselfly species (I. elegans, I. fountaineae, I. genei, I. graellsii, I. pumilio, I. saharensis and I. senegalensis). We used a maximum entropy modelling technique to predict future potential distribution under four different Global Circulation Models and a realistic emissions scenario of climate change. We carried out a comprehensive data compilation of reproductive isolation (habitat, temporal, sexual, mechanical and gametic) between the seven studied species. Combining the potential distribution and data of reproductive isolation at different instances (habitat, temporal, sexual, mechanical and gametic), we infer the risk of hybridisation in these insects. Our findings showed that all but I. graellsii will decrease in distributional extent and all species except I. senegalensis are predicted to have northern range shifts. Models of potential distribution predicted an increase of the likely overlapping ranges for 12 species combinations, out of a total of 42 combinations, 10 of which currently overlap. Moreover, the lack of complete reproductive isolation and the patterns of hybridisation detected between closely related ischnurids, could lead to local extinctions of native species if the hybrids or the introgressed colonising species become more successful.</t>
  </si>
  <si>
    <t>[Ana Sanchez-Guillen, Rosa; Cordoba-Aguilar, Alex] Univ Nacl Autonoma Mexico, Inst Ecol, Dept Ecol Evolut, Mexico City 04510, DF, Mexico; [Munoz, Jesus] CSIC, RJB, Madrid, Spain; [Rodriguez-Tapia, Gerardo] Univ Nacl Autonoma Mexico, Inst Ecol, Unidad Geomat, Mexico City 04510, DF, Mexico; [Arroyo, T. Patricia Feria] Univ Texas Pan Amer, Dept Biol, Edinburg, TX 78541 USA; [Munoz, Jesus] Univ Tecnol Indoamer, Ctr Biodiversidad &amp; Cambio Climat, Quito, Ecuador</t>
  </si>
  <si>
    <t>Universidad Nacional Autonoma de Mexico; Consejo Superior de Investigaciones Cientificas (CSIC); CSIC - Real Jardin Botanico de Madrid; Universidad Nacional Autonoma de Mexico; University of Texas System; University of Texas Rio Grande Valley</t>
  </si>
  <si>
    <t>Sánchez-Guillén, RA (corresponding author), Univ Nacl Autonoma Mexico, Inst Ecol, Dept Ecol Evolut, Mexico City 04510, DF, Mexico.</t>
  </si>
  <si>
    <t>rguillen@uvigo.es; acordoba@ecologia.unam.mx</t>
  </si>
  <si>
    <t>Muñoz, Jesús/B-7809-2008; Guillén, Rosa/Q-5714-2018; Rodríguez-Tapia, Gerardo/GZM-8933-2022; Sánchez Guillén, Rosa Ana/Q-5714-2018</t>
  </si>
  <si>
    <t>Muñoz, Jesús/0000-0002-9266-2268; Córdoba-Aguilar, Alex/0000-0002-5978-1660; Rodríguez-Tapia, Gerardo/0000-0003-0953-7755; Sánchez Guillén, Rosa Ana/0000-0001-6024-8321</t>
  </si>
  <si>
    <t>Direccion General Asuntos del Personal Academico-Universidad Nacional Autonoma de Mexico (UNAM); Ministry of Economy and Competitiveness of Spain [CGL2012-38624-C02-02]; Programa de Apoyo a Proyectos de Investigacion e Innovacion Tecnologica-UNAM [IN 222312]</t>
  </si>
  <si>
    <t>Direccion General Asuntos del Personal Academico-Universidad Nacional Autonoma de Mexico (UNAM); Ministry of Economy and Competitiveness of Spain(Spanish Government); Programa de Apoyo a Proyectos de Investigacion e Innovacion Tecnologica-UNAM(Programa de Apoyo a Proyectos de Investigacion e Innovacion Tecnologica (PAPIIT)Universidad Nacional Autonoma de Mexico)</t>
  </si>
  <si>
    <t>RAS-G was supported by a postdoctoral grant Direccion General Asuntos del Personal Academico-Universidad Nacional Autonoma de Mexico (UNAM). JM received financial support from the Ministry of Economy and Competitiveness of Spain (grant CGL2012-38624-C02-02). This research was partially supported by a Programa de Apoyo a Proyectos de Investigacion e Innovacion Tecnologica-UNAM grant (IN 222312). The funders had no role in study design, data collection and analysis, decision to publish, or preparation of the manuscript.</t>
  </si>
  <si>
    <t>NOV 15</t>
  </si>
  <si>
    <t>e80531</t>
  </si>
  <si>
    <t>255RX</t>
  </si>
  <si>
    <t>WOS:000327258600069</t>
  </si>
  <si>
    <t>Bambach, N; Meza, FJ; Gilabert, H; Miranda, M</t>
  </si>
  <si>
    <t>Bambach, Nicolas; Meza, Francisco J.; Gilabert, Horacio; Miranda, Marcelo</t>
  </si>
  <si>
    <t>Impacts of climate change on the distribution of species and communities in the Chilean Mediterranean ecosystem</t>
  </si>
  <si>
    <t>Bioclimatic models; Ecological niche; Climate change; Mediterranean ecosystems; MAXENT</t>
  </si>
  <si>
    <t>MAXIMUM-ENTROPY; DISTRIBUTION MODELS; MIGRATION CAPACITY; EXTINCTION-RISK; BIODIVERSITY; DIVERSITY; CALIFORNIA; REGIONS; PLANTS; TREES</t>
  </si>
  <si>
    <t>The Mediterranean region of Chile is considered a biodiversity hot spot. An increase in temperature and decrease in precipitation, as projected for the end of this century by global circulation models, would likely change the distribution of the sclerophyllous thorny shrubland and woodland. In order to assess those potential impacts, the MAXENT algorithm was used to project potential changes in the distribution of the Mediterranean ecosystem. Ecological niche models were fitted and used to project the potential distribution of these forest ecosystems by the end of the century. Projections were made using data from the PRECIS model for the A2 and B2 climate change scenarios and two strategies of occupancy: free migration and non-migration. Distribution models of sclerophyllous, woodland and shrubland performed accurately representing current species' distribution. When we assume non-migration responses under climate change scenarios, results reveal a decrease in the distribution area for all the species. The areas where the highest reduction in a suitable environment was found are located along the coastline, where higher temperature increases have been projected. For native ecosystems from the Andean Range region, such as communities dominated by thorny species, a stable habitat was found, associated with a higher adaptation capability to future climatic projections. Hence, in the future, buffer zones originated by topo-climatic conditions might play a key role in protecting Central Chile biodiversity.</t>
  </si>
  <si>
    <t>[Bambach, Nicolas] Univ Calif Davis, Dept Land Air &amp; Water Resources, Davis, CA 95616 USA; [Bambach, Nicolas; Meza, Francisco J.; Gilabert, Horacio; Miranda, Marcelo] Pontificia Univ Catolica Chile, Dept Ecosistemas &amp; Medio Ambiente, Santiago, Chile; [Bambach, Nicolas; Meza, Francisco J.] Pontificia Univ Catolica Chile, Ctr Interdisciplinario Cambio Global, Santiago, Chile</t>
  </si>
  <si>
    <t>University of California System; University of California Davis; Pontificia Universidad Catolica de Chile; Pontificia Universidad Catolica de Chile</t>
  </si>
  <si>
    <t>Bambach, N (corresponding author), Univ Calif Davis, Dept Land Air &amp; Water Resources, Davis, CA 95616 USA.</t>
  </si>
  <si>
    <t>nbambach@ucdavis.edu</t>
  </si>
  <si>
    <t>; Meza, Francisco/F-9297-2014; Gilabert, Horacio/HKN-7224-2023; Miranda, Marcelo/N-6462-2014</t>
  </si>
  <si>
    <t>Meza, Francisco/0000-0002-9853-227X; Miranda, Marcelo/0000-0002-8386-4888</t>
  </si>
  <si>
    <t>Inter-American Institute for Global Change Research (IAI) SGP-HD [003]; US National Science Foundation [GEO-0642841]; FONDECYT [1090393]; Directorate For Geosciences [1138881] Funding Source: National Science Foundation</t>
  </si>
  <si>
    <t>Inter-American Institute for Global Change Research (IAI) SGP-HD; US National Science Foundation(National Science Foundation (NSF)); FONDECYT(Comision Nacional de Investigacion Cientifica y Tecnologica (CONICYT)CONICYT FONDECYT); Directorate For Geosciences(National Science Foundation (NSF)NSF - Directorate for Geosciences (GEO))</t>
  </si>
  <si>
    <t>This work was carried out with the aid of a grant from the Inter-American Institute for Global Change Research (IAI) SGP-HD #003 which is supported by the US National Science Foundation (Grant GEO-0642841) and with the aid of FONDECYT throughout Grant 1090393. We thank Dr. Thomas Fox and Dr. Pablo Becerra for their valuable comments and suggestions that have improved this work.</t>
  </si>
  <si>
    <t>259BH</t>
  </si>
  <si>
    <t>WOS:000327501900010</t>
  </si>
  <si>
    <t>Saupe, EE; Hendricks, JR; Peterson, AT; Lieberman, BS</t>
  </si>
  <si>
    <t>Saupe, Erin E.; Hendricks, Jonathan R.; Peterson, A. Townsend; Lieberman, Bruce S.</t>
  </si>
  <si>
    <t>Climate change and marine molluscs of the western North Atlantic: future prospects and perils</t>
  </si>
  <si>
    <t>Climate change; Crassostrea virginica; ecological niche modelling; extinction; marine; migration; Mollusca; potential distribution; range boundaries</t>
  </si>
  <si>
    <t>MYTILUS-EDULIS L.; RANGE SHIFTS; EXTINCTION RISK; SPECIES RANGE; BIODIVERSITY; BIOGEOGRAPHY; DYNAMICS; IMPACTS; MODELS; DISPERSAL</t>
  </si>
  <si>
    <t>Aim Numerous studies have examined potential responses of terrestrial biotas to future climate change, but fewer have considered marine realms. We forecast how marine molluscan faunas might respond to environmental change over the remainder of this century. We test the hypotheses that suitable areas will shift northwards for studied species, and that species will show varied responses to future climate change. Location North and South America and the Caribbean. Methods We generated ecological niche models (in GARP and Maxent) for 14 ecologically, economically and potentially medically important mollusc species, using present-day summaries and future forecasts of climate from the Hadley Centre and known species occurrence data from natural history collections. Niche models were used to forecast potential distributions according to three scenarios of future change for three time slices. Results Northern extremes of suitability are predicted to shift northwards for only three (GARP) or four (Maxent) of the 14 species, whereas the southern edge of suitability is predicted to shift southwards for seven (GARP) and one (Maxent) of the 14 species. When changes in the geographical centroids of suitability are considered, no significant poleward shifts are anticipated for individual species. Instead, half of the study species (many economically important) experience substantial (&gt;20%) loss of suitable environmental area, even under the lowest-emission future climate scenario. Furthermore, the direction and magnitude of the response to predicted climate change is species-specific. Main conclusions We do not find a coherent pattern of areas with suitable environments expanding at high-latitude range boundaries, with simultaneous contraction at their low-latitude boundaries. Tropical marine molluscs may thus show varied responses as average temperatures warm. These results contrast with trends among terrestrial and other marine species, which are rapidly shifting their ranges to higher latitudes. Conversely, the differing responses of these species to future warming are consistent with responses of species to past episodes of change, as observed in the fossil record.</t>
  </si>
  <si>
    <t>[Saupe, Erin E.] Univ Kansas, Dept Geol, Lawrence, KS 66045 USA; [Saupe, Erin E.; Peterson, A. Townsend; Lieberman, Bruce S.] Univ Kansas, Dept Ecol &amp; Evolutionary Biol, Lawrence, KS 66045 USA; [Saupe, Erin E.; Peterson, A. Townsend; Lieberman, Bruce S.] Univ Kansas, Biodivers Inst, Lawrence, KS 66045 USA; [Hendricks, Jonathan R.] San Jose State Univ, Dept Geol, San Jose, CA 95192 USA; [Hendricks, Jonathan R.] Paleontol Res Inst, Ithaca, NY 14850 USA</t>
  </si>
  <si>
    <t>University of Kansas; University of Kansas; University of Kansas; California State University System; San Jose State University</t>
  </si>
  <si>
    <t>Saupe, EE (corresponding author), Univ Kansas, Dept Geol, 1475 Jayhawk Blvd,120 Lindley Hall, Lawrence, KS 66045 USA.</t>
  </si>
  <si>
    <t>eesaupe@ku.edu</t>
  </si>
  <si>
    <t>Peterson, A. Townsend/I-5697-2013</t>
  </si>
  <si>
    <t>Lieberman, Bruce/0000-0002-4353-7874; Saupe, Erin/0000-0002-0370-9897</t>
  </si>
  <si>
    <t>Madison &amp; Lila Self Graduate Student Fellowship; University of Kansas Biodiversity Institute Panorama Society and Department of Geology; [NSF-EF-1206757]; Direct For Biological Sciences; Div Of Biological Infrastructure [1206757] Funding Source: National Science Foundation</t>
  </si>
  <si>
    <t>Madison &amp; Lila Self Graduate Student Fellowship; University of Kansas Biodiversity Institute Panorama Society and Department of Geology; ; Direct For Biological Sciences; Div Of Biological Infrastructure(National Science Foundation (NSF)NSF - Directorate for Biological Sciences (BIO))</t>
  </si>
  <si>
    <t>Comments from several anonymous referees improved this contribution considerably. The authors extend sincere gratitude to Paul Halloran of the Met Office Hadley Centre for providing the Diat-HadOCC environmental layers, and for discussions regarding climate modelling and study design. We also thank Narayani Barve, Xingong Li, Andres Lira-Noriega, Corinne Myers, Hannah Owens, Jorge Soberon (University of Kansas), David Alves, Jess Beck, Bryan DeAngelis, Meg Goecker (NOAA), Boze Hancock (Nature Conservancy), Jan Johan ter Poorten (Zoological Museum Amsterdam) and Paula Mikkelsen (Paleontological Research Institution) for helpful discussions. This research was funded by a Madison &amp; Lila Self Graduate Student Fellowship, grants from the University of Kansas Biodiversity Institute Panorama Society and Department of Geology, and NSF-EF-1206757.</t>
  </si>
  <si>
    <t>AJ4BT</t>
  </si>
  <si>
    <t>WOS:000337615500011</t>
  </si>
  <si>
    <t>MCDONALD, KA; BROWN, JH</t>
  </si>
  <si>
    <t>USING MONTANE MAMMALS TO MODEL EXTINCTIONS DUE TO GLOBAL CHANGE</t>
  </si>
  <si>
    <t>We use data on the species-area relationship and the nested subset structure of the boreal mammal faunas inhabiting isolated mountaintops in the Great Basin to develop a simple quantitative model that predicts the number and identity of species that would go extinct under an assumed scenario of changing climate and vegetation Global warming of 3-degrees-C is predicted to cause the loss of 9-62% of the species inhabiting each mountain range and the extinction of three of fourteen species throughout the region. These results suggest (1) that it is possible to make highly plausible predictions about the susceptibility of species to extinction without detailed information about their population biology, and (2) that global and regional environmental changes seriously threaten the survival of species that are restricted in distribution to both natural habitat islands and biological reserves.</t>
  </si>
  <si>
    <t>UNIV NEW MEXICO,DEPT BIOL,ALBUQUERQUE,NM 87131</t>
  </si>
  <si>
    <t>University of New Mexico</t>
  </si>
  <si>
    <t>BLACKWELL SCIENCE INC</t>
  </si>
  <si>
    <t>350 MAIN ST, MALDEN, MA 02148</t>
  </si>
  <si>
    <t>JM322</t>
  </si>
  <si>
    <t>WOS:A1992JM32200013</t>
  </si>
  <si>
    <t>BRERETON, R; BENNETT, S; MANSERGH, I</t>
  </si>
  <si>
    <t>ENHANCED GREENHOUSE CLIMATE-CHANGE AND ITS POTENTIAL EFFECT ON SELECTED FAUNA OF SOUTH-EASTERN AUSTRALIA - A TREND ANALYSIS</t>
  </si>
  <si>
    <t>ENHANCED GREENHOUSE CLIMATE CHANGE; FAUNA; BIOCLIM; SOUTH-EASTERN AUSTRALIA; MODELING</t>
  </si>
  <si>
    <t>CARBON-DIOXIDE; VEGETATION; VICTORIA; RECORD</t>
  </si>
  <si>
    <t>It has been predicted that enhanced greenhouse climate change will modify the global climate and consequently cause large-scale changes to the distribution of flora and fauna. This study examined the potential effect of enhanced greenhouse climate change on the distribution of 42 species of fauna of south-eastern Australia. The best available information regarding faunal distributions and predictive models for bioclimatic ranges was used in conjunction with the accepted enhanced greenhouse climate scenarios for 1990. Move recent developments that refine the potential climatic changes are discussed in I elation to the analysis. The 42 species of fauna were selected from the major Victorian bioclimatic regions and ecosystems and from species considered most at risk from enhanced greenhouse climate change. Most were species with a threatened conservation status. The results indicate that 41 undergo a reduction in bioclimatic range in response to climatic warming, the most extreme response being the extinction of bioclimatic range. A broadscale subcontinental analysis of the potential effects on faunal distribution is presented.</t>
  </si>
  <si>
    <t>DEPT CONSERVAT &amp; NAT RESOURCES,FLORA &amp; FAUNA BRANCH,HEIDELBERG,VIC 3084,AUSTRALIA</t>
  </si>
  <si>
    <t>THE BOULEVARD, LANGFORD LANE, KIDLINGTON, OXFORD, OXON, ENGLAND OX5 1GB</t>
  </si>
  <si>
    <t>RA242</t>
  </si>
  <si>
    <t>WOS:A1995RA24200001</t>
  </si>
  <si>
    <t>Huntley, B; Berry, PM; Cramer, W; McDonald, AP</t>
  </si>
  <si>
    <t>Modelling present and potential future ranges of some European higher plants using climate response surfaces</t>
  </si>
  <si>
    <t>climate response surfaces; global change; phytogeography; conservation</t>
  </si>
  <si>
    <t>SPECIES RESPONSE; BRITISH-ISLES; NORTH-AMERICA; TILIA-CORDATA; GRADIENTS; REGRESSION; VEGETATION; MIGRATION; POLLEN</t>
  </si>
  <si>
    <t>It is hypothesized that the principal features of higher plant distributions at continental scales are determined by the macroclimate. Bioclimate data have been computed on a 50 km grid across Europe. Along with published maps of higher plant distributions based upon the same grid, these data have been used to derive climate response surfaces that model the relationship between a species' distribution and the present climate. Eight species representative of a variety of phytogeographic patterns have been investigated. The results support the hypothesis that the European distributions of all eight species are principally determined by macroclimate and illustrate the nature of the climatic constraints upon each species. Simulated future distributions in equilibrium with 2 x CO2 climate scenarios derived from two alternative GCMs show that all of the species are likely to experience major shifts in their potential range if such climatic changes take place. Some species may suffer substantial range and population reductions and others may face the threat of extinction. The rate of the forecast climate changes is such that few, if any, species may be able to maintain their ranges in equilibrium with the changing climate. In consequence, the transient impacts upon ecosystems will be varied but often may lead to a period of dominance by opportunist, early-successional species. Our simulations of potential ranges take no account of such factors as photoperiod or the direct effects of CO2, both of which may substantially alter the realized future equilibrium.</t>
  </si>
  <si>
    <t>UNIV OXFORD, ENVIRONM CHANGE UNIT, OXFORD OX1 3TB, ENGLAND; POTSDAM INST CLIMATE IMPACT RES, D-14473 POTSDAM, GERMANY</t>
  </si>
  <si>
    <t>University of Oxford; Potsdam Institut fur Klimafolgenforschung</t>
  </si>
  <si>
    <t>Huntley, B (corresponding author), UNIV DURHAM, DEPT BIOL SCI, ENVIRONM RES CTR, SOUTH RD, DURHAM DH1 3HP, ENGLAND.</t>
  </si>
  <si>
    <t>Cramer, Wolfgang/B-8221-2008</t>
  </si>
  <si>
    <t>Cramer, Wolfgang/0000-0002-9205-5812; Berry, Pam/0000-0002-1201-072X</t>
  </si>
  <si>
    <t>UL129</t>
  </si>
  <si>
    <t>WOS:A1995UL12900002</t>
  </si>
  <si>
    <t>Hughes, L; Cawsey, EM; Westoby, M</t>
  </si>
  <si>
    <t>Climatic range sizes of Eucalyptus species in relation to future climate change</t>
  </si>
  <si>
    <t>GLOBAL ECOLOGY AND BIOGEOGRAPHY LETTERS</t>
  </si>
  <si>
    <t>Australia; climate change; climatic range; Eucalyptus</t>
  </si>
  <si>
    <t>AUSTRALIA</t>
  </si>
  <si>
    <t>We present data on the climatic ranges of 819 species of Eucalyptus L'Herit in Australia, in terms of mean annual temperature and rainfall. 53% of species currently have ranges spanning less than 3 degrees C of mean annual temperature, with 41% having a range of less than 2 degrees C, and 25% with less than 1 degrees C. 23% of species have ranges of mean annual rainfall that span less than 20% variation. Unless current projections greatly overestimate future climate change in Australia, within the next few decades many eucalypt species will have their entire present day populations exposed to temperatures and rainfalls under which no individuals currently exist. While we recognize that the actual climatic tolerances of many species are wider than the climatic envelope they currently occupy, the data indicate that if even a moderate proportion of present day boundaries actually reflect thermal or rainfall tolerances, substantial changes in the tree flora of Australia may be expected.</t>
  </si>
  <si>
    <t>MACQUARIE UNIV,SCH BIOL SCI,N RYDE,NSW 2109,AUSTRALIA; MACQUARIE UNIV,RES UNIT BIODIVERS &amp; BIORESOURCES,N RYDE,NSW 2109,AUSTRALIA; CSIRO,DIV WILDLIFE &amp; ECOL,LYNEHAM,ACT 2606,AUSTRALIA</t>
  </si>
  <si>
    <t>Macquarie University; Macquarie University; Commonwealth Scientific &amp; Industrial Research Organisation (CSIRO)</t>
  </si>
  <si>
    <t>Cawsey, Edith/C-9594-2011</t>
  </si>
  <si>
    <t>Westoby, Mark/0000-0001-7690-4530; Hughes, Lesley/0000-0003-0313-9780</t>
  </si>
  <si>
    <t>OSNEY MEAD, OXFORD, OXON, ENGLAND OX2 0EL</t>
  </si>
  <si>
    <t>0960-7447</t>
  </si>
  <si>
    <t>Glob. Ecol. Biogeogr. Lett.</t>
  </si>
  <si>
    <t>UF435</t>
  </si>
  <si>
    <t>WOS:A1996UF43500005</t>
  </si>
  <si>
    <t>Eaton, JG; Scheller, RM</t>
  </si>
  <si>
    <t>Effects of climate warming on fish thermal habitat in streams of the United States</t>
  </si>
  <si>
    <t>LIMNOLOGY AND OCEANOGRAPHY</t>
  </si>
  <si>
    <t>Symposium on Regional Assessment of Freshwater Ecosystems and Climate Change in North America</t>
  </si>
  <si>
    <t>OCT 24-26, 1994</t>
  </si>
  <si>
    <t>LEESBURG, VA</t>
  </si>
  <si>
    <t>Amer Soc Limnol &amp; Oceanog,N Amer Benthol Soc,US EPA,US Geol Survey</t>
  </si>
  <si>
    <t>FRESH-WATER; TEMPERATURE; BASS; PH</t>
  </si>
  <si>
    <t>The effects of climate warming on the thermal habitat of 57 species of fish of the U.S. were estimated using results for a doubling of atmospheric carbon dioxide that were predicted by the Canadian Climate Center general circulation model. Baseline water temperature conditions were calculated from data collected at 1,700 U.S. Geological Survey stream monitoring stations across the U.S. Water temperatures after predicted climate change were obtained by multiplying air temperature changes by 0.9, a factor based on several field studies, and adding them to baseline water temperatures at stations in corresponding grid cells. Results indicated that habitat for cold and cool water fish would be reduced by similar to 50%, and that this effect would be distributed throughout the existing range of these species. Habitat losses were greater among species with smaller initial distributions and in geographic regions with the greatest warming (e.g, the central Midwest). Results for warm water fish habitat were less certain because of the poor state of knowledge regarding their high and low temperature tolerances; however, the habitat of many species of this thermal guild likely will also be substantially reduced by climate warming, whereas the habitat of other species will be increased.</t>
  </si>
  <si>
    <t>DYNTEL CORP,DULUTH,MN</t>
  </si>
  <si>
    <t>Eaton, JG (corresponding author), US EPA,MID CONTINENT ECOL DIV,6201 CONGDON BLVD,DULUTH,MN 55804, USA.</t>
  </si>
  <si>
    <t>Scheller, Robert/B-3135-2009</t>
  </si>
  <si>
    <t>Scheller, Robert/0000-0002-7507-4499</t>
  </si>
  <si>
    <t>AMER SOC LIMNOLOGY OCEANOGRAPH</t>
  </si>
  <si>
    <t>LAWRENCE</t>
  </si>
  <si>
    <t>810 EAST 10TH ST, LAWRENCE, KS 66044-8897</t>
  </si>
  <si>
    <t>0024-3590</t>
  </si>
  <si>
    <t>LIMNOL OCEANOGR</t>
  </si>
  <si>
    <t>Limnol. Oceanogr.</t>
  </si>
  <si>
    <t>Limnology; Oceanography</t>
  </si>
  <si>
    <t>Conference Proceedings Citation Index - Science (CPCI-S); Science Citation Index Expanded (SCI-EXPANDED)</t>
  </si>
  <si>
    <t>Marine &amp; Freshwater Biology; Oceanography</t>
  </si>
  <si>
    <t>VN458</t>
  </si>
  <si>
    <t>WOS:A1996VN45800034</t>
  </si>
  <si>
    <t>source</t>
  </si>
  <si>
    <t>Urban et al</t>
  </si>
  <si>
    <t>label</t>
  </si>
  <si>
    <t>Animalia</t>
  </si>
  <si>
    <t>Chordata</t>
  </si>
  <si>
    <t>Amphibia</t>
  </si>
  <si>
    <t>Amphibians -&gt; Animalia , Chordata , Amphibia</t>
  </si>
  <si>
    <t xml:space="preserve">Animals -&gt; Animalia ,  , </t>
  </si>
  <si>
    <t>Aves</t>
  </si>
  <si>
    <t>Birds -&gt; Animalia , Chordata , Aves</t>
  </si>
  <si>
    <t>Fish -&gt;  (keep it empty)</t>
  </si>
  <si>
    <t xml:space="preserve">Invertebrates -&gt; Animalia ,  , </t>
  </si>
  <si>
    <t>Mammalia</t>
  </si>
  <si>
    <t>Mammals -&gt; Animalia , Chordata , Mammalia</t>
  </si>
  <si>
    <t>Plantae</t>
  </si>
  <si>
    <t xml:space="preserve">Plants -&gt; Plantae ,  , </t>
  </si>
  <si>
    <t xml:space="preserve">Reptiles -&gt; Animalia , Chordata , </t>
  </si>
  <si>
    <t xml:space="preserve">Vertebrates -&gt; Animalia , Chordata , </t>
  </si>
  <si>
    <t>eligibility</t>
  </si>
  <si>
    <t>; Peterson, A. Townsend/I-5697-2013</t>
  </si>
  <si>
    <t>Saupe, Erin/0000-0002-0370-9897; Lieberman, Bruce/0000-0002-4353-7874</t>
  </si>
  <si>
    <t>2025-12-06</t>
  </si>
  <si>
    <t>Ifremer; Universite de Montpellier; Institut de Recherche pour le Developpement (IRD); Centre National de la Recherche Scientifique (CNRS); Ifremer; Institut de Recherche pour le Developpement (IRD); Universite de Montpellier; University of Evora; Universite de Carthage; Meteo France; Puertos del Estado; James Cook University; ARC Centre of Excellence for Coral Reef Studies</t>
  </si>
  <si>
    <t>; Somot, Samuel/A-7585-2008; Leprieur, Fabien/ABA-4433-2020; Guilhaumon, François/C-3240-2009; albouy, camille/H-9317-2012; Le Loc'h, François/A-5038-2008; Mouillot, David/HCH-5670-2022</t>
  </si>
  <si>
    <t>velez, laure/0000-0001-9555-6770; Ben Rais Lasram, Frida/0000-0003-3327-908X; Somot, Samuel/0000-0002-5066-2921; Aznar, Roland/0000-0002-9793-1834; albouy, camille/0000-0003-1629-2389; Le Loc'h, François/0000-0002-3372-6997; Guilhaumon, François/0000-0003-4707-8932;</t>
  </si>
  <si>
    <t>University of East Anglia; Centre for Environment Fisheries &amp; Aquaculture Science; University of East Anglia; Princeton University; National Oceanic Atmospheric Admin (NOAA) - USA; University of British Columbia</t>
  </si>
  <si>
    <t>Cheung, William/F-5104-2013; Pinnegar, John/C-4400-2012; Salvador, Jose/AAH-7939-2019; Frölicher, Thomas/E-5137-2015; Dye, Stephen/C-9456-2011; , William/F-5104-2013; Warren, Rachel/G-9997-2011</t>
  </si>
  <si>
    <t>Pinnegar, John/0000-0001-5061-9520; Frölicher, Thomas/0000-0003-2348-7854; Dye, Stephen/0000-0002-4182-8475; Warren, Rachel/0000-0002-0122-1599; , William/0000-0003-3626-1045;</t>
  </si>
  <si>
    <t>UK Department for Environment, Food and Rural Affairs (DEFRA)/Centre for Environment, Fisheries and Aquaculture Science (CEFAS) [ME5102-ACME]; National Geographic Society; Natural Sciences and Engineering Research Council of Canada; NF-UBC Nereus Program; European project EURO-BASIN; EU; Natural Environment Research Council [NE/F016107/1] Funding Source: researchfish; NERC [NE/F016107/1] Funding Source: UKRI</t>
  </si>
  <si>
    <t>UK Department for Environment, Food and Rural Affairs (DEFRA)/Centre for Environment, Fisheries and Aquaculture Science (CEFAS); National Geographic Society(National Geographic Society); Natural Sciences and Engineering Research Council of Canada(Natural Sciences and Engineering Research Council of Canada (NSERC)CGIAR); NF-UBC Nereus Program; European project EURO-BASIN; EU(European Union (EU)); Natural Environment Research Council(UK Research &amp; Innovation (UKRI)Natural Environment Research Council (NERC)); NERC(UK Research &amp; Innovation (UKRI)Natural Environment Research Council (NERC))</t>
  </si>
  <si>
    <t>Lasram, FB; Guilhaumon, F; Albouy, C; Somot, S; Thuiller, W; Mouillot, D</t>
  </si>
  <si>
    <t>Lasram, Frida Ben Rais; Guilhaumon, Francois; Albouy, Camille; Somot, Samuel; Thuiller, Wilfried; Mouillot, David</t>
  </si>
  <si>
    <t>The Mediterranean Sea as a 'cul-de-sac' for endemic fishes facing climate change</t>
  </si>
  <si>
    <t>Review</t>
  </si>
  <si>
    <t>BIOMOD; fragmentation; global warming; habitat suitability model (HSM); IUCN; species turnover; species vulnerability</t>
  </si>
  <si>
    <t>SPECIES DISTRIBUTION MODELS; HABITAT FRAGMENTATION; MARINE BIODIVERSITY; CHANGE IMPACTS; RANGE SHIFTS; DISTRIBUTIONS; ACCURACY; CLASSIFICATION; UNCERTAINTIES; FLUCTUATIONS</t>
  </si>
  <si>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</si>
  <si>
    <t>[Lasram, Frida Ben Rais] Inst Natl Agron Tunisie, Lab Ecosyst &amp; Ressources Aquat UR03AGRO1, Tunis 1082, Tunisia; [Lasram, Frida Ben Rais; Guilhaumon, Francois; Albouy, Camille; Mouillot, David] Univ Montpellier 2, UMR 5119, Lab Ecosyst Lagunaires, F-34095 Montpellier 5, France; [Somot, Samuel] Ctr Natl Rech Meteorol CNRM GAME, F-31057 Toulouse, France; [Thuiller, Wilfried] Univ Grenoble 1, CNRS, UMR 5553, Lab Ecol Alpine, F-38041 Grenoble 9, France</t>
  </si>
  <si>
    <t>Universite de Carthage; Universite de Montpellier; Centre National de la Recherche Scientifique (CNRS); CNRS - Institute of Ecology &amp; Environment (INEE); Communaute Universite Grenoble Alpes; Universite Grenoble Alpes (UGA); Universite Savoie Mont Blanc</t>
  </si>
  <si>
    <t>Lasram, FB (corresponding author), Inst Natl Agron Tunisie, Lab Ecosyst &amp; Ressources Aquat UR03AGRO1, 43 Ave Charles Nicolle, Tunis 1082, Tunisia.</t>
  </si>
  <si>
    <t>frida.lasram@gmail.com</t>
  </si>
  <si>
    <t>albouy, camille/H-9317-2012; Mouillot, David/HCH-5670-2022; Guilhaumon, François/C-3240-2009; Somot, Samuel/A-7585-2008; Thuiller, Wilfried/G-3283-2010</t>
  </si>
  <si>
    <t>albouy, camille/0000-0003-1629-2389; Somot, Samuel/0000-0002-5066-2921; Guilhaumon, François/0000-0003-4707-8932; Ben Rais Lasram, Frida/0000-0003-3327-908X;</t>
  </si>
  <si>
    <t>Cooperation and Cultural Action Services of the French Embassy in Tunisia; Total Foundation; FRB 'Fondation pour la recherche sur la biodiversite'; EU [GOCE-CT-2007-036866]</t>
  </si>
  <si>
    <t>Cooperation and Cultural Action Services of the French Embassy in Tunisia; Total Foundation(Total SA); FRB 'Fondation pour la recherche sur la biodiversite'; EU(European Union (EU))</t>
  </si>
  <si>
    <t>F. Ben Rais Lasram was partly funded by a PhD grant from the Cooperation and Cultural Action Services of the French Embassy in Tunisia. This project was also supported by the Total Foundation and the FRB 'Fondation pour la recherche sur la biodiversite'. W. Thuiller was partly funded by the FP6 EU Ecochange project (GOCE-CT-2007-036866).</t>
  </si>
  <si>
    <t>674GY</t>
  </si>
  <si>
    <t>WOS:000283726600007</t>
  </si>
  <si>
    <t>Fahd, Soumia/L-6196-2013; Brito, José Carlos/A-7831-2010; Martínez-Freiría, Fernando/L-7075-2013; Brito, José/A-7831-2010; FAHD, Soumia/L-6196-2013</t>
  </si>
  <si>
    <t>Fahd, Soumia/0000-0002-4464-4145; Brito, José Carlos/0000-0001-5444-8132; Martínez-Freiría, Fernando/0000-0003-2311-8960;</t>
  </si>
  <si>
    <t>University of Potsdam; University of Gottingen; Centre National de la Recherche Scientifique (CNRS); CNRS - Institute of Ecology &amp; Environment (INEE); Communaute Universite Grenoble Alpes; Universite Grenoble Alpes (UGA); Universite Savoie Mont Blanc; Goethe University Frankfurt; South African National Biodiversity Institute; University of Kwazulu Natal; South African National Biodiversity Institute; Centre National de la Recherche Scientifique (CNRS); Institut de Recherche pour le Developpement (IRD); Universite de Montpellier</t>
  </si>
  <si>
    <t>Schurr, Frank/O-6575-2016; Sarmento Cabral, Juliano/K-3973-2012; Sarmento Cabral, Juliano/K-3973-2012; Higgins, Steven/A-5138-2012; Thuiller, Wilfried/G-3283-2010; Rouget, Mathieu/B-7249-2008; Midgley, Guy/H-3585-2014</t>
  </si>
  <si>
    <t>Rouget, Mathieu/0000-0002-6172-3152; Sarmento Cabral, Juliano/0000-0002-0116-220X; Higgins, Steven/0000-0001-5695-9665; Sarmento Cabral, Juliano/0000-0002-0116-220X; Jeltsch, Florian/0000-0002-4670-6469; Midgley, Guy/0000-0001-8264-0869</t>
  </si>
  <si>
    <t>Raselimanana, Achille Philippe/0000-0003-1610-7307; Stone, Dáithí/0000-0002-2518-100X</t>
  </si>
  <si>
    <t>Peterson, A Townsend/I-5697-2013; Martínez-Meyer, Enrique/AAZ-7352-2020; Peterson, A. Townsend/I-5697-2013</t>
  </si>
  <si>
    <t>Peterson, A Townsend/0000-0003-0243-2379; Martínez-Meyer, Enrique/0000-0003-1184-9264;</t>
  </si>
  <si>
    <t>Midgley, Guy/H-3585-2014; Thuiller, Wilfried/G-3283-2010</t>
  </si>
  <si>
    <t>Midgley, Guy/0000-0001-8264-0869;</t>
  </si>
  <si>
    <t>Midgley, Guy/H-3585-2014; Alkemade, Rob/U-3663-2017; Broennimann, Olivier/D-3495-2011; Alkemade, R./U-3663-2017; Thuiller, Wilfried/G-3283-2010</t>
  </si>
  <si>
    <t>Midgley, Guy/0000-0001-8264-0869; Alkemade, Rob/0000-0001-8761-1768; Broennimann, Olivier/0000-0001-9913-3695; Brönnimann, Olivier/0000-0001-5394-4564;</t>
  </si>
  <si>
    <t>Thuiller, Wilfried/G-3283-2010; Araújo, Miguel/B-6117-2008; Bastos Araújo, Miguel/B-6117-2008; Lavorel, Sandra/AGM-2903-2022</t>
  </si>
  <si>
    <t>Donaldson, John/F-6833-2011; Midgley, Guy/H-3585-2014; Rouget, Mathieu/B-7249-2008; Thuiller, Wilfried/G-3283-2010; Richardson, David/A-1495-2008; Richardson, David/A-1495-2008</t>
  </si>
  <si>
    <t>Donaldson, John/0000-0002-7930-1695; Midgley, Guy/0000-0001-8264-0869; Bertzky, Bastian/0000-0001-7025-4733; Raimondo, Domitilla/0000-0003-3998-752X; Rouget, Mathieu/0000-0002-6172-3152; Richardson, David/0000-0001-9574-8297; Richardson, David/0000-0001-9574-8297</t>
  </si>
  <si>
    <t>Simmons, RE; Barnard, P; Dean, WRJ; Midgley, GF; Thuiller, W; Hughes, G</t>
  </si>
  <si>
    <t>Climate change and birds: perspectives and prospects from southern Africa</t>
  </si>
  <si>
    <t>OSTRICH</t>
  </si>
  <si>
    <t>SPECIES DISTRIBUTIONS; EVOLUTION; PATTERNS; FUTURE; BIODIVERSITY; DIVERSITY; MIGRATION; ENDEMISM; IMPACTS; SUCCESS</t>
  </si>
  <si>
    <t>Global climate warming, now conclusively linked to anthropogenically-increased CO2 levels in the earth's atmosphere, has already had impacts on the earth's biodiversity and is predicted to threaten more than 1 million species with extinction by 2050. Climate change in southern Africa is expected to involve higher temperatures and lower rainfall, with less predictability and a greater frequency of severe storms, fires and El Nino events. The predicted changes to birds in Africa - the continent most at risk from climate. change - have hardly been explored, yet birds and many other vertebrates face uncertain futures. Here, in one of the first focused analyses of the correlates of climate change vulnerability in southern African birds, we offer a wideranging perspective on which species may be most at risk, and explore which traits may influence the adaptability of extinction risk of bird species. Our review suggests that small nomadic species with short generation times may be least at risk. While larger-bodied species may be physiologically buffered against environmental change, their longer generation times may make them less able to adapt evolutionarily to climate change. Migrant species, and those with specialised feeding niches such as pollinators, are also predicted to be at risk of population declines, based on low ability to adapt to new environments when introduced there as aliens. Species with small ranges (&lt;50 000km(2)) restricted to the two southern African biodiversity hotspots most at risk from climate change - the Cape Floral Kingdom and the Succulent Karoo - are ranked according to low, medium or high risk of extinction. Those restricted to mountain slopes, mountain tops or islands, and those occurring mainly at the southern or western extremes of these biomes, are ranked as highest risk. These include endemic sunbirds, warblers and rock-jumpers - none of which are currently recognised Red Data species. Using climate envelopes we modelled the possible range shifts by 2050 of three pairs of species found in habitats considered to be at risk: fynbos, mountain and and Karoo. All six species lost substantial portions of their range (x = 40%), with the montane Drakensberg Rock-jumper Chaetops aurantius losing most (69%). Significant reductions of available climate space in all species may interact with life history characteristics to threaten many southern African bird species unable to shift geographic range or adapt to novel resource conditions. We conclude with a list of research priorities and testable hypotheses which may advance our understanding of the complex influence that climate change is likely to have on African, particularly southern African, birds.</t>
  </si>
  <si>
    <t>Univ Cape Town, Percy FitzPatrick Inst, DST, Ctr Excellence Birds Keys Biodivers Conservat, ZA-7701 Cape Town, South Africa; So African Natl Biodivers Inst, Global Invas Speciec Programme, ZA-7735 Cape Town, South Africa; So African Natl Biodivers Inst, Climate Change Res Grp, Kirstenbosch Res Ctr, ZA-7735 Cape Town, South Africa; Conservat Int, Ctr Appl Biodivers Sci, Washington, DC USA</t>
  </si>
  <si>
    <t>University of Cape Town; South African National Biodiversity Institute; South African National Biodiversity Institute; Conservation International</t>
  </si>
  <si>
    <t>Simmons, RE (corresponding author), Univ Cape Town, Percy FitzPatrick Inst, DST, Ctr Excellence Birds Keys Biodivers Conservat, ZA-7701 Cape Town, South Africa.</t>
  </si>
  <si>
    <t>harrier@botzoo.ucl.ac.za</t>
  </si>
  <si>
    <t>Thuiller, Wilfried/G-3283-2010; Simmons, Robert/AAE-3915-2020; Midgley, Guy/H-3585-2014</t>
  </si>
  <si>
    <t>Simmons, Robert/0000-0003-4964-8126; Midgley, Guy/0000-0001-8264-0869</t>
  </si>
  <si>
    <t>TAYLOR &amp; FRANCIS LTD</t>
  </si>
  <si>
    <t>ABINGDON</t>
  </si>
  <si>
    <t>2-4 PARK SQUARE, MILTON PARK, ABINGDON OR14 4RN, OXON, ENGLAND</t>
  </si>
  <si>
    <t>0030-6525</t>
  </si>
  <si>
    <t>1727-947X</t>
  </si>
  <si>
    <t>Ostrich</t>
  </si>
  <si>
    <t>Ornithology</t>
  </si>
  <si>
    <t>892VM</t>
  </si>
  <si>
    <t>WOS:000226678100020</t>
  </si>
  <si>
    <t>Midgley, Guy/H-3585-2014; Booth, Anthony/C-9932-2012; Thuiller, Wilfried/G-3283-2010</t>
  </si>
  <si>
    <t>Midgley, Guy/0000-0001-8264-0869; Booth, Anthony/0000-0002-5561-9260;</t>
  </si>
  <si>
    <t>; Midgley, Guy/H-3585-2014</t>
  </si>
  <si>
    <t>Powrie, Leslie Ward/0000-0001-6942-8484; Midgley, Guy/0000-0001-8264-0869</t>
  </si>
  <si>
    <t>Erasmus, Barend/G-3411-2012; van Jaarsveld, Albert/H-5368-2013; Chown, Steven/H-3347-2011</t>
  </si>
  <si>
    <t>Laidre, KL; Stirling, I; Lowry, LF; Wiig, O; Heide-Jorgensen, MP; Ferguson, SH</t>
  </si>
  <si>
    <t>Laidre, Kristin L.; Stirling, Ian; Lowry, Lloyd F.; Wiig, Oystein; Heide-Jorgensen, Mads Peter; Ferguson, Steven H.</t>
  </si>
  <si>
    <t>Quantifying the sensitivity of arctic marine mammals to climate-induced habitat change</t>
  </si>
  <si>
    <t>ECOLOGICAL APPLICATIONS</t>
  </si>
  <si>
    <t>Arctic; climate change; extinction risk; global warming; marine mammals; sea ice; sensitivity index</t>
  </si>
  <si>
    <t>NARWHALS MONODON-MONOCEROS; SEALS PHOCA-HISPIDA; BEARS URSUS-MARITIMUS; WALRUSES ODOBENUS-ROSMARUS; FEMALE POLAR BEARS; WESTERN HUDSON-BAY; WHALES DELPHINAPTERUS-LEUCAS; SOUTHEASTERN BERING SEA; ICE BREEDING HABITAT; ST-LAWRENCE ISLAND</t>
  </si>
  <si>
    <t>We review seven Arctic and four subarctic marine mammal species, their habitat requirements, and evidence for biological and demographic responses to climate change. We then describe a pan-Arctic quantitative index of species sensitivity to climate change based on population size, geographic range, habitat specificity, diet diversity, migration, site fidelity, sensitivity to changes in sea ice, sensitivity to changes in the trophic web, and maximum population growth potential (R-max). The index suggests three types of sensitivity based on: (1) narrowness of distribution and specialization in feeding, (2) seasonal dependence on ice, and (3) reliance on sea ice as a structure for access to prey and predator avoidance. Based on the index, the hooded seal, the polar bear, and the narwhal appear to be the three most sensitive Arctic marine mammal species, primarily due to reliance on sea ice and specialized feeding. The least sensitive species were the ringed seal and bearded seal, primarily due to large circumpolar distributions, large population sizes, and flexible habitat requirements. The index provides an objective framework for ranking species and focusing future research on the effects of climate change on Arctic marine mammals. Finally, we distinguish between highly sensitive species and good indicator species and discuss regional variation and species-specific ecology that confounds Arctic-wide generalization regarding the effects of climate change.</t>
  </si>
  <si>
    <t>[Laidre, Kristin L.; Heide-Jorgensen, Mads Peter] Greenland Inst Nat Resources, Nuuk 3900, Greenland; [Stirling, Ian] Environm Canada, Canadian Wildlife Serv, Edmonton, AB T6H 3S5, Canada; [Lowry, Lloyd F.] Univ Alaska, Sch Fisheries &amp; Ocean Sci, Kailua, HI 96740 USA; [Wiig, Oystein] Univ Oslo, Nat Hist Museum, N-0318 Oslo, Norway; [Ferguson, Steven H.] Fisheries &amp; Oceans Canada, Winnipeg, MB R3T 2N6, Canada</t>
  </si>
  <si>
    <t>Greenland Institute of Natural Resources; Environment &amp; Climate Change Canada; Canadian Wildlife Service; University of Oslo; Fisheries &amp; Oceans Canada</t>
  </si>
  <si>
    <t>Laidre, KL (corresponding author), Univ Washington, Appl Phys Lab, Polar Sci Ctr, 1013 NE 40th St, Seattle, WA 98105 USA.</t>
  </si>
  <si>
    <t>klaidre@apl.washington.edu</t>
  </si>
  <si>
    <t>Heide-Jørgensen, Mads/F-6464-2011; Wiig, Øystein/AAT-9518-2020</t>
  </si>
  <si>
    <t>1051-0761</t>
  </si>
  <si>
    <t>1939-5582</t>
  </si>
  <si>
    <t>ECOL APPL</t>
  </si>
  <si>
    <t>Ecol. Appl.</t>
  </si>
  <si>
    <t>S97</t>
  </si>
  <si>
    <t>S125</t>
  </si>
  <si>
    <t>Ecology; Environmental Sciences</t>
  </si>
  <si>
    <t>294CK</t>
  </si>
  <si>
    <t>WOS:000255381500007</t>
  </si>
  <si>
    <t>; Li, Xinhai/G-9111-2011; Wang、, Yuan/HCI-2207-2022</t>
  </si>
  <si>
    <t>Europe and Central Asia</t>
  </si>
  <si>
    <t>Kumar, Sunil/A-6730-2009; Mumtaz, Abdul/A-1565-2019; Mumtaz, Abdul Samad/A-1565-2019</t>
  </si>
  <si>
    <t>; Bates, Paul/HDO-0192-2022; Hughes, Alice/G-7285-2012; hughes, Alice/HCH-3838-2022</t>
  </si>
  <si>
    <t>Jones, Gareth/0000-0002-1904-3735; hughes, Alice/0000-0002-4899-3158</t>
  </si>
  <si>
    <t>Li, Xinhai/G-9111-2011</t>
  </si>
  <si>
    <t>Fordham, Damien/E-9255-2013; Akcakaya, H./A-7830-2008; Russell, Bayden/A-9942-2008; Connell, Sean/A-8874-2008; Caley, Julian/A-4042-2008; Bradshaw, Corey/A-1311-2008; Brook, Barry/G-2686-2011; Mellin, Camille/X-9161-2019</t>
  </si>
  <si>
    <t>Fordham, Damien/0000-0003-2137-5592; Russell, Bayden/0000-0003-1282-9978; Connell, Sean/0000-0002-5350-6852; Caley, Julian/0000-0001-5739-749X; Bradshaw, Corey/0000-0002-5328-7741; Brook, Barry/0000-0002-2491-1517; Aiello-Lammens, Matthew/0000-0002-6180-5959; Mellin, Camille/0000-0002-7369-2349</t>
  </si>
  <si>
    <t>Australian Research Council [DP1096427, FS110200051, FT100100200]; Marine Biodiversity Hub; Australian Government National Environmental Research Programme; NSF [DEB-1146198]; Australian Research Council [DP1096427, FT100100200, FS110200051] Funding Source: Australian Research Council; Division Of Environmental Biology; Direct For Biological Sciences [1146198] Funding Source: National Science Foundation</t>
  </si>
  <si>
    <t>Australian Research Council(Australian Research Council); Marine Biodiversity Hub; Australian Government National Environmental Research Programme(Australian Government); NSF(National Science Foundation (NSF)); Australian Research Council(Australian Research Council); Division Of Environmental Biology; Direct For Biological Sciences(National Science Foundation (NSF)NSF - Directorate for Biological Sciences (BIO))</t>
  </si>
  <si>
    <t>Asia and the Pacific</t>
  </si>
  <si>
    <t>Oceania</t>
  </si>
  <si>
    <t>Araújo, Miguel/B-6117-2008; Elith, Jane/F-2022-2015; Brook, Barry/G-2686-2011; Bastos Araújo, Miguel/B-6117-2008; Pearson, Richard/GQH-2760-2022; Watts, Michael/A-9139-2010; Mellin, Camille/X-9161-2019; Fordham, Damien/E-9255-2013; Akcakaya, H./A-7830-2008</t>
  </si>
  <si>
    <t>Elith, Jane/0000-0002-8706-0326; wintle, brendan/0000-0002-4234-5950; Brook, Barry/0000-0002-2491-1517; Bastos Araújo, Miguel/0000-0002-5107-7265; Watts, Michael/0000-0003-1559-3091; Mellin, Camille/0000-0002-7369-2349; Auld, Tony/0000-0002-8766-2829; Keith, David/0000-0002-7627-4150; Fordham, Damien/0000-0003-2137-5592;</t>
  </si>
  <si>
    <t>Australian Research Council (ARC) [LP0989420, FT0991640, FT100100819]; National Aeronautics and Space Administration through the NASA [NNX09AK19G]; Portuguese FCT [PTDC/AAC-AMB/98163/2008]; [LP0989537]; Australian Research Council [FT0991640, LP0989420, FT100100819] Funding Source: Australian Research Council</t>
  </si>
  <si>
    <t>Bond, Nick/A-1129-2016; Reich, Paul/D-4321-2013; Bond, Nick/A-1129-2016</t>
  </si>
  <si>
    <t>Bond, Nick/0000-0003-4294-6008; Stein, Janet/0000-0002-0475-0410; Reich, Paul/0000-0003-1192-5909; Bond, Nick/0000-0003-4294-6008</t>
  </si>
  <si>
    <t>Elith, Jane/F-2022-2015; McNeill, Asha/J-9339-2018; Midgley, Guy/H-3585-2014; Yates, Colin/B-5972-2011</t>
  </si>
  <si>
    <t>Elith, Jane/0000-0002-8706-0326; McNeill, Asha/0000-0002-3870-7517; Midgley, Guy/0000-0001-8264-0869;</t>
  </si>
  <si>
    <t>; Sanders, Nathan/ABE-4335-2020; Dunn, Robert/B-1360-2013; Fitzpatrick, Matt/F-7620-2010; Sanders, Nathan/A-6945-2009</t>
  </si>
  <si>
    <t>Fitzpatrick, Matthew/0000-0003-1911-8407; Dunn, Robert/0000-0002-6030-4837; Sanders, Nathan/0000-0001-6220-6731</t>
  </si>
  <si>
    <t>Pitman, Anew/A-7353-2011; Pitman, Andrew/A-7353-2011; Beaumont, Linda/D-5499-2012</t>
  </si>
  <si>
    <t>Pitman, Anew/0000-0003-0604-3274; Beaumont, Linda/0000-0001-6307-1680; Hughes, Lesley/0000-0003-0313-9780;</t>
  </si>
  <si>
    <t>Willia, Stephen/A-7250-2008; Hero, Jean-Marc/A-4257-2010; Shoo, Luke/A-2715-2009; Williams, Stephen/A-7250-2008</t>
  </si>
  <si>
    <t>Willia, Stephen/0000-0002-2510-7408;</t>
  </si>
  <si>
    <t>; Williams, Stephen/A-7250-2008; Willia, Stephen/A-7250-2008</t>
  </si>
  <si>
    <t>Beaumont, Linda/0000-0001-6307-1680; Hughes, Lesley/0000-0003-0313-9780;</t>
  </si>
  <si>
    <t>Hughes, Lesley/0000-0003-0313-9780; Westoby, Mark/0000-0001-7690-4530</t>
  </si>
  <si>
    <t>; Munoz, Jesus/B-7809-2008; Rodriguez-Tapia, Gerardo/GZM-8933-2022; Sánchez Guillén, Rosa Ana/Q-5714-2018; Guillén, Rosa/Q-5714-2018</t>
  </si>
  <si>
    <t>Rodríguez-Tapia, Gerardo/0000-0003-0953-7755; Córdoba-Aguilar, Alex/0000-0002-5978-1660; Sánchez Guillén, Rosa Ana/0000-0001-6024-8321; Muñoz, Jesús/0000-0002-9266-2268</t>
  </si>
  <si>
    <t>Senckenberg Biodiversitat &amp; Klima- Forschungszentrum (BiK-F); Leibniz Association; Senckenberg Gesellschaft fur Naturforschung (SGN); Leibniz Association; Senckenberg Gesellschaft fur Naturforschung (SGN); Consejo Superior de Investigaciones Cientificas (CSIC); University of Copenhagen; University of Evora; University of Barcelona</t>
  </si>
  <si>
    <t>; Bastos Araújo, Miguel/B-6117-2008; Haase, Peter/A-5644-2011; Pauls, Steffen/C-2192-2011; Bonada, Núria/L-5137-2015; Jähnig, Sonja C/D-7126-2011; Domisch, Sami/E-5745-2011; Araújo, Miguel/B-6117-2008; Jähnig, Sonja/D-7126-2011</t>
  </si>
  <si>
    <t>Pauls, Steffen/0000-0002-6451-3425; Bastos Araújo, Miguel/0000-0002-5107-7265; Domisch, Sami/0000-0002-8127-9335; Bonada, Núria/0000-0002-2983-3335; Jähnig, Sonja C/0000-0002-6349-9561;</t>
  </si>
  <si>
    <t>Jansson, Roland/B-7972-2013; Nilsson, Christer/AAI-1354-2019; Nilsson, Christer/I-9407-2012; Hof, Anouschka/V-5994-2019</t>
  </si>
  <si>
    <t>Jansson, Roland/0000-0003-1767-7010; Nilsson, Christer/0000-0003-1186-8115;</t>
  </si>
  <si>
    <t>University of Vienna; Centre National de la Recherche Scientifique (CNRS); CNRS - Institute of Ecology &amp; Environment (INEE); Communaute Universite Grenoble Alpes; Universite Grenoble Alpes (UGA); Universite Savoie Mont Blanc; Swiss Federal Institutes of Technology Domain; Swiss Federal Institute for Forest, Snow &amp; Landscape Research; University of Lausanne; University of Klagenfurt; University of Vienna; Technical University of Munich; University of Milan; Technical University of Munich; Aarhus University; Universite de Picardie Jules Verne (UPJV); Slovenian Academy of Sciences &amp; Arts (SASA)</t>
  </si>
  <si>
    <t>; Hülber, Karl/H-7822-2019; Svenning, Jens-Christian/C-8977-2012; Willner, Wolfgang/AAA-4822-2019; Lenoir, Jonathan/AAE-8441-2019; Šilc, Urban/ABC-8488-2021; Fischer, Anton/E-9941-2017; Schmatz, Dirk/L-7281-2013; Thuiller, Wilfried/G-3283-2010; CACCIANIGA, MARCO STEFANO/B-1025-2017; Zimmermann, Niklaus/A-4276-2008; Plutzar, Christoph/J-6055-2015; Psomas, Achilleas/M-1141-2013; Guisan, Antoine/A-1057-2011</t>
  </si>
  <si>
    <t>Dirnböck, Thomas/0000-0002-8294-0690; Willner, Wolfgang/0000-0003-1591-8386; Moser, Dietmar/0000-0002-2745-7508; Svenning, Jens-Christian/0000-0002-3415-0862; Leitner, Michael/0000-0002-4975-6787; Fischer, Anton/0000-0002-6781-2594; Schmatz, Dirk/0000-0002-8198-6136; Dullinger, Stefan/0000-0003-3919-0887; Vittoz, Pascal/0000-0003-4218-4517; Hülber, Karl/0000-0001-9274-1647; CACCIANIGA, MARCO STEFANO/0000-0001-9715-1830; Zimmermann, Niklaus/0000-0003-3099-9604; Plutzar, Christoph/0000-0003-2041-6399; Šilc, Urban/0000-0002-3052-699X; Guisan, Antoine/0000-0002-3998-4815</t>
  </si>
  <si>
    <t>Leibniz Association; Senckenberg Gesellschaft fur Naturforschung (SGN); Leibniz Association; Senckenberg Gesellschaft fur Naturforschung (SGN); Senckenberg Biodiversitat &amp; Klima- Forschungszentrum (BiK-F)</t>
  </si>
  <si>
    <t>Domisch, Sami/E-5745-2011; Nowak, Carsten/A-4466-2014; Haase, Peter/A-5644-2011</t>
  </si>
  <si>
    <t>Domisch, Sami/0000-0002-8127-9335; Nowak, Carsten/0000-0002-3139-1951;</t>
  </si>
  <si>
    <t>Jähnig, Sonja/D-7126-2011; Haase, Peter/A-5644-2011; Jähnig, Sonja C/D-7126-2011; Domisch, Sami/E-5745-2011</t>
  </si>
  <si>
    <t>Jähnig, Sonja C/0000-0002-6349-9561; Domisch, Sami/0000-0002-8127-9335</t>
  </si>
  <si>
    <t>Senckenberg Biodiversitat &amp; Klima- Forschungszentrum (BiK-F); Leibniz Association; Senckenberg Gesellschaft fur Naturforschung (SGN); Babes Bolyai University from Cluj; Leibniz Association; Senckenberg Gesellschaft fur Naturforschung (SGN); Johannes Gutenberg University of Mainz; University of Koblenz</t>
  </si>
  <si>
    <t>; Nowak, Carsten/A-4466-2014; Haase, Peter/A-5644-2011; Pauls, Steffen/C-2192-2011; Domisch, Sami/E-5745-2011</t>
  </si>
  <si>
    <t>Theissinger, Kathrin/0000-0001-7255-326X; Domisch, Sami/0000-0002-8127-9335; Nowak, Carsten/0000-0002-3139-1951;</t>
  </si>
  <si>
    <t>Garzon, Marta/E-3622-2013; Robson, Thomas Matthew/J-3381-2012; Zavala, Miguel/H-3603-2015; Alia, Ricardo/B-5160-2011; Zavala, Miguel A/H-3603-2015</t>
  </si>
  <si>
    <t>University of Lausanne; University of Basel; Centre National de la Recherche Scientifique (CNRS); CNRS - Institute of Ecology &amp; Environment (INEE); Communaute Universite Grenoble Alpes; Universite Grenoble Alpes (UGA); Universite Savoie Mont Blanc; University of Vienna; Swiss Federal Institutes of Technology Domain; Swiss Federal Institute for Forest, Snow &amp; Landscape Research; Consejo Superior de Investigaciones Cientificas (CSIC); University of Evora; AgroParisTech; Universite de Lorraine; INRAE; Centre National de la Recherche Scientifique (CNRS); Communaute Universite Grenoble Alpes; Universite Grenoble Alpes (UGA); National Research Institute for Biological Sciences; Centre Tecnologic Forestal de Catalunya (CTFC); University of Bergen; Consejo Superior de Investigaciones Cientificas (CSIC); CSIC - Instituto Pirenaico de Ecologia (IPE); The Norwegian Forest &amp; Landscape Institute; University of Copenhagen; Aarhus University; Babes Bolyai University from Cluj; Universitat de Lleida; University of Molise; University of Geneva; University of Oxford</t>
  </si>
  <si>
    <t>Grytnes, John-Arvid/L-6357-2013; Engler, Robin/B-7912-2015; Guisan, Antoine/A-1057-2011; Zimmermann, Niklaus/A-4276-2008; Albert, Cécile/AAA-5490-2019; Sebastia, M./B-5479-2013; Randin, Christophe/K-6969-2016; Coldea, Gheorghe/C-3929-2012; Sebastià, M Teresa/B-5479-2013; Randin, Christophe François/K-6969-2016; Araújo, Miguel/B-6117-2008; Stanisci, Angela/F-4725-2012; Albert, Cécile/AAA-5490-2019; CHOLER, Philippe/A-7270-2008; Puscas, Mihai/C-4689-2012; Normand, Signe/A-1561-2012; Bastos Araújo, Miguel/B-6117-2008; Theurillat, Jean-Paul/ABV-4830-2022; Thuiller, Wilfried/G-3283-2010; Trivedi, Mandar/IQV-7534-2023; Pearman, Peter/C-6298-2011; Choler, Philippe/A-7270-2008; Gegout, Jean-Claude/HKN-8801-2023</t>
  </si>
  <si>
    <t>Guisan, Antoine/0000-0002-3998-4815; Puscas, Mihai/0000-0002-2632-640X; Zimmermann, Niklaus/0000-0003-3099-9604; Albert, Cécile/0000-0002-0991-1068; Sebastià, M Teresa/0000-0002-9017-3575; Randin, Christophe François/0000-0002-4171-0178; Grytnes, John-Arvid/0000-0002-6365-9676; FORSTER, Philippe/0009-0002-2679-8316; Dirnböck, Thomas/0000-0002-8294-0690; Albert, Cécile/0000-0002-0991-1068; CHOLER, Philippe/0000-0002-9062-2721; Normand, Signe/0000-0002-8782-4154; Bastos Araújo, Miguel/0000-0002-5107-7265; Vittoz, Pascal/0000-0003-4218-4517; Gegout, Jean-Claude/0000-0002-5760-9920; Theurillat, Jean-Paul/0000-0002-1843-5809; Nogués-Bravo, David/0000-0002-4060-0153; Dullinger, Stefan/0000-0003-3919-0887; Pearman, Peter/0000-0002-0794-101X; Stanisci, Angela/0000-0002-5302-0932;</t>
  </si>
  <si>
    <t>; Settele, Josef/A-6371-2009; Pöyry, Juha/B-7487-2013; Thuiller, Wilfried/G-3283-2010; Luoto, Miska/E-6693-2014; Heikkinen, Risto/AAN-6257-2020; Fronzek, Stefan/W-5724-2019</t>
  </si>
  <si>
    <t>Fronzek, Stefan/0000-0003-2478-8050; Settele, Josef/0000-0002-8624-4983; Pöyry, Juha/0000-0002-5548-1046; Luoto, Miska/0000-0001-6203-5143;</t>
  </si>
  <si>
    <t>; Rebelo, Hugo/C-9005-2009; Tarroso, Peo/I-3023-2012; Tarroso, Pedro/I-3023-2012</t>
  </si>
  <si>
    <t>Jones, Gareth/0000-0002-1904-3735; Rebelo, Hugo/0000-0002-7118-4068; Tarroso, Peo/0000-0002-2694-1170;</t>
  </si>
  <si>
    <t>Fundacao da Ciencia e Tecnologia [SFRH/BD/17755/2004, SFRH/BD/42480/2007]; Fundação para a Ciência e a Tecnologia [SFRH/BD/42480/2007, SFRH/BD/17755/2004] Funding Source: FCT</t>
  </si>
  <si>
    <t>Fundacao da Ciencia e Tecnologia(Fundacao para a Ciencia e a Tecnologia (FCT)); Fundação para a Ciência e a Tecnologia</t>
  </si>
  <si>
    <t>Zimmermann, Niklaus/A-4276-2008; Thuiller, Wilfried/G-3283-2010; Randin, Christophe François/K-6969-2016; Randin, Christophe/K-6969-2016; Engler, Robin/B-7912-2015; Normand, Signe/A-1561-2012; Guisan, Antoine/A-1057-2011; Zappa, Massimiliano/C-1205-2009; Pearman, Peter/C-6298-2011</t>
  </si>
  <si>
    <t>Zimmermann, Niklaus/0000-0003-3099-9604; Randin, Christophe François/0000-0002-4171-0178; Normand, Signe/0000-0002-8782-4154; Guisan, Antoine/0000-0002-3998-4815; Zappa, Massimiliano/0000-0002-2837-8190; Pearman, Peter/0000-0002-0794-101X</t>
  </si>
  <si>
    <t>; Zamora-Muñoz, Carmen/K-7050-2014; López Rodríguez, Manuel Jesús/A-9296-2011; Hering, Daniel/D-4280-2012; López-Rodríguez, Manuel Jesús/A-9296-2011; Schmidt-Kloiber, Astrid/O-5278-2015</t>
  </si>
  <si>
    <t>Wolfram, Graf/0000-0001-6559-0644; Zamora-Muñoz, Carmen/0000-0002-3037-1529; López Rodríguez, Manuel Jesús/0000-0001-6707-0992; Schmidt-Kloiber, Astrid/0000-0001-8839-5913</t>
  </si>
  <si>
    <t>; Randin, Christophe/K-6969-2016; Zimmermann, Niklaus/A-4276-2008; Randin, Christophe François/K-6969-2016; Engler, Robin/B-7912-2015; Guisan, Antoine/A-1057-2011</t>
  </si>
  <si>
    <t>Vittoz, Pascal/0000-0003-4218-4517; Zimmermann, Niklaus/0000-0003-3099-9604; BENISTON, Martin/0000-0002-3782-5458; Randin, Christophe François/0000-0002-4171-0178; Guisan, Antoine/0000-0002-3998-4815</t>
  </si>
  <si>
    <t>Kühn, Ingolf/B-9756-2009; Schweiger, Oliver/B-4909-2008; Klotz, Stefan/J-5866-2017; Kühn, Ingolf/B-9756-2009; Settele, Josef/A-6371-2009</t>
  </si>
  <si>
    <t>Kühn, Ingolf/0000-0003-1691-8249; Schweiger, Oliver/0000-0001-8779-2335; Klotz, Stefan/0000-0003-4355-6415; Kühn, Ingolf/0000-0003-1691-8249; Settele, Josef/0000-0002-8624-4983</t>
  </si>
  <si>
    <t>Helmholtz Association; Helmholtz Center for Environmental Research (UFZ); Potsdam Institut fur Klimafolgenforschung; Communaute Universite Grenoble Alpes; Universite Grenoble Alpes (UGA); Centre National de la Recherche Scientifique (CNRS); Universite Savoie Mont Blanc; CNRS - Institute of Ecology &amp; Environment (INEE)</t>
  </si>
  <si>
    <t>Klotz, Stefan/J-5866-2017; Badeck, Franz/C-6722-2008; Kühn, Ingolf/B-9756-2009; Badeck, Franz-Werner/C-6722-2008; Kühn, Ingolf/B-9756-2009; Thuiller, Wilfried/G-3283-2010</t>
  </si>
  <si>
    <t>Klotz, Stefan/0000-0003-4355-6415; Kühn, Ingolf/0000-0003-1691-8249; Badeck, Franz-Werner/0000-0001-7821-8825; Kühn, Ingolf/0000-0003-1691-8249; Hanspach, Jan/0000-0002-6638-8699;</t>
  </si>
  <si>
    <t>Trivedi, MR; Berry, PM; Morecroft, MD; Dawson, TP</t>
  </si>
  <si>
    <t>Trivedi, Mandar R.; Berry, Pamela M.; Morecroft, Michael D.; Dawson, Terence P.</t>
  </si>
  <si>
    <t>Spatial scale affects bioclimate model projections of climate change impacts on mountain plants</t>
  </si>
  <si>
    <t>climate change; downscaling; ecotype; extent; generalized additive models; grain; Grampian Highlands; resolution; Scotland; uncertainty</t>
  </si>
  <si>
    <t>SPECIES DISTRIBUTION MODELS; ENVELOPE MODELS; ALTITUDINAL GRADIENT; POTENTIAL RANGE; HABITAT MODELS; DISTRIBUTIONS; DIVERSITY; TREE; SIZE; UNCERTAINTY</t>
  </si>
  <si>
    <t>Plant species have responded to recent increases in global temperatures by shifting their geographical ranges poleward and to higher altitudes. Bioclimate models project future range contractions of montane species as suitable climate space shifts uphill. The species-climate relationships underlying such models are calibrated using data at either 'macro' scales (coarse resolution, e.g. 50 km x 50 km, and large spatial extent) or 'local' scales (fine resolution, e.g. 50 m x 50 m, and small spatial extent), but the two approaches have not been compared. This study projected macro (European) and local models for vascular plants at a mountain range in Scotland, UK, under low (+1.7 degrees C) and high (+3.3 degrees C) climate change scenarios for the 2080s. Depending on scenario, the local models projected that seven or eight out of 10 focal montane species would lose all suitable climate space at the site. However, the European models projected such a loss for only one species. The cause of this divergence was investigated by cross-scale comparisons of estimated temperatures at montane species' warm range edges. The results indicate that European models overestimated species' thermal tolerances because the input coarse resolution climate data were biased against the cold, high-altitude habitats of montane plants. Although tests at other mountain ranges are required, these results indicate that recent large-scale modelling studies may have overestimated montane species' ability to cope with increasing temperatures, thereby underestimating the potential impacts of climate change. Furthermore, the results suggest that montane species persistence in microclimatic refugia might not be as widespread as previously speculated.</t>
  </si>
  <si>
    <t>[Trivedi, Mandar R.; Berry, Pamela M.] Univ Oxford, Ctr Environm, Environm Change Inst, Oxford OX1 3QY, England; [Trivedi, Mandar R.] Lancaster Environm Ctr, Ctr Ecol &amp; Hydrol, Lancaster LA1 4AP, England; [Morecroft, Michael D.] Ctr Ecol &amp; Hydrol, Wallingford OX10 8BB, Oxon, England; [Dawson, Terence P.] Univ Southampton, Sch Geog, Southampton SO17 1BJ, Hants, England</t>
  </si>
  <si>
    <t>University of Oxford; UK Centre for Ecology &amp; Hydrology (UKCEH); Lancaster University; UK Centre for Ecology &amp; Hydrology (UKCEH); University of Southampton</t>
  </si>
  <si>
    <t>Trivedi, MR (corresponding author), Univ Oxford, John Krebs Field Stn, Global Canopy Programme, Wytham OX2 3QJ, England.</t>
  </si>
  <si>
    <t>mandar.trivedi@gmail.com</t>
  </si>
  <si>
    <t>; Dawson, Terence/E-4724-2011; Trivedi, Mandar/IQV-7534-2023</t>
  </si>
  <si>
    <t>Berry, Pam/0000-0002-1201-072X; Dawson, Terence/0000-0002-4314-1378;</t>
  </si>
  <si>
    <t>Natural Environment Research Council [CEH010021] Funding Source: researchfish</t>
  </si>
  <si>
    <t>295GS</t>
  </si>
  <si>
    <t>WOS:000255463600012</t>
  </si>
  <si>
    <t>Heikkinen, Risto/AAN-6257-2020; Virkkala, Raimo/AAN-6178-2020; Luoto, Miska/E-6693-2014</t>
  </si>
  <si>
    <t>Luoto, Miska/0000-0001-6203-5143</t>
  </si>
  <si>
    <t>Garzon, Marta/E-3622-2013; de Dios, Rut/M-3596-2014</t>
  </si>
  <si>
    <t>Luoto, Miska/E-6693-2014; Heikkinen, Risto/AAN-6257-2020</t>
  </si>
  <si>
    <t>Svenning, Jens-Christian/C-8977-2012; Rahbek, Carsten/L-1129-2013; Skov, Flemming/I-2665-2013</t>
  </si>
  <si>
    <t>Svenning, Jens-Christian/0000-0002-3415-0862; Rahbek, Carsten/0000-0003-4585-0300; Skov, Flemming/0000-0002-9490-8663</t>
  </si>
  <si>
    <t>; Thomas, Chris/A-1460-2014; Thomas, Chris/A-1894-2012</t>
  </si>
  <si>
    <t>Ohlemuller, Ralf/0000-0001-9102-6481; Gritti, Emmanuel S/0000-0002-0276-953X; Gritti, Emmanuel/0000-0001-7119-1287; Thomas, Chris/0000-0003-2822-1334</t>
  </si>
  <si>
    <t>Huntley, B; Collingham, YC; Green, RE; Hilton, GM; Rahbek, C; Willis, SG</t>
  </si>
  <si>
    <t>Huntley, Brian; Collingham, Yvonne C.; Green, Rhys E.; Hilton, Geoffrey M.; Rahbek, Carsten; Willis, Stephen G.</t>
  </si>
  <si>
    <t>Potential impacts of climatic change upon geographical distributions of birds</t>
  </si>
  <si>
    <t>IBIS</t>
  </si>
  <si>
    <t>Annual Spring Conference of the British-Ornithologists-Union</t>
  </si>
  <si>
    <t>APR 01-03, 2005</t>
  </si>
  <si>
    <t>Univ Leicester, Leicester, ENGLAND</t>
  </si>
  <si>
    <t>British Ornithol Union</t>
  </si>
  <si>
    <t>Univ Leicester</t>
  </si>
  <si>
    <t>SPACE-TIME CLIMATE; 20TH-CENTURY TEMPERATURE; LATE PLEISTOCENE; HEINRICH EVENTS; PLATEAU UPLIFT; POLLEN RECORD; NORTH-AMERICA; ICE CORE; QUATERNARY; VARIABILITY</t>
  </si>
  <si>
    <t>Potential climatic changes of the near future have important characteristics that differentiate them from the largest magnitude and most rapid of climatic changes of the Quaternary. These potential climatic changes are thus a cause for considerable concern in terms of their possible impacts upon biodiversity. Birds, in common with other terrestrial organisms, are expected to exhibit one of two general responses to climatic change: they may adapt to the changed conditions without shifting location, or they may show a spatial response, adjusting their geographical distribution in response to the changing climate. The Quaternary geological record provides examples of organisms that responded to the climatic fluctuations of that period in each of these ways, but also indicates that the two are not alternative responses but components of the same overall predominantly spatial response. Species unable to achieve a sufficient response by either or both of these mechanisms will be at risk of extinction; the Quaternary record documents examples of such extinctions. Relationships between the geographical distributions of birds and present climate have been modelled for species breeding in both Europe and Africa. The resulting models have very high goodness-of-fit and provide a basis for assessing the potential impacts of anthropogenic climatic changes upon avian species richness in the two continents. Simulations made for a range of general circulation model projections of late 21st century climate lead to the conclusion that the impacts upon birds are likely to be substantial. The boundaries of many species' potential geographical distributions are likely to be shifted &gt;= 1000 km. There is likely to be a general decline in avian species richness, with the mean extent of species' potential geographical distributions likely to decrease. Species with restricted distributions and specialized species of particular biomes are likely to suffer the greatest impacts. Migrant species are likely to suffer especially large impacts as climatic change alters both their breeding and wintering areas, as well as critical stopover sites, and also potentially increases the distances they must migrate seasonally. Without implementation of new conservation measures, these impacts will be severe and are likely to be exacerbated by land-use change and associated habitat fragmentation. Unless strenuous efforts are made to address the root causes of anthropogenic climatic change, much current effort to conserve biodiversity will be in vain.</t>
  </si>
  <si>
    <t>Univ Durham, Sch Biol &amp; Biomed Sci, Inst Ecosyst Sci, Durham DH1 3HP, England; Univ Cambridge, Dept Zool, Cambridge, England; Royal Soc Protect Birds, Sandy SG19 2DL, Beds, England; Univ Copenhagen, Inst Biol, Copenhagen, Denmark</t>
  </si>
  <si>
    <t>Durham University; University of Cambridge; Royal Society for Protection of Birds; University of Copenhagen</t>
  </si>
  <si>
    <t>Huntley, B (corresponding author), Univ Durham, Sch Biol &amp; Biomed Sci, Inst Ecosyst Sci, Durham DH1 3HP, England.</t>
  </si>
  <si>
    <t>brian.huntley@durham.ac.uk</t>
  </si>
  <si>
    <t>Willis, Stephen/F-8503-2015; Rahbek, Carsten/L-1129-2013; Hilton, Geoff/H-3086-2017</t>
  </si>
  <si>
    <t>Willis, Stephen/0000-0002-8656-5808; Rahbek, Carsten/0000-0003-4585-0300; Hilton, Geoff/0000-0001-9062-3030</t>
  </si>
  <si>
    <t>0019-1019</t>
  </si>
  <si>
    <t>1474-919X</t>
  </si>
  <si>
    <t>Ibis</t>
  </si>
  <si>
    <t>125WT</t>
  </si>
  <si>
    <t>WOS:000243474900003</t>
  </si>
  <si>
    <t>Butt, Nathalie/B-3558-2014; del Barrio, Gabriel/D-3865-2013; Pearson, Richard/GQH-2760-2022; Dawson, Terence/E-4724-2011; Harrison, Paula/K-1519-2016</t>
  </si>
  <si>
    <t>Butt, Nathalie/0000-0003-1517-6191; del Barrio, Gabriel/0000-0001-6146-9433; Dawson, Terence/0000-0002-4314-1378; Berry, Pam/0000-0002-1201-072X; Harrison, Paula/0000-0002-9873-3338; Sanjuán, María E/0000-0002-2430-6093</t>
  </si>
  <si>
    <t>; Harrison, Paula/K-1519-2016; New, Mark/A-7684-2008; Butt, Nathalie/B-3558-2014</t>
  </si>
  <si>
    <t>Berry, Pam/0000-0002-1201-072X; Harrison, Paula/0000-0002-9873-3338; New, Mark/0000-0001-6082-8879; Butt, Nathalie/0000-0003-1517-6191</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</si>
  <si>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University of Evora; Centre National de la Recherche Scientifique (CNRS); CNRS - Institute of Ecology &amp; Environment (INEE); Communaute Universite Grenoble Alpes; Universite Grenoble Alpes (UGA); Universite Savoie Mont Blanc; University of Oxford; Lund University; University of Bristol</t>
  </si>
  <si>
    <t>Bastos Araújo, Miguel/B-6117-2008; Araújo, Miguel/B-6117-2008; Lavorel, Sandra/AGM-2903-2022; Thuiller, Wilfried/G-3283-2010</t>
  </si>
  <si>
    <t>Bastos Araújo, Miguel/B-6117-2008; Cabeza, Mar/ABC-4297-2020; Araújo, Miguel/B-6117-2008; Thuiller, Wilfried/G-3283-2010</t>
  </si>
  <si>
    <t>Svenning, Jens-Christian/C-8977-2012; Skov, Flemming/I-2665-2013</t>
  </si>
  <si>
    <t>Svenning, Jens-Christian/0000-0002-3415-0862; Skov, Flemming/0000-0002-9490-8663</t>
  </si>
  <si>
    <t>Dirnböck, T; Dullinger, S; Grabherr, G</t>
  </si>
  <si>
    <t>A regional impact assessment of climate and land-use change on alpine vegetation</t>
  </si>
  <si>
    <t>Alpine plants; European Alps; habitat distribution model; ordinal regression; generalized linear model; vegetation modelling</t>
  </si>
  <si>
    <t>PLANT-SPECIES RICHNESS; ENVIRONMENTAL-CHANGE; SPATIAL PREDICTION; SNOW DISTRIBUTION; TERRAIN ANALYSIS; COMPLEX TERRAIN; GLOBAL CHANGE; SWISS ALPS; TREE; MOUNTAIN</t>
  </si>
  <si>
    <t>Aim Assessing potential response of alpine plant species distribution to different future climatic and land-use scenarios. Location Four mountain ranges totalling 150 km 2 in the north-eastern Calcareous Alps of Austria. Methods Ordinal regression models of eighty-five alpine plant species based on environmental constraints and land use determining their abundance. Site conditions are simulated spatially using a GIS, a Digital Terrain Model, meteorological station data and existing maps. Additionally, historical records were investigated to derive data on time spans since pastures were abandoned. This was then used to assess land-use impacts on vegetation patterns in combination with climatic changes. Results A regionalized GCM scenario for 2050 (+0.65degreesC, -30 mm August precipitation) will only lead to local loss of potential habitat for alpine plant species. More profound changes (+2degreesC, -30 mm August precipitation; +2degreesC, -60 mm August precipitation) however, will bring about a severe contraction of the alpine, non-forest zone, because of range expansion of the treeline conifer Pinus mugo Turra and many alpine species will loose major parts of their habitat. Precipitation change significantly influences predicted future habitat patterns, mostly by enhancing the general trend. Maintenance of summer pastures facilitates the persistence of alpine plant species by providing refuges, but existing pastures are too small in the area to effectively prevent the regional extinction risk of alpine plant species. Main conclusions The results support earlier hypotheses that alpine plant species on mountain ranges with restricted habitat availability above the treeline will experience severe fragmentation and habitat loss, but only if the mean annual temperature increases by 2degreesC or more. Even in temperate alpine regions it is important to consider precipitation in addition to temperature when climate impacts are to be assessed. The maintenance of large summer farms may contribute to preventing the expected loss of non-forest habitats for alpine plant species. Conceptual and technical shortcomings of static equilibrium modelling limit the mechanistic understanding of the processes involved.</t>
  </si>
  <si>
    <t>Univ Vienna, Inst Ecol &amp; Conservat Biol, Vienna, Austria</t>
  </si>
  <si>
    <t>University of Vienna</t>
  </si>
  <si>
    <t>Dirnböck, T (corresponding author), Fed Environm Agcy, Spittelauer Lande 5, A-1090 Vienna, Austria.</t>
  </si>
  <si>
    <t>dirnboeck@ubavie.gv.at</t>
  </si>
  <si>
    <t>Dullinger, Stefan/0000-0003-3919-0887; Dirnböck, Thomas/0000-0002-8294-0690</t>
  </si>
  <si>
    <t>658UR</t>
  </si>
  <si>
    <t>WOS:000181739300008</t>
  </si>
  <si>
    <t>; Thomas, Chris/A-1894-2012; Thomas, Chris/A-1460-2014; Willis, Stephen/F-8503-2015; Hill, Jane/G-5151-2011; Fox, Richard/G-3873-2011</t>
  </si>
  <si>
    <t>Fox, Richard/0000-0001-6992-3522; Thomas, Chris/0000-0003-2822-1334; Willis, Stephen/0000-0002-8656-5808;</t>
  </si>
  <si>
    <t>Birks, H John B/C-3103-2008; Birks, John/C-3103-2008</t>
  </si>
  <si>
    <t>Birks, H John B/0000-0002-5891-9859;</t>
  </si>
  <si>
    <t>Americas</t>
  </si>
  <si>
    <t>; Early, Regan/A-5442-2010</t>
  </si>
  <si>
    <t>Early, Regan/0000-0003-4108-5904;</t>
  </si>
  <si>
    <t>Dauwalter, Daniel/Z-2028-2019; Wenger, Seth/G-6594-2011; Fausch, Kurt/A-8849-2010; Luce, Charles/A-9267-2008; Williams, Jack/JBJ-9584-2023; Isaak, Dan/C-8818-2011</t>
  </si>
  <si>
    <t>Wenger, Seth/0000-0001-7858-960X; Luce, Charles/0000-0002-6938-9662; Dauwalter, Daniel/0000-0003-3070-188X</t>
  </si>
  <si>
    <t>Kumar, Sunil/A-6730-2009; Evangelista, Paul/D-2315-2016</t>
  </si>
  <si>
    <t>Buckley, LB; Urban, MC; Angilletta, MJ; Crozier, LG; Rissler, LJ; Sears, MW</t>
  </si>
  <si>
    <t>Buckley, Lauren B.; Urban, Mark C.; Angilletta, Michael J.; Crozier, Lisa G.; Rissler, Leslie J.; Sears, Michael W.</t>
  </si>
  <si>
    <t>Can mechanism inform species' distribution models?</t>
  </si>
  <si>
    <t>Biophysical model; climate change; climate envelope model; demography; fundamental niche; physiology; realized niche; species' range model</t>
  </si>
  <si>
    <t>LIZARD SCELOPORUS-UNDULATUS; CLIMATE-CHANGE; BIOTIC INTERACTIONS; IMPROVE PREDICTION; LANDSCAPE SCALE; RANGE SHIFTS; NICHE; PHYLOGEOGRAPHY; TEMPERATURE; POPULATIONS</t>
  </si>
  <si>
    <t>P&gt;Two major approaches address the need to predict species distributions in response to environmental changes. Correlative models estimate parameters phenomenologically by relating current distributions to environmental conditions. By contrast, mechanistic models incorporate explicit relationships between environmental conditions and organismal performance, estimated independently of current distributions. Mechanistic approaches include models that translate environmental conditions into biologically relevant metrics (e.g. potential duration of activity), models that capture environmental sensitivities of survivorship and fecundity, and models that use energetics to link environmental conditions and demography. We compared how two correlative and three mechanistic models predicted the ranges of two species: a skipper butterfly (Atalopedes campestris) and a fence lizard (Sceloporus undulatus). Correlative and mechanistic models performed similarly in predicting current distributions, but mechanistic models predicted larger range shifts in response to climate change. Although mechanistic models theoretically should provide more accurate distribution predictions, there is much potential for improving their flexibility and performance.</t>
  </si>
  <si>
    <t>[Buckley, Lauren B.] Univ N Carolina, Dept Biol, Chapel Hill, NC 27599 USA; [Urban, Mark C.] Univ Connecticut, Storrs, CT 06269 USA; [Angilletta, Michael J.] Indiana State Univ, Dept Biol, Terre Haute, IN 47809 USA; [Crozier, Lisa G.] NOAA Fisheries, NW Fisheries Sci Ctr, Seattle, WA 98112 USA; [Rissler, Leslie J.] Univ Alabama, Dept Biol Sci, Tuscaloosa, AL 35487 USA; [Sears, Michael W.] Bryn Mawr Coll, Dept Biol, Bryn Mawr, PA 19010 USA</t>
  </si>
  <si>
    <t>University of North Carolina; University of North Carolina Chapel Hill; University of Connecticut; Indiana State University; National Oceanic Atmospheric Admin (NOAA) - USA; University of Alabama System; University of Alabama Tuscaloosa; Bryn Mawr College</t>
  </si>
  <si>
    <t>Buckley, LB (corresponding author), Univ N Carolina, Dept Biol, CB 3280, Chapel Hill, NC 27599 USA.</t>
  </si>
  <si>
    <t>buckley@bio.unc.edu</t>
  </si>
  <si>
    <t>Crozier, Lisa/E-2248-2012; Buckley, Lauren/ABD-6759-2021; Urban, Mark/Y-2430-2019</t>
  </si>
  <si>
    <t>Buckley, Lauren/0000-0003-1315-3818; Crozier, Lisa/0000-0001-7744-9525;</t>
  </si>
  <si>
    <t>National Center for Ecological Analysis and Synthesis (NCEAS); NSF [DEB-0553768]; University of California, Santa Barbara; State of California; National Evolutionary Synthesis Center; National Science Foundation [EF-0423641]</t>
  </si>
  <si>
    <t>National Center for Ecological Analysis and Synthesis (NCEAS); NSF(National Science Foundation (NSF)); University of California, Santa Barbara(University of California System); State of California; National Evolutionary Synthesis Center; National Science Foundation(National Science Foundation (NSF))</t>
  </si>
  <si>
    <t>This work was conducted as part of the Species Range Dynamics Working Group supported by the National Center for Ecological Analysis and Synthesis (NCEAS), a Center funded by NSF (grant no. DEB-0553768), the University of California, Santa Barbara, and the State of California, and the National Evolutionary Synthesis Center, a Center funded by the National Science Foundation (grant no. EF-0423641). Additional support was provided to L.B.B and M.C.U. as NCEAS Postdoctoral Associates. Thanks to L. Ries for providing data from the 4th of July Butterfly Counts and S. Menke for assistance. Thanks to R. Holt, T. Keitt, J. Kingsolver, W. Porter, and other working group members for helpful comments and discussions and to anonymous referees for constructive comments.</t>
  </si>
  <si>
    <t>625ZC</t>
  </si>
  <si>
    <t>WOS:000279934400011</t>
  </si>
  <si>
    <t>Morin, Xavier/B-2790-2015; Thuiller, Wilfried/G-3283-2010</t>
  </si>
  <si>
    <t>Adelaide University; University of Adelaide; University of York - UK; State University of New York (SUNY) System; Stony Brook University; Consejo Superior de Investigaciones Cientificas (CSIC); Universidad Nacional Autonoma de Mexico; Communaute Universite Grenoble Alpes; Universite Grenoble Alpes (UGA); Centre National de la Recherche Scientifique (CNRS); Universite Savoie Mont Blanc; CNRS - Institute of Ecology &amp; Environment (INEE)</t>
  </si>
  <si>
    <t>Anderson, Barbara J/E-6802-2012; Anderson, Barbara/E-6802-2012; Thuiller, Wilfried/G-3283-2010; Bastos Araújo, Miguel/B-6117-2008; Fordham, Damien/E-9255-2013; Brook, Barry/G-2686-2011; Martínez-Meyer, Enrique/AAZ-7352-2020; Araújo, Miguel/B-6117-2008; Akcakaya, H./A-7830-2008</t>
  </si>
  <si>
    <t>Anderson, Barbara J/0000-0003-1763-3616; Bastos Araújo, Miguel/0000-0002-5107-7265; Fordham, Damien/0000-0003-2137-5592; Brook, Barry/0000-0002-2491-1517; Martínez-Meyer, Enrique/0000-0003-1184-9264;</t>
  </si>
  <si>
    <t>Ackerly, David/A-1247-2009; Loarie, Scott/D-2610-2009</t>
  </si>
  <si>
    <t>Ackerly, David/0000-0002-1847-7398;</t>
  </si>
  <si>
    <t>; Iverson, Louis/AAZ-3910-2020; Matthews, Stephen/D-1050-2012</t>
  </si>
  <si>
    <t>Peters, Matthew/0000-0002-4793-0075; Matthews, Stephen/0000-0001-9175-7778</t>
  </si>
  <si>
    <t>; Buckley, Lauren/ABD-6759-2021</t>
  </si>
  <si>
    <t>Buckley, Lauren/0000-0003-1315-3818;</t>
  </si>
  <si>
    <t>Universidad Nacional Autonoma de Mexico; Telefonica SA; CIBNOR - Centro de Investigaciones Biologicas del Noroeste</t>
  </si>
  <si>
    <t>; Kueppers, Lara/M-8323-2013; Snyder, Mark/KIH-9046-2024</t>
  </si>
  <si>
    <t>Snyder, Mark/0000-0001-8242-7697; Kueppers, Lara/0000-0002-8134-3579;</t>
  </si>
  <si>
    <t>Chu, C/C-9091-2009; Minns, Charles/GYU-2209-2022</t>
  </si>
  <si>
    <t>Chu, Cindy/0000-0002-1914-3218;</t>
  </si>
  <si>
    <t>de León, Gerardo/U-3869-2017; Martínez-Meyer, Enrique/AAZ-7352-2020; Pérez-Ponce de León, Gerardo/U-3869-2017</t>
  </si>
  <si>
    <t>Peterson, A. Townsend/I-5697-2013; Martínez-Meyer, Enrique/AAZ-7352-2020; Peterson, A Townsend/I-5697-2013; González-Salazar, Constantino/M-3913-2015</t>
  </si>
  <si>
    <t>Martínez-Meyer, Enrique/0000-0003-1184-9264; Peterson, A Townsend/0000-0003-0243-2379; González-Salazar, Constantino/0000-0001-7347-714X</t>
  </si>
  <si>
    <t>Peterson, A. Townsend/I-5697-2013; Peterson, A Townsend/I-5697-2013</t>
  </si>
  <si>
    <t>Peterson, A. Townsend/I-5697-2013; Soberon, Jorge/N-7444-2015; Peterson, A Townsend/I-5697-2013</t>
  </si>
  <si>
    <t>Miranda, Marcelo/N-6462-2014; Gilabert, Horacio/HKN-7224-2023; Meza, Francisco/F-9297-2014</t>
  </si>
  <si>
    <t>Miranda, Marcelo/0000-0002-8386-4888; Meza, Francisco/0000-0002-9853-227X</t>
  </si>
  <si>
    <t>; Brehm, Gunnar/D-5831-2013; Colwell, Robert K./OXB-4625-2025; Cardelus, Catherine/ABA-8409-2020</t>
  </si>
  <si>
    <t>University of East Anglia; James Cook University; James Cook University; Alliance; International Center for Tropical Agriculture - CIAT; CGIAR; Alliance; International Center for Tropical Agriculture - CIAT; University of Leeds; University of East Anglia; University of Queensland; University of Reading; Met Office - UK; Hadley Centre</t>
  </si>
  <si>
    <t>; Osborn, Timothy/E-9740-2011; atkinson, ian/H-1806-2011; Jarvis, Andy/K-5516-2013; Willia, Stephen/A-7250-2008; Warren, Rachel/G-9997-2011; Williams, Stephen/A-7250-2008; Ramirez-Villegas, Julian/AAY-8073-2020; Lowe, Jason/GQI-4036-2022; Shoo, Luke/A-2715-2009; VanDerWal, Jeremy/C-7457-2009; Welbergen, Justin/AGN-0091-2022</t>
  </si>
  <si>
    <t>Ramirez-Villegas, Julian/0000-0002-8044-583X; Welbergen, Justin/0000-0002-8085-5759; Osborn, Timothy/0000-0001-8425-6799; Atkinson, Ian/0000-0002-2295-6818; Warren, Rachel/0000-0002-0122-1599; Jarvis, Andy/0000-0001-6543-0798; Willia, Stephen/0000-0002-2510-7408; VanDerWal, Jeremy/0000-0001-7439-8953;</t>
  </si>
  <si>
    <t>MacArthur Foundation to World Wildlife Fund, US; ARC [DP110104186]; CGIAR Research Program on Climate Change, Agriculture and Food Security (CCAFS); NERC [NE/F016107/1] Funding Source: UKRI; Natural Environment Research Council [NE/F016107/1] Funding Source: researchfish</t>
  </si>
  <si>
    <t>MacArthur Foundation to World Wildlife Fund, US; ARC(Australian Research Council); CGIAR Research Program on Climate Change, Agriculture and Food Security (CCAFS); NERC(UK Research &amp; Innovation (UKRI)Natural Environment Research Council (NERC)); Natural Environment Research Council(UK Research &amp; Innovation (UKRI)Natural Environment Research Council (NERC))</t>
  </si>
  <si>
    <t>All regions</t>
  </si>
  <si>
    <t>Garnett, Stephen/M-3877-2013; Akcakaya, H./A-7830-2008; Holland, Robert/C-1928-2012; Mace, Georgina/I-3072-2016; Mace, Georgina/I-3072-2016; Butchart, Stuart/Y-2711-2018; Sekercioglu, Cagan/A-2331-2013; Şekercioğlu, Çağan H/A-1273-2007</t>
  </si>
  <si>
    <t>Garnett, Stephen/0000-0002-0724-7060; Holland, Robert/0000-0002-3038-9227; Mace, Georgina/0000-0001-8965-5211; Mace, Georgina/0000-0001-8965-5211; Butchart, Stuart/0000-0002-1140-4049; Şekercioğlu, Çağan H/0000-0003-3193-0377; Holland, Robert/0000-0002-5927-9160; Hughes, Aian/0000-0002-0807-6646</t>
  </si>
  <si>
    <t>Ihlow, Flora/HTP-4946-2023; Rödder, Dennis/AAT-8644-2021; Engler, Jan/C-3432-2009; Sh., Hossein/E-5819-2012</t>
  </si>
  <si>
    <t>Rödder, Dennis/0000-0002-6108-1639; Ihlow, Flora/0000-0002-0460-4210;</t>
  </si>
  <si>
    <t>Sheldon, Kimberly/0000-0002-3215-2223; Tewksbury, Joshua/0000-0002-9786-1477</t>
  </si>
  <si>
    <t>National Science Foundation (NSF) [0853825]; University of Washington (UW) Department of Biology; NSF Ocean and Coastal Interdisciplinary Science [GK-12]; Office Of The Director; Office Of Internatl Science &amp;Engineering [0853825] Funding Source: National Science Foundation</t>
  </si>
  <si>
    <t>National Science Foundation (NSF)(National Science Foundation (NSF)); University of Washington (UW) Department of Biology(University of Washington); NSF Ocean and Coastal Interdisciplinary Science; Office Of The Director; Office Of Internatl Science &amp;Engineering(National Science Foundation (NSF)NSF - Office of the Director (OD))</t>
  </si>
  <si>
    <t>University of California System; University of California Santa Cruz; Universidad Nacional Autonoma de Mexico; University System of Ohio; Ohio University; Centre National de la Recherche Scientifique (CNRS); CNRS - Institute of Ecology &amp; Environment (INEE); Universidad Nacional Autonoma de Mexico; Universidad Nacional de Colombia; Instituto de Ecologia - Mexico; Consejo Nacional de Investigaciones Cientificas y Tecnicas (CONICET); Centro Nacional Patagonico (CENPAT); Consejo Superior de Investigaciones Cientificas (CSIC); CSIC - Museo Nacional de Ciencias Naturales (MNCN); Universidad de Concepcion; Universidade do Estado do Rio de Janeiro; Consejo Nacional de Investigaciones Cientificas y Tecnicas (CONICET); Universidad Nacional del Comahue; Universidad Nacional Mayor de San Marcos; Centre National de la Recherche Scientifique (CNRS); Sorbonne Universite; Centre National de la Recherche Scientifique (CNRS); University of Jyvaskyla; Monash University; Villanova University; Brigham Young University; Brigham Young University</t>
  </si>
  <si>
    <t>Rocha, Carlos Frederico/A-6225-2013; Miles, Donald/AFW-0480-2022; Mendez, Fausto/O-3512-2018; Gadsden, Hector/A-2066-2015; Chapple, David/B-9073-2008; Morando, Mariana/AGA-6105-2022; Aguilar Puntriano, Cesar/Q-6148-2018; Duarte Rocha, Carlos Frederico/A-6225-2013; Lara-Resendiz, Rafael A/K-3764-2013; Lara-Resendiz, Rafael/AAG-5451-2021; Aguilar, Cesar/Q-6148-2018; Martínez-Méndez, Norberto/AAB-2710-2021; Massot, Manuel/AGH-2703-2022; Avila, Luciano/AFN-1475-2022</t>
  </si>
  <si>
    <t>Mendez, Fausto/0000-0002-5084-1276; Calderón Espinosa, Martha/0000-0002-3602-013X; Oksanen, Tuula/0000-0003-3481-6158; Martínez-Méndez, Norberto/0000-0002-4029-4387; Massot, Manuel/0000-0002-2762-4417; Gadsden, Hector/0000-0002-1164-0578; De la Riva, Ignacio/0000-0001-5064-4507; Chapple, David/0000-0002-7720-6280; Aguilar Puntriano, Cesar/0000-0001-6372-7926; Duarte Rocha, Carlos Frederico/0000-0003-3000-1242; Lara-Resendiz, Rafael A/0000-0002-6922-0330; Bastiaans, Elizabeth/0000-0002-7322-1088; Avila, Luciano Javier/0000-0003-4641-6581; Miles, Donald/0000-0001-5768-179X;</t>
  </si>
  <si>
    <t>National Geographic Society, UC Mexus; UCSC Committee-On-Research; NSF [DEB 0108577, IBN 0213179, LTREB DEB 051597, DEB 0515909, 0844523, OISE 0530267]; CNRS; Museum Nationale d'Histoire Naturelle, Universite Paris 6, Universite Paul Sabatier Toulouse III [PAPIIT-UNAM IN213405, 224208]; Universite Paul Sabatier Toulouse III; CONACYT [4171N, 52852Q]; CONACYT-SEP [43142-Q]; ANR Blanche; FONDYCET [1090664]; SMSI [CGL2005-03156, CLG2008-04164, APCT-PICT1086]; Universidad Nacional Autonoma de Mexico; American Museum of Natural History; Academy of Finland [108955]; Australian Research Council; PIRE-Patagonia; Brigham Young University; Direct For Biological Sciences; Division Of Environmental Biology [0844523] Funding Source: National Science Foundation</t>
  </si>
  <si>
    <t>National Geographic Society, UC Mexus(National Geographic Society); UCSC Committee-On-Research; NSF(National Science Foundation (NSF)); CNRS(Centre National de la Recherche Scientifique (CNRS)); Museum Nationale d'Histoire Naturelle, Universite Paris 6, Universite Paul Sabatier Toulouse III; Universite Paul Sabatier Toulouse III; CONACYT(Consejo Nacional de Ciencia y Tecnologia (CONACyT)); CONACYT-SEP(Consejo Nacional de Ciencia y Tecnologia (CONACyT)); ANR Blanche(Agence Nationale de la Recherche (ANR)); FONDYCET; SMSI; Universidad Nacional Autonoma de Mexico(Universidad Nacional Autonoma de Mexico); American Museum of Natural History; Academy of Finland(Research Council of Finland); Australian Research Council(Australian Research Council); PIRE-Patagonia; Brigham Young University; Direct For Biological Sciences; Division Of Environmental Biology(National Science Foundation (NSF)NSF - Directorate for Biological Sciences (BIO))</t>
  </si>
  <si>
    <t>Hijmans, Robert/N-3299-2016; Jarvis, Andy/K-5516-2013</t>
  </si>
  <si>
    <t>Jarvis, Andy/0000-0001-6543-0798</t>
  </si>
  <si>
    <t>; Sekercioglu, Cagan/A-2331-2013; Şekercioğlu, Çağan H/A-1273-2007; Loarie, Scott/D-2610-2009</t>
  </si>
  <si>
    <t>Fay, John/0000-0002-1871-7582; Şekercioğlu, Çağan H/0000-0003-3193-0377;</t>
  </si>
  <si>
    <t>Jetz, W; Wilcove, DS; Dobson, AP</t>
  </si>
  <si>
    <t>Jetz, Walter; Wilcove, David S.; Dobson, Andrew P.</t>
  </si>
  <si>
    <t>Projected impacts of climate and land-use change on the global diversity of birds</t>
  </si>
  <si>
    <t>PLOS BIOLOGY</t>
  </si>
  <si>
    <t>SPECIES RICHNESS; PLANT DIVERSITY; BIODIVERSITY; EXTINCTION; RESPONSES; HOTSPOTS; THREATS; FUTURE</t>
  </si>
  <si>
    <t>Over the past few decades, land-use and climate change have led to substantial range contractions and species extinctions. Even more dramatic changes to global land cover are projected for this century. We used the Millennium Ecosystem Assessment scenarios to evaluate the exposure of all 8,750 land bird species to projected land-cover changes due to climate and land-use change. For this first baseline assessment, we assumed stationary geographic ranges that may overestimate actual losses in geographic range. Even under environmentally benign scenarios, at least 400 species are projected to suffer &gt; 50% range reductions by the year 2050 (over 900 by the year 2100). Although expected climate change effects at high latitudes are significant, species most at risk are predominantly narrow-ranged and endemic to the tropics, where projected range contractions are driven by anthropogenic land conversions. Most of these species are currently not recognized as imperiled. The causes, magnitude and geographic patterns of potential range loss vary across socioeconomic scenarios, but all scenarios (even the most environmentally benign ones) result in large declines of many species. Whereas climate change will severely affect biodiversity, in the near future, land-use change in tropical countries may lead to yet greater species loss. A vastly expanded reserve network in the tropics, coupled with more ambitious goals to reduce climate change, will be needed to minimize global extinctions.</t>
  </si>
  <si>
    <t>Univ Calif San Diego, Div Biol Sci, La Jolla, CA 92093 USA; Princeton Univ, Dept Ecol &amp; Evolut Biol, Princeton, NJ 08544 USA; Princeton Univ, Woodrow Wilson Sch, Princeton, NJ 08544 USA</t>
  </si>
  <si>
    <t>University of California System; University of California San Diego; Princeton University; Princeton University</t>
  </si>
  <si>
    <t>Jetz, W (corresponding author), Univ Calif San Diego, Div Biol Sci, La Jolla, CA 92093 USA.</t>
  </si>
  <si>
    <t>wjetz@ucsd.edu</t>
  </si>
  <si>
    <t>; Jetz, Walter/ABF-1517-2020</t>
  </si>
  <si>
    <t>Wilcove, David S/0000-0002-1354-0503; Jetz, Walter/0000-0002-1971-7277;</t>
  </si>
  <si>
    <t>1544-9173</t>
  </si>
  <si>
    <t>1545-7885</t>
  </si>
  <si>
    <t>PLOS BIOL</t>
  </si>
  <si>
    <t>PLoS. Biol.</t>
  </si>
  <si>
    <t>e157</t>
  </si>
  <si>
    <t>Biochemistry &amp; Molecular Biology; Biology</t>
  </si>
  <si>
    <t>Biochemistry &amp; Molecular Biology; Life Sciences &amp; Biomedicine - Other Topics</t>
  </si>
  <si>
    <t>177SQ</t>
  </si>
  <si>
    <t>WOS:000247173200006</t>
  </si>
  <si>
    <t>Neilson, Ronald/A-8588-2009; Liu, Canran/AAI-1872-2020</t>
  </si>
  <si>
    <t>Hansen, Lara/0009-0001-9982-0695</t>
  </si>
  <si>
    <t>Peterson, A Townsend/I-5697-2013; Cameron, Alison/D-3911-2009; Fapesp, Biota/F-8655-2017; Beaumont, Linda/D-5499-2012; Peterson, A. Townsend/I-5697-2013; van Jaarsveld, Albert/H-5368-2013; de Siqueira, Marinez/I-9205-2012; Ferreira de Siqueira, Marinez/I-9205-2012; Williams, Stephen/A-7250-2008; Midgley, Guy/H-3585-2014; Thomas, Chris/A-1894-2012; Willia, Stephen/A-7250-2008; Phillips, Oliver/A-1523-2011; Miles, Lera/C-7334-2009; Erasmus, Barend/G-3411-2012</t>
  </si>
  <si>
    <t>Peterson, A Townsend/0000-0003-0243-2379; Cameron, Alison/0000-0001-8236-7954; Fapesp, Biota/0000-0002-9887-8449; Beaumont, Linda/0000-0001-6307-1680; Ferreira de Siqueira, Marinez/0000-0002-6869-0293; Midgley, Guy/0000-0001-8264-0869; Thomas, Chris/0000-0003-2822-1334; Willia, Stephen/0000-0002-2510-7408; Phillips, Oliver/0000-0002-8993-6168; Hughes, Lesley/0000-0003-0313-9780; Miles, Lera/0000-0003-0377-5904; Erasmus, Barend/0000-0003-1869-8091</t>
  </si>
  <si>
    <t>Bastos Araújo, Miguel/B-6117-2008; Thuiller, Wilfried/G-3283-2010; Lavorel, Sandra/AGM-2903-2022; Araújo, Miguel/B-6117-2008</t>
  </si>
  <si>
    <t>2025-12-18</t>
  </si>
  <si>
    <t>Urban Et al</t>
  </si>
  <si>
    <t>Universite de Carthage; Universite de Montpellier; Communaute Universite Grenoble Alpes; Universite Grenoble Alpes (UGA); Centre National de la Recherche Scientifique (CNRS); Universite Savoie Mont Blanc; CNRS - Institute of Ecology &amp; Environment (INEE)</t>
  </si>
  <si>
    <t>albouy, camille/H-9317-2012; Mouillot, David/HCH-5670-2022; Thuiller, Wilfried/G-3283-2010; Guilhaumon, François/C-3240-2009; Somot, Samuel/A-7585-2008</t>
  </si>
  <si>
    <t>albouy, camille/0000-0003-1629-2389; Guilhaumon, François/0000-0003-4707-8932; Somot, Samuel/0000-0002-5066-2921; Ben Rais Lasram, Frida/0000-0003-3327-908X;</t>
  </si>
  <si>
    <t>Loarie, Scott/D-2610-2009; Sekercioglu, Cagan/A-2331-2013; Şekercioğlu, Çağan H/A-1273-2007</t>
  </si>
  <si>
    <t>Gritti, Emmanuel S/0000-0002-0276-953X; Gritti, Emmanuel/0000-0001-7119-1287; Ohlemuller, Ralf/0000-0001-9102-6481; Thomas, Chris/0000-0003-2822-1334</t>
  </si>
  <si>
    <t>University of East Anglia; James Cook University; James Cook University; Alliance; International Center for Tropical Agriculture - CIAT; CGIAR; Alliance; International Center for Tropical Agriculture - CIAT; University of Leeds; University of East Anglia; University of Queensland; Met Office - UK; Hadley Centre; University of Reading</t>
  </si>
  <si>
    <t>Ramirez-Villegas, Julian/AAY-8073-2020; Lowe, Jason/GQI-4036-2022; Warren, Rachel/G-9997-2011; VanDerWal, Jeremy/C-7457-2009; atkinson, ian/H-1806-2011; Willia, Stephen/A-7250-2008; Shoo, Luke/A-2715-2009; Williams, Stephen/A-7250-2008; Osborn, Timothy/E-9740-2011; Jarvis, Andy/K-5516-2013; Welbergen, Justin/AGN-0091-2022</t>
  </si>
  <si>
    <t>Ramirez-Villegas, Julian/0000-0002-8044-583X; Warren, Rachel/0000-0002-0122-1599; Willia, Stephen/0000-0002-2510-7408; Welbergen, Justin/0000-0002-8085-5759; Osborn, Timothy/0000-0001-8425-6799; VanDerWal, Jeremy/0000-0001-7439-8953; Atkinson, Ian/0000-0002-2295-6818; Jarvis, Andy/0000-0001-6543-0798;</t>
  </si>
  <si>
    <t>Pearson, Richard/GQH-2760-2022; Bastos Araújo, Miguel/B-6117-2008; Mellin, Camille/X-9161-2019; Watts, Michael/A-9139-2010; Elith, Jane/F-2022-2015; Akcakaya, H./A-7830-2008; Fordham, Damien/E-9255-2013; Araújo, Miguel/B-6117-2008; Brook, Barry/G-2686-2011</t>
  </si>
  <si>
    <t>wintle, brendan/0000-0002-4234-5950; Bastos Araújo, Miguel/0000-0002-5107-7265; Keith, David/0000-0002-7627-4150; Watts, Michael/0000-0003-1559-3091; Elith, Jane/0000-0002-8706-0326; Fordham, Damien/0000-0003-2137-5592; Mellin, Camille/0000-0002-7369-2349; Auld, Tony/0000-0002-8766-2829; Brook, Barry/0000-0002-2491-1517</t>
  </si>
  <si>
    <t>Australian Research Council (ARC) [LP0989420, FT0991640, FT100100819]; National Aeronautics and Space Administration through the NASA [NNX09AK19G]; Portuguese FCT [PTDC/AAC-AMB/98163/2008]; [LP0989537]; Australian Research Council [FT100100819, FT0991640, LP0989420] Funding Source: Australian Research Council</t>
  </si>
  <si>
    <t>; Şekercioğlu, Çağan H/A-1273-2007; Akcakaya, H./A-7830-2008; Sekercioglu, Cagan/A-2331-2013; Mace, Georgina/I-3072-2016; Mace, Georgina/I-3072-2016; Holland, Robert/C-1928-2012; Garnett, Stephen/M-3877-2013; Butchart, Stuart/Y-2711-2018</t>
  </si>
  <si>
    <t>Hughes, Aian/0000-0002-0807-6646; Şekercioğlu, Çağan H/0000-0003-3193-0377; Butchart, Stuart/0000-0002-1140-4049; Mace, Georgina/0000-0001-8965-5211; Holland, Robert/0000-0002-5927-9160; Mace, Georgina/0000-0001-8965-5211; Holland, Robert/0000-0002-3038-9227; Garnett, Stephen/0000-0002-0724-7060;</t>
  </si>
  <si>
    <t>Schurr, Frank/O-6575-2016; Midgley, Guy/H-3585-2014; Sarmento Cabral, Juliano/K-3973-2012; Higgins, Steven/A-5138-2012; Sarmento Cabral, Juliano/K-3973-2012; Rouget, Mathieu/B-7249-2008; Thuiller, Wilfried/G-3283-2010</t>
  </si>
  <si>
    <t>Higgins, Steven/0000-0001-5695-9665; Midgley, Guy/0000-0001-8264-0869; Sarmento Cabral, Juliano/0000-0002-0116-220X; Jeltsch, Florian/0000-0002-4670-6469; Sarmento Cabral, Juliano/0000-0002-0116-220X; Rouget, Mathieu/0000-0002-6172-3152;</t>
  </si>
  <si>
    <t>hughes, Alice/HCH-3838-2022; Hughes, Alice/G-7285-2012; Bates, Paul/HDO-0192-2022</t>
  </si>
  <si>
    <t>Rödder, Dennis/AAT-8644-2021; Engler, Jan/C-3432-2009; Ihlow, Flora/HTP-4946-2023; Sh., Hossein/E-5819-2012</t>
  </si>
  <si>
    <t>; Caley, Julian/A-4042-2008; Russell, Bayden/A-9942-2008; Mellin, Camille/X-9161-2019; Brook, Barry/G-2686-2011; Fordham, Damien/E-9255-2013; Bradshaw, Corey/A-1311-2008; Akcakaya, H./A-7830-2008; Connell, Sean/A-8874-2008</t>
  </si>
  <si>
    <t>Aiello-Lammens, Matthew/0000-0002-6180-5959; Russell, Bayden/0000-0003-1282-9978; Caley, Julian/0000-0001-5739-749X; Mellin, Camille/0000-0002-7369-2349; Brook, Barry/0000-0002-2491-1517; Fordham, Damien/0000-0003-2137-5592; Bradshaw, Corey/0000-0002-5328-7741; Connell, Sean/0000-0002-5350-6852</t>
  </si>
  <si>
    <t>Australian Research Council [DP1096427, FS110200051, FT100100200]; Marine Biodiversity Hub; Australian Government National Environmental Research Programme; NSF [DEB-1146198]; Australian Research Council [FT100100200, DP1096427, FS110200051] Funding Source: Australian Research Council; National Health and Medical Research Council (NHMRC) [1146198] Funding Source: National Health and Medical Research Council (NHMRC); Direct For Biological Sciences; Division Of Environmental Biology [1146198] Funding Source: National Science Foundation</t>
  </si>
  <si>
    <t>Australian Research Council(Australian Research Council); Marine Biodiversity Hub; Australian Government National Environmental Research Programme(Australian Government); NSF(National Science Foundation (NSF)); Australian Research Council(Australian Research Council); National Health and Medical Research Council (NHMRC)(National Health &amp; Medical Research Council (NHMRC) of Australia); Direct For Biological Sciences; Division Of Environmental Biology(National Science Foundation (NSF)NSF - Directorate for Biological Sciences (BIO))</t>
  </si>
  <si>
    <t>Jähnig, Sonja C/D-7126-2011; Haase, Peter/A-5644-2011; Domisch, Sami/E-5745-2011; Jähnig, Sonja/D-7126-2011</t>
  </si>
  <si>
    <t>; Luoto, Miska/E-6693-2014; Heikkinen, Risto/AAN-6257-2020</t>
  </si>
  <si>
    <t>Minns, Charles/GYU-2209-2022; Chu, C/C-9091-2009</t>
  </si>
  <si>
    <t>Rahbek, Carsten/L-1129-2013; Skov, Flemming/I-2665-2013; Svenning, Jens-Christian/C-8977-2012</t>
  </si>
  <si>
    <t>Rahbek, Carsten/0000-0003-4585-0300; Skov, Flemming/0000-0002-9490-8663; Svenning, Jens-Christian/0000-0002-3415-0862</t>
  </si>
  <si>
    <t>Reich, Paul/D-4321-2013; Bond, Nick/A-1129-2016; Bond, Nick/A-1129-2016</t>
  </si>
  <si>
    <t>Reich, Paul/0000-0003-1192-5909; Bond, Nick/0000-0003-4294-6008; Stein, Janet/0000-0002-0475-0410; Bond, Nick/0000-0003-4294-6008</t>
  </si>
  <si>
    <t>Willia, Stephen/A-7250-2008; Shoo, Luke/A-2715-2009; Hero, Jean-Marc/A-4257-2010; Williams, Stephen/A-7250-2008</t>
  </si>
  <si>
    <t>Aarhus University; Swiss Federal Institutes of Technology Domain; Swiss Federal Institute for Forest, Snow &amp; Landscape Research; University of Lausanne; Centre National de la Recherche Scientifique (CNRS); CNRS - Institute of Ecology &amp; Environment (INEE); Communaute Universite Grenoble Alpes; Universite Grenoble Alpes (UGA); Universite Savoie Mont Blanc</t>
  </si>
  <si>
    <t>Guisan, Antoine/A-1057-2011; Randin, Christophe François/K-6969-2016; Pearman, Peter/C-6298-2011; Randin, Christophe/K-6969-2016; Zappa, Massimiliano/C-1205-2009; Zimmermann, Niklaus/A-4276-2008; Thuiller, Wilfried/G-3283-2010; Normand, Signe/A-1561-2012; Engler, Robin/B-7912-2015</t>
  </si>
  <si>
    <t>Guisan, Antoine/0000-0002-3998-4815; Randin, Christophe François/0000-0002-4171-0178; Pearman, Peter/0000-0002-0794-101X; Zappa, Massimiliano/0000-0002-2837-8190; Zimmermann, Niklaus/0000-0003-3099-9604; Normand, Signe/0000-0002-8782-4154;</t>
  </si>
  <si>
    <t>; Heikkinen, Risto/AAN-6257-2020; Settele, Josef/A-6371-2009; Thuiller, Wilfried/G-3283-2010; Luoto, Miska/E-6693-2014; Fronzek, Stefan/W-5724-2019; Pöyry, Juha/B-7487-2013</t>
  </si>
  <si>
    <t>Fronzek, Stefan/0000-0003-2478-8050; Luoto, Miska/0000-0001-6203-5143; Settele, Josef/0000-0002-8624-4983; Pöyry, Juha/0000-0002-5548-1046</t>
  </si>
  <si>
    <t>Bonada, Núria/L-5137-2015; Araújo, Miguel/B-6117-2008; Pauls, Steffen/C-2192-2011; Jähnig, Sonja/D-7126-2011; Haase, Peter/A-5644-2011; Domisch, Sami/E-5745-2011; Bastos Araújo, Miguel/B-6117-2008; Jähnig, Sonja C/D-7126-2011</t>
  </si>
  <si>
    <t>Bonada, Núria/0000-0002-2983-3335; Domisch, Sami/0000-0002-8127-9335; Bastos Araújo, Miguel/0000-0002-5107-7265; Jähnig, Sonja C/0000-0002-6349-9561; Pauls, Steffen/0000-0002-6451-3425</t>
  </si>
  <si>
    <t>Beaumont, Linda/D-5499-2012; Pitman, Anew/A-7353-2011; Pitman, Andrew/A-7353-2011</t>
  </si>
  <si>
    <t>Pitman, Anew/0000-0003-0604-3274; Beaumont, Linda/0000-0001-6307-1680; Hughes, Lesley/0000-0003-0313-9780</t>
  </si>
  <si>
    <t>; Normand, Signe/A-1561-2012; Stanisci, Angela/F-4725-2012; Sebastià, M Teresa/B-5479-2013; Puscas, Mihai/C-4689-2012; Sebastia, M./B-5479-2013; Randin, Christophe/K-6969-2016; CHOLER, Philippe/A-7270-2008; Albert, Cécile/AAA-5490-2019; Araújo, Miguel/B-6117-2008; Coldea, Gheorghe/C-3929-2012; Engler, Robin/B-7912-2015; Zimmermann, Niklaus/A-4276-2008; Albert, Cécile/AAA-5490-2019; Grytnes, John-Arvid/L-6357-2013; Trivedi, Mandar/IQV-7534-2023; Choler, Philippe/A-7270-2008; Gegout, Jean-Claude/HKN-8801-2023; Guisan, Antoine/A-1057-2011; Bastos Araújo, Miguel/B-6117-2008; Pearman, Peter/C-6298-2011; Randin, Christophe François/K-6969-2016; Theurillat, Jean-Paul/ABV-4830-2022; Thuiller, Wilfried/G-3283-2010</t>
  </si>
  <si>
    <t>Dirnböck, Thomas/0000-0002-8294-0690; Normand, Signe/0000-0002-8782-4154; Sebastià, M Teresa/0000-0002-9017-3575; CHOLER, Philippe/0000-0002-9062-2721; Albert, Cécile/0000-0002-0991-1068; FORSTER, Philippe/0009-0002-2679-8316; Grytnes, John-Arvid/0000-0002-6365-9676; Nogués-Bravo, David/0000-0002-4060-0153; Gegout, Jean-Claude/0000-0002-5760-9920; Puscas, Mihai/0000-0002-2632-640X; Theurillat, Jean-Paul/0000-0002-1843-5809; Zimmermann, Niklaus/0000-0003-3099-9604; Albert, Cécile/0000-0002-0991-1068; Stanisci, Angela/0000-0002-5302-0932; Guisan, Antoine/0000-0002-3998-4815; Bastos Araújo, Miguel/0000-0002-5107-7265; Pearman, Peter/0000-0002-0794-101X; Dullinger, Stefan/0000-0003-3919-0887; Randin, Christophe François/0000-0002-4171-0178; Vittoz, Pascal/0000-0003-4218-4517;</t>
  </si>
  <si>
    <t>; Haase, Peter/A-5644-2011; Domisch, Sami/E-5745-2011; Pauls, Steffen/C-2192-2011; Nowak, Carsten/A-4466-2014</t>
  </si>
  <si>
    <t>Theissinger, Kathrin/0000-0001-7255-326X; Domisch, Sami/0000-0002-8127-9335; Nowak, Carsten/0000-0002-3139-1951</t>
  </si>
  <si>
    <t>van Jaarsveld, Albert/H-5368-2013; Chown, Steven/H-3347-2011; Erasmus, Barend/G-3411-2012</t>
  </si>
  <si>
    <t>Erasmus, Barend/0000-0003-1869-8091</t>
  </si>
  <si>
    <t>Rebelo, Hugo/C-9005-2009; Tarroso, Peo/I-3023-2012; Tarroso, Pedro/I-3023-2012</t>
  </si>
  <si>
    <t>Rebelo, Hugo/0000-0002-7118-4068; Tarroso, Peo/0000-0002-2694-1170; Jones, Gareth/0000-0002-1904-3735;</t>
  </si>
  <si>
    <t>; Garzon, Marta/E-3622-2013; de Dios, Rut/M-3596-2014</t>
  </si>
  <si>
    <t>; Psomas, Achilleas/M-1141-2013; Schmatz, Dirk/L-7281-2013; Zimmermann, Niklaus/A-4276-2008; Hülber, Karl/H-7822-2019; CACCIANIGA, MARCO STEFANO/B-1025-2017; Svenning, Jens-Christian/C-8977-2012; Willner, Wolfgang/AAA-4822-2019; Thuiller, Wilfried/G-3283-2010; Guisan, Antoine/A-1057-2011; Šilc, Urban/ABC-8488-2021; Fischer, Anton/E-9941-2017; Plutzar, Christoph/J-6055-2015; Lenoir, Jonathan/AAE-8441-2019</t>
  </si>
  <si>
    <t>Dirnböck, Thomas/0000-0002-8294-0690; Willner, Wolfgang/0000-0003-1591-8386; Schmatz, Dirk/0000-0002-8198-6136; Zimmermann, Niklaus/0000-0003-3099-9604; Leitner, Michael/0000-0002-4975-6787; Vittoz, Pascal/0000-0003-4218-4517; CACCIANIGA, MARCO STEFANO/0000-0001-9715-1830; Svenning, Jens-Christian/0000-0002-3415-0862; Moser, Dietmar/0000-0002-2745-7508; Šilc, Urban/0000-0002-3052-699X; Hülber, Karl/0000-0001-9274-1647; Guisan, Antoine/0000-0002-3998-4815; Fischer, Anton/0000-0002-6781-2594; Plutzar, Christoph/0000-0003-2041-6399; Dullinger, Stefan/0000-0003-3919-0887</t>
  </si>
  <si>
    <t>Zamora-Muñoz, Carmen/K-7050-2014; López-Rodríguez, Manuel Jesús/A-9296-2011; López Rodríguez, Manuel Jesús/A-9296-2011; Schmidt-Kloiber, Astrid/O-5278-2015; Hering, Daniel/D-4280-2012</t>
  </si>
  <si>
    <t>Zamora-Muñoz, Carmen/0000-0002-3037-1529; López Rodríguez, Manuel Jesús/0000-0001-6707-0992; Schmidt-Kloiber, Astrid/0000-0001-8839-5913; Wolfram, Graf/0000-0001-6559-0644</t>
  </si>
  <si>
    <t>Meza, Francisco/F-9297-2014; Miranda, Marcelo/N-6462-2014; Gilabert, Horacio/HKN-7224-2023</t>
  </si>
  <si>
    <t>Meza, Francisco/0000-0002-9853-227X; Miranda, Marcelo/0000-0002-8386-4888;</t>
  </si>
  <si>
    <t>Midgley, Guy/H-3585-2014; McNeill, Asha/J-9339-2018; Yates, Colin/B-5972-2011; Elith, Jane/F-2022-2015</t>
  </si>
  <si>
    <t>Midgley, Guy/0000-0001-8264-0869; McNeill, Asha/0000-0002-3870-7517; Elith, Jane/0000-0002-8706-0326</t>
  </si>
  <si>
    <t>Universite de Montpellier; Ifremer; Centre National de la Recherche Scientifique (CNRS); Institut de Recherche pour le Developpement (IRD); Ifremer; Institut de Recherche pour le Developpement (IRD); Universite de Montpellier; University of Evora; Universite de Carthage; Meteo France; Puertos del Estado; James Cook University; ARC Centre of Excellence for Coral Reef Studies</t>
  </si>
  <si>
    <t>; Le Loc'h, François/A-5038-2008; albouy, camille/H-9317-2012; Guilhaumon, François/C-3240-2009; Mouillot, David/HCH-5670-2022; Leprieur, Fabien/ABA-4433-2020; Somot, Samuel/A-7585-2008</t>
  </si>
  <si>
    <t>Aznar, Roland/0000-0002-9793-1834; velez, laure/0000-0001-9555-6770; Guilhaumon, François/0000-0003-4707-8932; Le Loc'h, François/0000-0002-3372-6997; albouy, camille/0000-0003-1629-2389; Somot, Samuel/0000-0002-5066-2921; Ben Rais Lasram, Frida/0000-0003-3327-908X;</t>
  </si>
  <si>
    <t>Lavorel, Sandra/AGM-2903-2022; Araújo, Miguel/B-6117-2008; Bastos Araújo, Miguel/B-6117-2008; Thuiller, Wilfried/G-3283-2010</t>
  </si>
  <si>
    <t>; Dunn, Robert/B-1360-2013; Sanders, Nathan/A-6945-2009; Fitzpatrick, Matt/F-7620-2010; Sanders, Nathan/ABE-4335-2020</t>
  </si>
  <si>
    <t>Fitzpatrick, Matthew/0000-0003-1911-8407; Sanders, Nathan/0000-0001-6220-6731; Dunn, Robert/0000-0002-6030-4837;</t>
  </si>
  <si>
    <t>Madison &amp; Lila Self Graduate Student Fellowship; University of Kansas Biodiversity Institute Panorama Society and Department of Geology; [NSF-EF-1206757]; Div Of Biological Infrastructure; Direct For Biological Sciences [1206757] Funding Source: National Science Foundation</t>
  </si>
  <si>
    <t>Madison &amp; Lila Self Graduate Student Fellowship; University of Kansas Biodiversity Institute Panorama Society and Department of Geology; ; Div Of Biological Infrastructure; Direct For Biological Sciences(National Science Foundation (NSF)NSF - Directorate for Biological Sciences (BIO))</t>
  </si>
  <si>
    <t>Araújo, Miguel/B-6117-2008; Thuiller, Wilfried/G-3283-2010; Cabeza, Mar/ABC-4297-2020; Bastos Araújo, Miguel/B-6117-2008</t>
  </si>
  <si>
    <t>Cabeza, Mar/0000-0002-7410-7631; Bastos Araújo, Miguel/0000-0002-5107-7265</t>
  </si>
  <si>
    <t>University of Oxford; Lancaster University; UK Centre for Ecology &amp; Hydrology (UKCEH); UK Centre for Ecology &amp; Hydrology (UKCEH); University of Southampton</t>
  </si>
  <si>
    <t>Dawson, Terence/E-4724-2011; Trivedi, Mandar/IQV-7534-2023</t>
  </si>
  <si>
    <t>Dawson, Terence/0000-0002-4314-1378; Berry, Pam/0000-0002-1201-072X;</t>
  </si>
  <si>
    <t>Zimmermann, Niklaus/A-4276-2008; Randin, Christophe/K-6969-2016; Guisan, Antoine/A-1057-2011; Engler, Robin/B-7912-2015; Randin, Christophe François/K-6969-2016</t>
  </si>
  <si>
    <t>Zimmermann, Niklaus/0000-0003-3099-9604; Guisan, Antoine/0000-0002-3998-4815; BENISTON, Martin/0000-0002-3782-5458; Vittoz, Pascal/0000-0003-4218-4517; Randin, Christophe François/0000-0002-4171-0178</t>
  </si>
  <si>
    <t>Peterson, A. Townsend/I-5697-2013; Martínez-Meyer, Enrique/AAZ-7352-2020; Peterson, A Townsend/I-5697-2013</t>
  </si>
  <si>
    <t>Martínez-Meyer, Enrique/0000-0003-1184-9264; Peterson, A Townsend/0000-0003-0243-2379</t>
  </si>
  <si>
    <t>Peterson, A Townsend/I-5697-2013; Peterson, A. Townsend/I-5697-2013</t>
  </si>
  <si>
    <t>Peterson, A Townsend/0000-0003-0243-2379;</t>
  </si>
  <si>
    <t>Araújo, Miguel/B-6117-2008; Akcakaya, H./A-7830-2008; Thuiller, Wilfried/G-3283-2010; Brook, Barry/G-2686-2011; Fordham, Damien/E-9255-2013; Anderson, Barbara/E-6802-2012; Martínez-Meyer, Enrique/AAZ-7352-2020; Bastos Araújo, Miguel/B-6117-2008; Anderson, Barbara J/E-6802-2012</t>
  </si>
  <si>
    <t>Brook, Barry/0000-0002-2491-1517; Fordham, Damien/0000-0003-2137-5592; Martínez-Meyer, Enrique/0000-0003-1184-9264; Bastos Araújo, Miguel/0000-0002-5107-7265; Anderson, Barbara J/0000-0003-1763-3616</t>
  </si>
  <si>
    <t>Frölicher, Thomas/E-5137-2015; Dye, Stephen/C-9456-2011; Pinnegar, John/C-4400-2012; Warren, Rachel/G-9997-2011; Salvador, Jose/AAH-7939-2019; , William/F-5104-2013; Cheung, William/F-5104-2013</t>
  </si>
  <si>
    <t>Frölicher, Thomas/0000-0003-2348-7854; Dye, Stephen/0000-0002-4182-8475; Pinnegar, John/0000-0001-5061-9520; Warren, Rachel/0000-0002-0122-1599; , William/0000-0003-3626-1045;</t>
  </si>
  <si>
    <t>University of California System; University of California Santa Cruz; Universidad Nacional Autonoma de Mexico; University System of Ohio; Ohio University; Centre National de la Recherche Scientifique (CNRS); CNRS - Institute of Ecology &amp; Environment (INEE); Universidad Nacional Autonoma de Mexico; Universidad Nacional de Colombia; Instituto de Ecologia - Mexico; Centro Nacional Patagonico (CENPAT); Consejo Nacional de Investigaciones Cientificas y Tecnicas (CONICET); Consejo Superior de Investigaciones Cientificas (CSIC); CSIC - Museo Nacional de Ciencias Naturales (MNCN); Universidad de Concepcion; Universidade do Estado do Rio de Janeiro; Consejo Nacional de Investigaciones Cientificas y Tecnicas (CONICET); Universidad Nacional del Comahue; Universidad Nacional Mayor de San Marcos; Centre National de la Recherche Scientifique (CNRS); Sorbonne Universite; Centre National de la Recherche Scientifique (CNRS); University of Jyvaskyla; Monash University; Villanova University; Brigham Young University; Brigham Young University</t>
  </si>
  <si>
    <t>Martínez-Méndez, Norberto/AAB-2710-2021; Lara-Resendiz, Rafael A/K-3764-2013; Aguilar, Cesar/Q-6148-2018; Rocha, Carlos Frederico/A-6225-2013; Avila, Luciano/AFN-1475-2022; Aguilar Puntriano, Cesar/Q-6148-2018; Duarte Rocha, Carlos Frederico/A-6225-2013; Chapple, David/B-9073-2008; Massot, Manuel/AGH-2703-2022; Mendez, Fausto/O-3512-2018; Lara-Resendiz, Rafael/AAG-5451-2021; Gadsden, Hector/A-2066-2015; Morando, Mariana/AGA-6105-2022; Miles, Donald/AFW-0480-2022</t>
  </si>
  <si>
    <t>Lara-Resendiz, Rafael A/0000-0002-6922-0330; Martínez-Méndez, Norberto/0000-0002-4029-4387; Massot, Manuel/0000-0002-2762-4417; Miles, Donald/0000-0001-5768-179X; Calderón Espinosa, Martha/0000-0002-3602-013X; Bastiaans, Elizabeth/0000-0002-7322-1088; Aguilar Puntriano, Cesar/0000-0001-6372-7926; Duarte Rocha, Carlos Frederico/0000-0003-3000-1242; Chapple, David/0000-0002-7720-6280; Mendez, Fausto/0000-0002-5084-1276; Gadsden, Hector/0000-0002-1164-0578; Oksanen, Tuula/0000-0003-3481-6158; De la Riva, Ignacio/0000-0001-5064-4507; Avila, Luciano Javier/0000-0003-4641-6581</t>
  </si>
  <si>
    <t>Ferreira de Siqueira, Marinez/I-9205-2012; de Siqueira, Marinez/I-9205-2012; Peterson, A. Townsend/I-5697-2013; Peterson, A Townsend/I-5697-2013; Cameron, Alison/D-3911-2009; Willia, Stephen/A-7250-2008; Miles, Lera/C-7334-2009; Thomas, Chris/A-1894-2012; van Jaarsveld, Albert/H-5368-2013; Fapesp, Biota/F-8655-2017; Phillips, Oliver/A-1523-2011; Erasmus, Barend/G-3411-2012; Beaumont, Linda/D-5499-2012; Midgley, Guy/H-3585-2014; Williams, Stephen/A-7250-2008</t>
  </si>
  <si>
    <t>Ferreira de Siqueira, Marinez/0000-0002-6869-0293; Peterson, A Townsend/0000-0003-0243-2379; Cameron, Alison/0000-0001-8236-7954; Willia, Stephen/0000-0002-2510-7408; Miles, Lera/0000-0003-0377-5904; Thomas, Chris/0000-0003-2822-1334; Fapesp, Biota/0000-0002-9887-8449; Phillips, Oliver/0000-0002-8993-6168; Hughes, Lesley/0000-0003-0313-9780; Erasmus, Barend/0000-0003-1869-8091; Midgley, Guy/0000-0001-8264-0869; Beaumont, Linda/0000-0001-6307-1680</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</si>
  <si>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McGill University; Communaute Universite Grenoble Alpes; Universite Grenoble Alpes (UGA); Centre National de la Recherche Scientifique (CNRS); Universite Savoie Mont Blanc; CNRS - Institute of Ecology &amp; Environment (INEE)</t>
  </si>
  <si>
    <t>Nilsson, Christer/I-9407-2012; Nilsson, Christer/AAI-1354-2019; Jansson, Roland/B-7972-2013; Hof, Anouschka/V-5994-2019</t>
  </si>
  <si>
    <t>Nilsson, Christer/0000-0003-1186-8115; Jansson, Roland/0000-0003-1767-7010;</t>
  </si>
  <si>
    <t>Tewksbury, Josh/JJD-8034-2023</t>
  </si>
  <si>
    <t>Tewksbury, Joshua/0000-0002-9786-1477; Sheldon, Kimberly/0000-0002-3215-2223</t>
  </si>
  <si>
    <t>Peterson, A Townsend/I-5697-2013; Peterson, A. Townsend/I-5697-2013; Soberon, Jorge/N-7444-2015</t>
  </si>
  <si>
    <t>Peterson, A Townsend/0000-0003-0243-2379; Soberon, Jorge/0000-0003-2160-4148</t>
  </si>
  <si>
    <t>Dawson, Terence/E-4724-2011; Harrison, Paula/K-1519-2016; Pearson, Richard/GQH-2760-2022; Butt, Nathalie/B-3558-2014; del Barrio, Gabriel/D-3865-2013</t>
  </si>
  <si>
    <t>Dawson, Terence/0000-0002-4314-1378; Harrison, Paula/0000-0002-9873-3338; Sanjuán, María E/0000-0002-2430-6093; Berry, Pam/0000-0002-1201-072X; Butt, Nathalie/0000-0003-1517-6191; del Barrio, Gabriel/0000-0001-6146-9433</t>
  </si>
  <si>
    <t>New, Mark/A-7684-2008; Harrison, Paula/K-1519-2016; Butt, Nathalie/B-3558-2014</t>
  </si>
  <si>
    <t>New, Mark/0000-0001-6082-8879; Harrison, Paula/0000-0002-9873-3338; Berry, Pam/0000-0002-1201-072X; Butt, Nathalie/0000-0003-1517-6191</t>
  </si>
  <si>
    <t>Thuiller, Wilfried/G-3283-2010; Kühn, Ingolf/B-9756-2009; Klotz, Stefan/J-5866-2017; Kühn, Ingolf/B-9756-2009; Badeck, Franz/C-6722-2008; Badeck, Franz-Werner/C-6722-2008</t>
  </si>
  <si>
    <t>Kühn, Ingolf/0000-0003-1691-8249; Klotz, Stefan/0000-0003-4355-6415; Hanspach, Jan/0000-0002-6638-8699; Kühn, Ingolf/0000-0003-1691-8249; Badeck, Franz-Werner/0000-0001-7821-8825</t>
  </si>
  <si>
    <t>; Fausch, Kurt/A-8849-2010; Luce, Charles/A-9267-2008; Williams, Jack/JBJ-9584-2023; Dauwalter, Daniel/Z-2028-2019; Wenger, Seth/G-6594-2011</t>
  </si>
  <si>
    <t>Dauwalter, Daniel/0000-0003-3070-188X; Wenger, Seth/0000-0001-7858-960X; Luce, Charles/0000-0002-6938-9662;</t>
  </si>
  <si>
    <t>Kumar, Sunil/A-6730-2009; Mumtaz, Abdul Samad/A-1565-2019; Mumtaz, Abdul/A-1565-2019</t>
  </si>
  <si>
    <t>Mumtaz, Abdul Samad/0000-0002-7034-9203;</t>
  </si>
  <si>
    <t>de León, Gerardo/U-3869-2017; Pérez-Ponce de León, Gerardo/U-3869-2017; Martínez-Meyer, Enrique/AAZ-7352-2020</t>
  </si>
  <si>
    <t>Pérez-Ponce de León, Gerardo/0000-0001-6472-5113; Martínez-Meyer, Enrique/0000-0003-1184-9264</t>
  </si>
  <si>
    <t>Settele, Josef/A-6371-2009; Kühn, Ingolf/B-9756-2009; Schweiger, Oliver/B-4909-2008; Kühn, Ingolf/B-9756-2009; Klotz, Stefan/J-5866-2017</t>
  </si>
  <si>
    <t>Settele, Josef/0000-0002-8624-4983; Kühn, Ingolf/0000-0003-1691-8249; Schweiger, Oliver/0000-0001-8779-2335; Kühn, Ingolf/0000-0003-1691-8249; Klotz, Stefan/0000-0003-4355-6415</t>
  </si>
  <si>
    <t>Willia, Stephen/A-7250-2008; Williams, Stephen/A-7250-2008</t>
  </si>
  <si>
    <t>Willia, Stephen/0000-0002-2510-7408; Fox, Samantha/0000-0002-0371-3458</t>
  </si>
  <si>
    <t>Urban, Mark/Y-2430-2019; Crozier, Lisa/E-2248-2012; Buckley, Lauren/ABD-6759-2021</t>
  </si>
  <si>
    <t>Crozier, Lisa/0000-0001-7744-9525; Buckley, Lauren/0000-0003-1315-3818</t>
  </si>
  <si>
    <t>Zavala, Miguel/H-3603-2015; Zavala, Miguel A/H-3603-2015; Garzon, Marta/E-3622-2013; Alia, Ricardo/B-5160-2011; Robson, Thomas Matthew/J-3381-2012</t>
  </si>
  <si>
    <t>Zavala, Miguel A/0000-0003-1456-0132; Alia, Ricardo/0000-0002-9426-0967;</t>
  </si>
  <si>
    <t>Thomas, Chris/A-1460-2014; Hill, Jane/G-5151-2011; Thomas, Chris/A-1894-2012; Fox, Richard/G-3873-2011; Willis, Stephen/F-8503-2015</t>
  </si>
  <si>
    <t>2025-12-20</t>
  </si>
  <si>
    <t>; Grytnes, John-Arvid/L-6357-2013; Trivedi, Mandar/IQV-7534-2023; Normand, Signe/A-1561-2012; Albert, Cécile/AAA-5490-2019; Randin, Christophe/K-6969-2016; Thuiller, Wilfried/G-3283-2010; Bastos Araújo, Miguel/B-6117-2008; Randin, Christophe François/K-6969-2016; Pearman, Peter/C-6298-2011; Gegout, Jean-Claude/HKN-8801-2023; Choler, Philippe/A-7270-2008; Zimmermann, Niklaus/A-4276-2008; Guisan, Antoine/A-1057-2011; Sebastia, M./B-5479-2013; Araújo, Miguel/B-6117-2008; Stanisci, Angela/F-4725-2012; Theurillat, Jean-Paul/ABV-4830-2022; Sebastià, M Teresa/B-5479-2013; Puscas, Mihai/C-4689-2012; Coldea, Gheorghe/C-3929-2012; CHOLER, Philippe/A-7270-2008; Albert, Cécile/AAA-5490-2019; Engler, Robin/B-7912-2015</t>
  </si>
  <si>
    <t>Nogués-Bravo, David/0000-0002-4060-0153; Normand, Signe/0000-0002-8782-4154; Albert, Cécile/0000-0002-0991-1068; Theurillat, Jean-Paul/0000-0002-1843-5809; Vittoz, Pascal/0000-0003-4218-4517; Bastos Araújo, Miguel/0000-0002-5107-7265; Randin, Christophe François/0000-0002-4171-0178; Dullinger, Stefan/0000-0003-3919-0887; Pearman, Peter/0000-0002-0794-101X; Gegout, Jean-Claude/0000-0002-5760-9920; Puscas, Mihai/0000-0002-2632-640X; Zimmermann, Niklaus/0000-0003-3099-9604; Stanisci, Angela/0000-0002-5302-0932; Guisan, Antoine/0000-0002-3998-4815; Sebastià, M Teresa/0000-0002-9017-3575; Grytnes, John-Arvid/0000-0002-6365-9676; Dirnböck, Thomas/0000-0002-8294-0690; CHOLER, Philippe/0000-0002-9062-2721; Albert, Cécile/0000-0002-0991-1068; FORSTER, Philippe/0009-0002-2679-8316</t>
  </si>
  <si>
    <t>Anderson, Barbara J/E-6802-2012; Akcakaya, H./A-7830-2008; Anderson, Barbara/E-6802-2012; Martínez-Meyer, Enrique/AAZ-7352-2020; Fordham, Damien/E-9255-2013; Araújo, Miguel/B-6117-2008; Bastos Araújo, Miguel/B-6117-2008; Brook, Barry/G-2686-2011; Thuiller, Wilfried/G-3283-2010</t>
  </si>
  <si>
    <t>Anderson, Barbara J/0000-0003-1763-3616; Martínez-Meyer, Enrique/0000-0003-1184-9264; Fordham, Damien/0000-0003-2137-5592; Bastos Araújo, Miguel/0000-0002-5107-7265; Brook, Barry/0000-0002-2491-1517;</t>
  </si>
  <si>
    <t>Matthews, Stephen/D-1050-2012; Iverson, Louis/AAZ-3910-2020</t>
  </si>
  <si>
    <t>Matthews, Stephen/0000-0001-9175-7778; Peters, Matthew/0000-0002-4793-0075;</t>
  </si>
  <si>
    <t>Hill, Jane/G-5151-2011; Thomas, Chris/A-1894-2012; Thomas, Chris/A-1460-2014; Willis, Stephen/F-8503-2015; Fox, Richard/G-3873-2011</t>
  </si>
  <si>
    <t>Thomas, Chris/0000-0003-2822-1334; Fox, Richard/0000-0001-6992-3522; Willis, Stephen/0000-0002-8656-5808;</t>
  </si>
  <si>
    <t>Fitzpatrick, Matt/F-7620-2010; Dunn, Robert/B-1360-2013; Sanders, Nathan/A-6945-2009; Sanders, Nathan/ABE-4335-2020</t>
  </si>
  <si>
    <t>Psomas, Achilleas/M-1141-2013; Plutzar, Christoph/J-6055-2015; Fischer, Anton/E-9941-2017; Svenning, Jens-Christian/C-8977-2012; Thuiller, Wilfried/G-3283-2010; Willner, Wolfgang/AAA-4822-2019; Zimmermann, Niklaus/A-4276-2008; Guisan, Antoine/A-1057-2011; CACCIANIGA, MARCO STEFANO/B-1025-2017; Šilc, Urban/ABC-8488-2021; Lenoir, Jonathan/AAE-8441-2019; Hülber, Karl/H-7822-2019; Schmatz, Dirk/L-7281-2013</t>
  </si>
  <si>
    <t>Hülber, Karl/0000-0001-9274-1647; Plutzar, Christoph/0000-0003-2041-6399; Moser, Dietmar/0000-0002-2745-7508; Fischer, Anton/0000-0002-6781-2594; Svenning, Jens-Christian/0000-0002-3415-0862; Zimmermann, Niklaus/0000-0003-3099-9604; Willner, Wolfgang/0000-0003-1591-8386; Leitner, Michael/0000-0002-4975-6787; Guisan, Antoine/0000-0002-3998-4815; Vittoz, Pascal/0000-0003-4218-4517; CACCIANIGA, MARCO STEFANO/0000-0001-9715-1830; Dirnböck, Thomas/0000-0002-8294-0690; Dullinger, Stefan/0000-0003-3919-0887; Šilc, Urban/0000-0002-3052-699X; Schmatz, Dirk/0000-0002-8198-6136</t>
  </si>
  <si>
    <t>Centre National de la Recherche Scientifique (CNRS); CNRS - Institute of Ecology &amp; Environment (INEE); Communaute Universite Grenoble Alpes; Universite Grenoble Alpes (UGA); Universite Savoie Mont Blanc; South African National Biodiversity Institute; University of Lausanne; Netherlands National Institute for Public Health &amp; the Environment</t>
  </si>
  <si>
    <t>Alkemade, Rob/U-3663-2017; Alkemade, R./U-3663-2017; Midgley, Guy/H-3585-2014; Thuiller, Wilfried/G-3283-2010; Broennimann, Olivier/D-3495-2011</t>
  </si>
  <si>
    <t>Alkemade, Rob/0000-0001-8761-1768; Brönnimann, Olivier/0000-0001-5394-4564; Broennimann, Olivier/0000-0001-9913-3695; Midgley, Guy/0000-0001-8264-0869;</t>
  </si>
  <si>
    <t>Peterson, A Townsend/I-5697-2013; Thomas, Chris/A-1894-2012; Cameron, Alison/D-3911-2009; Beaumont, Linda/D-5499-2012; Midgley, Guy/H-3585-2014; de Siqueira, Marinez/I-9205-2012; Williams, Stephen/A-7250-2008; Erasmus, Barend/G-3411-2012; van Jaarsveld, Albert/H-5368-2013; Fapesp, Biota/F-8655-2017; Ferreira de Siqueira, Marinez/I-9205-2012; Peterson, A. Townsend/I-5697-2013; Miles, Lera/C-7334-2009; Willia, Stephen/A-7250-2008; Phillips, Oliver/A-1523-2011</t>
  </si>
  <si>
    <t>Peterson, A Townsend/0000-0003-0243-2379; Thomas, Chris/0000-0003-2822-1334; Hughes, Lesley/0000-0003-0313-9780; Cameron, Alison/0000-0001-8236-7954; Midgley, Guy/0000-0001-8264-0869; Beaumont, Linda/0000-0001-6307-1680; Erasmus, Barend/0000-0003-1869-8091; Fapesp, Biota/0000-0002-9887-8449; Ferreira de Siqueira, Marinez/0000-0002-6869-0293; Miles, Lera/0000-0003-0377-5904; Willia, Stephen/0000-0002-2510-7408; Phillips, Oliver/0000-0002-8993-6168</t>
  </si>
  <si>
    <t>Kueppers, Lara/0000-0002-8134-3579; Snyder, Mark/0000-0001-8242-7697</t>
  </si>
  <si>
    <t>Zimmermann, Niklaus/A-4276-2008; Pearman, Peter/C-6298-2011; Thuiller, Wilfried/G-3283-2010; Randin, Christophe/K-6969-2016; Randin, Christophe François/K-6969-2016; Engler, Robin/B-7912-2015; Normand, Signe/A-1561-2012; Guisan, Antoine/A-1057-2011; Zappa, Massimiliano/C-1205-2009</t>
  </si>
  <si>
    <t>Zimmermann, Niklaus/0000-0003-3099-9604; Pearman, Peter/0000-0002-0794-101X; Randin, Christophe François/0000-0002-4171-0178; Normand, Signe/0000-0002-8782-4154; Guisan, Antoine/0000-0002-3998-4815; Zappa, Massimiliano/0000-0002-2837-8190</t>
  </si>
  <si>
    <t>Randin, Christophe François/K-6969-2016; Engler, Robin/B-7912-2015; Randin, Christophe/K-6969-2016; Guisan, Antoine/A-1057-2011; Zimmermann, Niklaus/A-4276-2008</t>
  </si>
  <si>
    <t>Randin, Christophe François/0000-0002-4171-0178; BENISTON, Martin/0000-0002-3782-5458; Vittoz, Pascal/0000-0003-4218-4517; Guisan, Antoine/0000-0002-3998-4815; Zimmermann, Niklaus/0000-0003-3099-9604</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</si>
  <si>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University of Evora; Communaute Universite Grenoble Alpes; Universite Grenoble Alpes (UGA); Centre National de la Recherche Scientifique (CNRS); Universite Savoie Mont Blanc; CNRS - Institute of Ecology &amp; Environment (INEE); University of Oxford; Lund University; University of Bristol</t>
  </si>
  <si>
    <t>Thuiller, Wilfried/G-3283-2010; Lavorel, Sandra/AGM-2903-2022; Bastos Araújo, Miguel/B-6117-2008; Araújo, Miguel/B-6117-2008</t>
  </si>
  <si>
    <t>Bailey, David/A-6240-2008; Webb, Karen/A-5977-2010</t>
  </si>
  <si>
    <t>Bailey, David/0000-0002-0824-8823;</t>
  </si>
  <si>
    <t>Williams, Jack/JBJ-9584-2023; Luce, Charles/A-9267-2008; Wenger, Seth/G-6594-2011; Dauwalter, Daniel/Z-2028-2019; Fausch, Kurt/A-8849-2010</t>
  </si>
  <si>
    <t>Şekercioğlu, Çağan H/A-1273-2007; Loarie, Scott/D-2610-2009; Sekercioglu, Cagan/A-2331-2013</t>
  </si>
  <si>
    <t>Şekercioğlu, Çağan H/0000-0003-3193-0377; Fay, John/0000-0002-1871-7582;</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</si>
  <si>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McGill University; Communaute Universite Grenoble Alpes; Universite Grenoble Alpes (UGA); Centre National de la Recherche Scientifique (CNRS); Universite Savoie Mont Blanc; CNRS - Institute of Ecology &amp; Environment (INEE)</t>
  </si>
  <si>
    <t>Midgley, Guy/H-3585-2014; Thuiller, Wilfried/G-3283-2010; Simmons, Robert/AAE-3915-2020</t>
  </si>
  <si>
    <t>Midgley, Guy/0000-0001-8264-0869; Simmons, Robert/0000-0003-4964-8126;</t>
  </si>
  <si>
    <t>Bond, Nick/0000-0003-4294-6008; Reich, Paul/0000-0003-1192-5909; Bond, Nick/0000-0003-4294-6008; Stein, Janet/0000-0002-0475-0410</t>
  </si>
  <si>
    <t>Kühn, Ingolf/B-9756-2009; Kühn, Ingolf/B-9756-2009; Schweiger, Oliver/B-4909-2008; Klotz, Stefan/J-5866-2017; Settele, Josef/A-6371-2009</t>
  </si>
  <si>
    <t>Kühn, Ingolf/0000-0003-1691-8249; Kühn, Ingolf/0000-0003-1691-8249; Schweiger, Oliver/0000-0001-8779-2335; Klotz, Stefan/0000-0003-4355-6415; Settele, Josef/0000-0002-8624-4983</t>
  </si>
  <si>
    <t>Rahbek, Carsten/L-1129-2013; Hilton, Geoff/H-3086-2017; Willis, Stephen/F-8503-2015</t>
  </si>
  <si>
    <t>Rahbek, Carsten/0000-0003-4585-0300; Hilton, Geoff/0000-0001-9062-3030; Willis, Stephen/0000-0002-8656-5808</t>
  </si>
  <si>
    <t>Institut de Recherche pour le Developpement (IRD); Centre National de la Recherche Scientifique (CNRS); Ifremer; Universite de Montpellier; Ifremer; Institut de Recherche pour le Developpement (IRD); Universite de Montpellier; University of Evora; Universite de Carthage; Meteo France; Puertos del Estado; James Cook University; ARC Centre of Excellence for Coral Reef Studies</t>
  </si>
  <si>
    <t>Guilhaumon, François/C-3240-2009; Le Loc'h, François/A-5038-2008; Leprieur, Fabien/ABA-4433-2020; Mouillot, David/HCH-5670-2022; Somot, Samuel/A-7585-2008; albouy, camille/H-9317-2012</t>
  </si>
  <si>
    <t>Le Loc'h, François/0000-0002-3372-6997; Ben Rais Lasram, Frida/0000-0003-3327-908X; Aznar, Roland/0000-0002-9793-1834; Somot, Samuel/0000-0002-5066-2921; velez, laure/0000-0001-9555-6770; albouy, camille/0000-0003-1629-2389; Guilhaumon, François/0000-0003-4707-8932</t>
  </si>
  <si>
    <t>University of California System; University of California Santa Cruz; Universidad Nacional Autonoma de Mexico; University System of Ohio; Ohio University; Centre National de la Recherche Scientifique (CNRS); CNRS - Institute of Ecology &amp; Environment (INEE); Universidad Nacional Autonoma de Mexico; Universidad Nacional de Colombia; Instituto de Ecologia - Mexico; Consejo Nacional de Investigaciones Cientificas y Tecnicas (CONICET); Centro Nacional Patagonico (CENPAT); Consejo Superior de Investigaciones Cientificas (CSIC); CSIC - Museo Nacional de Ciencias Naturales (MNCN); Universidad de Concepcion; Universidade do Estado do Rio de Janeiro; Universidad Nacional del Comahue; Consejo Nacional de Investigaciones Cientificas y Tecnicas (CONICET); Universidad Nacional Mayor de San Marcos; Centre National de la Recherche Scientifique (CNRS); Sorbonne Universite; Centre National de la Recherche Scientifique (CNRS); University of Jyvaskyla; Monash University; Villanova University; Brigham Young University; Brigham Young University</t>
  </si>
  <si>
    <t>; Martínez-Méndez, Norberto/AAB-2710-2021; Lara-Resendiz, Rafael A/K-3764-2013; Morando, Mariana/AGA-6105-2022; Rocha, Carlos Frederico/A-6225-2013; Chapple, David/B-9073-2008; Lara-Resendiz, Rafael/AAG-5451-2021; Gadsden, Hector/A-2066-2015; Duarte Rocha, Carlos Frederico/A-6225-2013; Massot, Manuel/AGH-2703-2022; Aguilar Puntriano, Cesar/Q-6148-2018; Miles, Donald/AFW-0480-2022; Mendez, Fausto/O-3512-2018; Aguilar, Cesar/Q-6148-2018; Avila, Luciano/AFN-1475-2022</t>
  </si>
  <si>
    <t>Martínez-Méndez, Norberto/0000-0002-4029-4387; Lara-Resendiz, Rafael A/0000-0002-6922-0330; Bastiaans, Elizabeth/0000-0002-7322-1088; Oksanen, Tuula/0000-0003-3481-6158; De la Riva, Ignacio/0000-0001-5064-4507; Massot, Manuel/0000-0002-2762-4417; Chapple, David/0000-0002-7720-6280; Gadsden, Hector/0000-0002-1164-0578; Duarte Rocha, Carlos Frederico/0000-0003-3000-1242; Aguilar Puntriano, Cesar/0000-0001-6372-7926; Avila, Luciano Javier/0000-0003-4641-6581; Calderón Espinosa, Martha/0000-0002-3602-013X; Mendez, Fausto/0000-0002-5084-1276; Miles, Donald/0000-0001-5768-179X</t>
  </si>
  <si>
    <t>Brehm, Gunnar/D-5831-2013; Colwell, Robert K./OXB-4625-2025; Cardelus, Catherine/ABA-8409-2020</t>
  </si>
  <si>
    <t>Nilsson, Christer/I-9407-2012; Nilsson, Christer/AAI-1354-2019; Hof, Anouschka/V-5994-2019; Jansson, Roland/B-7972-2013</t>
  </si>
  <si>
    <t>; Chu, C/C-9091-2009; Minns, Charles/GYU-2209-2022</t>
  </si>
  <si>
    <t>; Mellin, Camille/X-9161-2019; Akcakaya, H./A-7830-2008; Brook, Barry/G-2686-2011; Bastos Araújo, Miguel/B-6117-2008; Watts, Michael/A-9139-2010; Pearson, Richard/GQH-2760-2022; Elith, Jane/F-2022-2015; Araújo, Miguel/B-6117-2008; Fordham, Damien/E-9255-2013</t>
  </si>
  <si>
    <t>wintle, brendan/0000-0002-4234-5950; Brook, Barry/0000-0002-2491-1517; Bastos Araújo, Miguel/0000-0002-5107-7265; Watts, Michael/0000-0003-1559-3091; Elith, Jane/0000-0002-8706-0326; Keith, David/0000-0002-7627-4150; Auld, Tony/0000-0002-8766-2829; Mellin, Camille/0000-0002-7369-2349; Fordham, Damien/0000-0003-2137-5592</t>
  </si>
  <si>
    <t>Australian Research Council (ARC) [LP0989420, FT0991640, FT100100819]; National Aeronautics and Space Administration through the NASA [NNX09AK19G]; Portuguese FCT [PTDC/AAC-AMB/98163/2008]; [LP0989537]; Australian Research Council [LP0989420, FT100100819, FT0991640] Funding Source: Australian Research Council</t>
  </si>
  <si>
    <t>FAHD, Soumia/L-6196-2013; Martínez-Freiría, Fernando/L-7075-2013; Fahd, Soumia/L-6196-2013; Brito, José/A-7831-2010; Brito, José Carlos/A-7831-2010</t>
  </si>
  <si>
    <t>Martínez-Freiría, Fernando/0000-0003-2311-8960; Fahd, Soumia/0000-0002-4464-4145; Brito, José Carlos/0000-0001-5444-8132</t>
  </si>
  <si>
    <t>Dye, Stephen/C-9456-2011; Pinnegar, John/C-4400-2012; Salvador, Jose/AAH-7939-2019; Frölicher, Thomas/E-5137-2015; Warren, Rachel/G-9997-2011; Cheung, William/F-5104-2013; , William/F-5104-2013</t>
  </si>
  <si>
    <t>Dye, Stephen/0000-0002-4182-8475; Frölicher, Thomas/0000-0003-2348-7854; Pinnegar, John/0000-0001-5061-9520; Warren, Rachel/0000-0002-0122-1599; , William/0000-0003-3626-1045</t>
  </si>
  <si>
    <t>Liu, Canran/AAI-1872-2020; Neilson, Ronald/A-8588-2009</t>
  </si>
  <si>
    <t>; Munoz, Jesus/B-7809-2008; Guillén, Rosa/Q-5714-2018; Rodriguez-Tapia, Gerardo/GZM-8933-2022; Sánchez Guillén, Rosa Ana/Q-5714-2018</t>
  </si>
  <si>
    <t>Muñoz, Jesús/0000-0002-9266-2268; Córdoba-Aguilar, Alex/0000-0002-5978-1660; Sánchez Guillén, Rosa Ana/0000-0001-6024-8321; Rodríguez-Tapia, Gerardo/0000-0003-0953-7755</t>
  </si>
  <si>
    <t>Pearson, Richard/GQH-2760-2022; Harrison, Paula/K-1519-2016; Dawson, Terence/E-4724-2011; del Barrio, Gabriel/D-3865-2013; Butt, Nathalie/B-3558-2014</t>
  </si>
  <si>
    <t>Sanjuán, María E/0000-0002-2430-6093; Berry, Pam/0000-0002-1201-072X; Harrison, Paula/0000-0002-9873-3338; Dawson, Terence/0000-0002-4314-1378; del Barrio, Gabriel/0000-0001-6146-9433; Butt, Nathalie/0000-0003-1517-6191</t>
  </si>
  <si>
    <t>VanDerWal, Jeremy/C-7457-2009; Willia, Stephen/A-7250-2008; Williams, Stephen/A-7250-2008; Shoo, Luke/A-2715-2009; Warren, Rachel/G-9997-2011; Jarvis, Andy/K-5516-2013; atkinson, ian/H-1806-2011; Osborn, Timothy/E-9740-2011; Lowe, Jason/GQI-4036-2022; Ramirez-Villegas, Julian/AAY-8073-2020; Welbergen, Justin/AGN-0091-2022</t>
  </si>
  <si>
    <t>Willia, Stephen/0000-0002-2510-7408; Jarvis, Andy/0000-0001-6543-0798; Osborn, Timothy/0000-0001-8425-6799; Welbergen, Justin/0000-0002-8085-5759; Warren, Rachel/0000-0002-0122-1599; Atkinson, Ian/0000-0002-2295-6818; Ramirez-Villegas, Julian/0000-0002-8044-583X; VanDerWal, Jeremy/0000-0001-7439-8953;</t>
  </si>
  <si>
    <t>; Şekercioğlu, Çağan H/A-1273-2007; Akcakaya, H./A-7830-2008; Mace, Georgina/I-3072-2016; Butchart, Stuart/Y-2711-2018; Holland, Robert/C-1928-2012; Mace, Georgina/I-3072-2016; Sekercioglu, Cagan/A-2331-2013; Garnett, Stephen/M-3877-2013</t>
  </si>
  <si>
    <t>Butchart, Stuart/0000-0002-1140-4049; Şekercioğlu, Çağan H/0000-0003-3193-0377; Mace, Georgina/0000-0001-8965-5211; Holland, Robert/0000-0002-5927-9160; Hughes, Aian/0000-0002-0807-6646; Holland, Robert/0000-0002-3038-9227; Mace, Georgina/0000-0001-8965-5211; Garnett, Stephen/0000-0002-0724-7060</t>
  </si>
  <si>
    <t>Pérez-Ponce de León, Gerardo/U-3869-2017; Martínez-Meyer, Enrique/AAZ-7352-2020; de León, Gerardo/U-3869-2017</t>
  </si>
  <si>
    <t>Pérez-Ponce de León, Gerardo/0000-0001-6472-5113; Martínez-Meyer, Enrique/0000-0003-1184-9264;</t>
  </si>
  <si>
    <t>Araújo, Miguel/B-6117-2008; Cabeza, Mar/ABC-4297-2020; Bastos Araújo, Miguel/B-6117-2008; Thuiller, Wilfried/G-3283-2010</t>
  </si>
  <si>
    <t>Cabeza, Mar/0000-0002-7410-7631; Bastos Araújo, Miguel/0000-0002-5107-7265;</t>
  </si>
  <si>
    <t>Mumtaz, Abdul/A-1565-2019; Mumtaz, Abdul Samad/A-1565-2019; Kumar, Sunil/A-6730-2009</t>
  </si>
  <si>
    <t>Domisch, Sami/E-5745-2011; Jähnig, Sonja/D-7126-2011; Bonada, Núria/L-5137-2015; Jähnig, Sonja C/D-7126-2011; Haase, Peter/A-5644-2011; Bastos Araújo, Miguel/B-6117-2008; Pauls, Steffen/C-2192-2011; Araújo, Miguel/B-6117-2008</t>
  </si>
  <si>
    <t>Bonada, Núria/0000-0002-2983-3335; Jähnig, Sonja C/0000-0002-6349-9561; Bastos Araújo, Miguel/0000-0002-5107-7265; Domisch, Sami/0000-0002-8127-9335; Pauls, Steffen/0000-0002-6451-3425;</t>
  </si>
  <si>
    <t>Finnish Environment Institute; University of Oulu; Finnish Environment Institute; Helmholtz Association; Helmholtz Center for Environmental Research (UFZ); Finnish Environment Institute; Communaute Universite Grenoble Alpes; Universite Grenoble Alpes (UGA); Centre National de la Recherche Scientifique (CNRS); Universite Savoie Mont Blanc; CNRS - Institute of Ecology &amp; Environment (INEE)</t>
  </si>
  <si>
    <t>Pöyry, Juha/B-7487-2013; Settele, Josef/A-6371-2009; Luoto, Miska/E-6693-2014; Fronzek, Stefan/W-5724-2019; Thuiller, Wilfried/G-3283-2010; Heikkinen, Risto/AAN-6257-2020</t>
  </si>
  <si>
    <t>Pöyry, Juha/0000-0002-5548-1046; Settele, Josef/0000-0002-8624-4983; Luoto, Miska/0000-0001-6203-5143; Fronzek, Stefan/0000-0003-2478-8050;</t>
  </si>
  <si>
    <t>Jetz, Walter/ABF-1517-2020</t>
  </si>
  <si>
    <t>Wilcove, David S/0000-0002-1354-0503; Jetz, Walter/0000-0002-1971-7277</t>
  </si>
  <si>
    <t>Alia, Ricardo/B-5160-2011; Zavala, Miguel/H-3603-2015; Garzon, Marta/E-3622-2013; Zavala, Miguel A/H-3603-2015; Robson, Thomas Matthew/J-3381-2012</t>
  </si>
  <si>
    <t>Alia, Ricardo/0000-0002-9426-0967; Zavala, Miguel A/0000-0003-1456-0132;</t>
  </si>
  <si>
    <t>Peterson, A. Townsend/I-5697-2013; Peterson, A Townsend/I-5697-2013; Soberon, Jorge/N-7444-2015</t>
  </si>
  <si>
    <t>; Cawsey, Edith/C-9594-2011</t>
  </si>
  <si>
    <t>Hughes, Lesley/0000-0003-0313-9780; Westoby, Mark/0000-0001-7690-4530;</t>
  </si>
  <si>
    <t>112 Records Returned</t>
  </si>
  <si>
    <t>109 records as part of label dataset</t>
  </si>
  <si>
    <t>DO = (
"10.1111/gcb.12289" OR
"10.1111/j.1461-0248.2011.01689.x" OR
"10.1111/j.1365-2486.2010.02393.x" OR
"10.1098/rspb.2008.1681" OR
"10.3170/2008-7-18348" OR
"10.1111/j.1365-2486.2007.01527.x" OR
"10.1016/j.foreco.2007.07.023" OR
"10.1007/s10531-007-9181-7" OR
"10.1111/j.1523-1739.2007.00719.x" OR
"10.1098/rspb.2002.2134" OR
"10.1111/j.1366-9516.2006.00273.x" OR
"10.1007/s10113-013-0425-7" OR
"10.1046/j.1365-2486.2003.00616.x" OR
"10.1046/j.1365-2486.2002.00490.x" OR
"10.1111/jbi.12289" OR
"10.1098/rsbl.2008.0231" OR
"10.1371/journal.pone.0002502" OR
"10.1111/j.1365-2486.2008.01559.x" OR
"10.1046/j.1523-1739.1992.06030409.x" OR
"10.1098/rspb.2003.2464" OR
"10.1038/NCLIMATE1514" OR
"10.1111/j.1365-2486.2006.01231.x" OR
"10.1111/j.1365-2486.2006.01115.x" OR
"10.1038/nature02121" OR
"10.1023/A:1024847723344" OR
"10.1111/j.1365-2427.2011.02631.x" OR
"10.1007/s00027-009-9159-5" OR
"10.1016/j.jnc.2006.09.001" OR
"10.1073/pnas.0501427102" OR
"10.1046/j.1365-2699.1998.251192.x" OR
"10.1111/j.1365-2486.2008.01766.x" OR
"10.1111/j.1600-0587.2009.05789.x" OR
"10.1371/journal.pone.0001439" OR
"10.1016/j.gloenvcha.2005.11.001" OR
"10.1073/pnas.0409902102" OR
"10.1111/j.0269-8463.2004.00903.x" OR
"10.1073/pnas.1103097108" OR
"10.1111/j.1523-1739.2007.00852.x" OR
"10.1111/j.0906-7590.2004.03823.x" OR
"10.1007/s10113-012-0344-z" OR
"10.1371/journal.pone.0063883" OR
"10.1111/j.1365-2486.2012.02641.x" OR
"10.1016/j.foreco.2011.03.036" OR
"10.1111/j.1472-4642.2009.00623.x" OR
"10.1890/08-0134.1" OR
"10.1086/523949" OR
"10.1007/s10531-007-9152-z" OR
"10.2989/00306520409485458" OR
"10.1071/MF10286" OR
"10.1890/07-1748.1" OR
"10.1007/s10531-005-1345-8" OR
"10.1111/j.1474-919X.2006.00523.x" OR
"10.1111/jbi.12013" OR
"10.1073/pnas.1116791109" OR
"10.1111/j.1749-4877.2010.00198.x" OR
"10.1126/science.1184695" OR
"10.1126/science.1162547" OR
"10.1046/j.1365-2656.2001.00480.x" OR
"10.1016/0006-3207(94)00016-J" OR
"10.1371/journal.pone.0052574" OR
"10.1371/journal.pone.0029507" OR
"10.1111/j.1365-2486.2009.02021.x" OR
"10.1007/s10531-011-0140-y" OR
"10.1111/j.1366-9516.2005.00153.x" OR
"10.1046/j.1365-2486.1997.00093.x" OR
"10.1111/j.1365-2486.2011.02614.x" OR
"10.1111/j.1472-4642.2011.00827.x" OR
"10.1086/588171" OR
"10.1111/j.1365-2745.2008.01369.x" OR
"10.1016/j.biocon.2008.03.007" OR
"10.1046/j.1365-2486.2002.00502.x" OR
"10.4319/lo.1996.41.5.1109" OR
"10.1016/S0006-3207(02)00414-7" OR
"10.1016/j.biocon.2013.02.001" OR
"10.1111/j.1366-9516.2006.00216.x" OR
"10.1139/Z04-064" OR
"10.1111/j.1365-2486.2011.02623.x" OR
"10.1111/j.1461-0248.2011.01681.x" OR
"10.1111/j.1365-2486.2006.01191.x" OR
"10.1016/j.biocon.2005.04.003" OR
"10.1007/s00114-013-1088-4" OR
"10.1371/journal.pone.0054216" OR
"10.1111/j.1523-1739.2007.00814.x" OR
"10.1111/j.1523-1739.2006.00364.x" OR
"10.1371/journal.pone.0080531" OR
"10.1016/j.envsci.2005.11.005" OR
"10.1111/j.1365-2486.2005.00997.x" OR
"10.1111/ddi.12011" OR
"10.1111/j.1466-822X.2004.00105.x" OR
"10.1046/j.1466-822X.2002.00307.x" OR
"10.1023/A:1005483507351" OR
"10.1038/NCLIMATE1887" OR
"10.1371/journal.pone.0065427" OR
"10.1111/j.1365-2486.2007.01357.x" OR
"10.1016/j.ecolmodel.2003.07.012" OR
"10.1111/j.1365-2486.2008.01596.x" OR
"10.1111/j.1744-7429.2005.00027.x" OR
"10.1111/j.1365-2486.2004.00828.x" OR
"10.1016/j.actao.2013.02.007" OR
"10.1038/NCLIMATE1191" OR
"10.1111/gcb.12107" OR
"10.1007/s10531-009-9728-x" OR
"10.1016/j.agee.2008.01.013" OR
"10.1371/journal.pbio.0050157" OR
"10.1111/j.1466-8238.2010.00646.x" OR
"10.1016/j.ecolmodel.2005.01.030" OR
"10.1038/416626a" OR
"10.1007/s10584-005-9014-1" OR
"10.1016/j.envsci.2005.11.003" OR
"10.2307/2997467" OR
"10.2307/2845830"
)
or TI = (
"African plant diversity and climate change" 
)</t>
  </si>
  <si>
    <t>DT=(Article)</t>
  </si>
  <si>
    <t>AND WC=(</t>
  </si>
  <si>
    <t>Biodiversity Conservation OR</t>
  </si>
  <si>
    <t>Ecology OR</t>
  </si>
  <si>
    <t>Environmental Sciences OR</t>
  </si>
  <si>
    <t>Environmental Studies OR</t>
  </si>
  <si>
    <t>Marine &amp; Freshwater Biology OR</t>
  </si>
  <si>
    <t>Fisheries OR</t>
  </si>
  <si>
    <t>Oceanography OR</t>
  </si>
  <si>
    <t>Forestry OR</t>
  </si>
  <si>
    <t>Water Resources OR</t>
  </si>
  <si>
    <t>Agronomy OR</t>
  </si>
  <si>
    <t>Geosciences, Multidisciplinary OR</t>
  </si>
  <si>
    <t>Meteorology &amp; Atmospheric Sciences OR</t>
  </si>
  <si>
    <t>Plant Sciences OR</t>
  </si>
  <si>
    <t>Zoology OR</t>
  </si>
  <si>
    <t>Remote Sensing OR</t>
  </si>
  <si>
    <t>)</t>
  </si>
  <si>
    <t>AND TS=(</t>
  </si>
  <si>
    <t>(</t>
  </si>
  <si>
    <t>loss* NEAR/3 (habitat* OR biodiversit* OR species OR population*</t>
  </si>
  <si>
    <t>OR "ecosystem service*" OR ecosystem* OR forest* OR coral*</t>
  </si>
  <si>
    <t>OR mangrove* OR reef* OR wetland* OR bird* OR mammal* OR plant*)</t>
  </si>
  <si>
    <t>OR</t>
  </si>
  <si>
    <t>change* OR reference*   OR indicator* OR impact* OR effect*  OR pressure* OR trend* OR response* OR status  OR pattern* OR assessment* OR monitor*  OR risk* OR driver*</t>
  </si>
  <si>
    <t>AND</t>
  </si>
  <si>
    <t>(“land use chang*” OR “land cover chang*” OR “land* system* chang*” OR “land*</t>
  </si>
  <si>
    <t>chang*” OR “land* degradation” OR “land* conversion” OR “land management”) OR</t>
  </si>
  <si>
    <t>((marine OR ocean OR sea*) AND use AND change*) OR (“habitat loss*” OR “habitat</t>
  </si>
  <si>
    <t>degradation*” OR “habitat chang*” OR “habitat conversion” OR “habitat modification*” OR</t>
  </si>
  <si>
    <t>“habitat fragmentation” OR “habitat management”) OR (biofuel* OR biogas*) OR</t>
  </si>
  <si>
    <t>((residential OR urban* OR cities OR housing OR commercial OR industrial OR touris* OR</t>
  </si>
  <si>
    <t>recreation*) AND (extent OR area OR cover* OR proportion* OR percentage*) AND</t>
  </si>
  <si>
    <t>(develop* OR expan* OR increas*)) OR (deforestation OR afforestation OR “wood</t>
  </si>
  <si>
    <t>plantation*” OR “forest* plantation*” OR “pulp* plantation*”) OR ((aquaculture* OR</t>
  </si>
  <si>
    <t>agricultur* OR crop* OR “cultivated area*” OR farmland OR pasture) AND (develop* OR</t>
  </si>
  <si>
    <t>expan* OR increas* OR intensification OR extensification OR abandon* OR chang*)) OR</t>
  </si>
  <si>
    <t>(livestock AND (farm* OR ranch* OR graz* OR densit*)) OR (energy AND (drill* OR min*</t>
  </si>
  <si>
    <t>OR quarry*)) OR (((transport* OR service) AND (network* OR corridor* OR</t>
  </si>
  <si>
    <t>infrastructure*)) OR road* OR rail* OR “ship* lane*” OR “flight path*”) OR (“system*</t>
  </si>
  <si>
    <t>modification*” OR (dams OR (water AND (management OR use))))</t>
  </si>
  <si>
    <t>((((natur* AND resource*) OR material* OR (biomass OR “fossil fuel*” OR ore* OR</t>
  </si>
  <si>
    <t>mineral*)) OR ((biological AND resource*) OR wildlife OR animal* OR plant* OR</t>
  </si>
  <si>
    <t>population*) OR water) AND ((overextraction OR overexploitation) OR (extraction OR</t>
  </si>
  <si>
    <t>exploitation OR withdraw*) OR depletion OR (hunting OR collect* OR gather* OR poaching</t>
  </si>
  <si>
    <t>OR “bush meat*”))) OR ((forest* OR wood OR timber*) AND (harvest* OR logging*)) OR</t>
  </si>
  <si>
    <t>(soil* AND (erosion OR acidification OR degradation)) OR (fisher* OR fishing OR (bycatch</t>
  </si>
  <si>
    <t>OR by-catch))</t>
  </si>
  <si>
    <t>“climat* change” OR “chang* climat*” OR (“increase* temperature*” OR “thermal</t>
  </si>
  <si>
    <t>alteration” OR “global warming”) OR (chang* AND precipitation*) OR ((extreme OR</t>
  </si>
  <si>
    <t>severe) AND (weather OR temperature OR precipitation OR climat*)) OR heatwave* OR</t>
  </si>
  <si>
    <t>drought* OR storm* OR flood* OR (UV OR ultraviolet) OR “sea level rise” OR “soil</t>
  </si>
  <si>
    <t>salinization” OR (“habitat shift*” AND climate) OR (“habitat alteration” AND climate) OR</t>
  </si>
  <si>
    <t>((consumptive OR human OR agricultural) AND “water stress”)</t>
  </si>
  <si>
    <t>(pollut* OR contamin* OR emission* OR spill-over* OR disposal* OR deposition* OR</t>
  </si>
  <si>
    <t>load* OR dump* OR discharge*) OR ((noise OR light OR gas* OR particle* OR particulate*</t>
  </si>
  <si>
    <t>OR nitrogen OR sulphur* OR phosphor* OR waste* OR garbage OR sewage OR pesticide*</t>
  </si>
  <si>
    <t>OR fertilizer* OR nutrient* OR “oil spill*” OR metal OR salinization OR salinisation OR</t>
  </si>
  <si>
    <t>acidification OR solid OR plastic OR mercury OR nutrient* OR pollutant*) AND (soil OR</t>
  </si>
  <si>
    <t>water OR ocean OR marine OR atmosphere OR air)) OR ((industrial OR military OR</t>
  </si>
  <si>
    <t>agricultur* OR forest*) AND effluent*)</t>
  </si>
  <si>
    <t>((invasive OR invasion) AND (alien OR exotic OR non-native OR pest* OR disease) AND</t>
  </si>
  <si>
    <t>species) OR “biological invasion*” OR (introduc* AND (species OR material))</t>
  </si>
  <si>
    <t>AND (</t>
  </si>
  <si>
    <t>DO = (</t>
  </si>
  <si>
    <t>10.1111/gcb.12289 OR</t>
  </si>
  <si>
    <t>10.1111/j.1461-0248.2011.01689.x OR</t>
  </si>
  <si>
    <t>10.1111/j.1365-2486.2010.02393.x OR</t>
  </si>
  <si>
    <t>10.1098/rspb.2008.1681 OR</t>
  </si>
  <si>
    <t>10.3170/2008-7-18348 OR</t>
  </si>
  <si>
    <t>10.1111/j.1365-2486.2007.01527.x OR</t>
  </si>
  <si>
    <t>10.1016/j.foreco.2007.07.023 OR</t>
  </si>
  <si>
    <t>10.1007/s10531-007-9181-7 OR</t>
  </si>
  <si>
    <t>10.1111/j.1523-1739.2007.00719.x OR</t>
  </si>
  <si>
    <t>10.1098/rspb.2002.2134 OR</t>
  </si>
  <si>
    <t>10.1111/j.1366-9516.2006.00273.x OR</t>
  </si>
  <si>
    <t>10.1007/s10113-013-0425-7 OR</t>
  </si>
  <si>
    <t>10.1046/j.1365-2486.2003.00616.x OR</t>
  </si>
  <si>
    <t>10.1046/j.1365-2486.2002.00490.x OR</t>
  </si>
  <si>
    <t>10.1111/jbi.12289 OR</t>
  </si>
  <si>
    <t>10.1098/rsbl.2008.0231 OR</t>
  </si>
  <si>
    <t>10.1371/journal.pone.0002502 OR</t>
  </si>
  <si>
    <t>10.1111/j.1365-2486.2008.01559.x OR</t>
  </si>
  <si>
    <t>10.1046/j.1523-1739.1992.06030409.x OR</t>
  </si>
  <si>
    <t>10.1098/rspb.2003.2464 OR</t>
  </si>
  <si>
    <t>10.1038/NCLIMATE1514 OR</t>
  </si>
  <si>
    <t>10.1111/j.1365-2486.2006.01231.x OR</t>
  </si>
  <si>
    <t>10.1111/j.1365-2486.2006.01115.x OR</t>
  </si>
  <si>
    <t>10.1038/nature02121 OR</t>
  </si>
  <si>
    <t>10.1023/A:1024847723344 OR</t>
  </si>
  <si>
    <t>10.1111/j.1365-2427.2011.02631.x OR</t>
  </si>
  <si>
    <t>10.1007/s00027-009-9159-5 OR</t>
  </si>
  <si>
    <t>10.1016/j.jnc.2006.09.001 OR</t>
  </si>
  <si>
    <t>10.1073/pnas.0501427102 OR</t>
  </si>
  <si>
    <t>10.1046/j.1365-2699.1998.251192.x OR</t>
  </si>
  <si>
    <t>10.1111/j.1365-2486.2008.01766.x OR</t>
  </si>
  <si>
    <t>10.1111/j.1600-0587.2009.05789.x OR</t>
  </si>
  <si>
    <t>10.1371/journal.pone.0001439 OR</t>
  </si>
  <si>
    <t>10.1016/j.gloenvcha.2005.11.001 OR</t>
  </si>
  <si>
    <t>10.1073/pnas.0409902102 OR</t>
  </si>
  <si>
    <t>10.1111/j.0269-8463.2004.00903.x OR</t>
  </si>
  <si>
    <t>10.1073/pnas.1103097108 OR</t>
  </si>
  <si>
    <t>10.1111/j.1523-1739.2007.00852.x OR</t>
  </si>
  <si>
    <t>10.1111/j.0906-7590.2004.03823.x OR</t>
  </si>
  <si>
    <t>10.1007/s10113-012-0344-z OR</t>
  </si>
  <si>
    <t>10.1371/journal.pone.0063883 OR</t>
  </si>
  <si>
    <t>10.1111/j.1365-2486.2012.02641.x OR</t>
  </si>
  <si>
    <t>10.1016/j.foreco.2011.03.036 OR</t>
  </si>
  <si>
    <t>10.1111/j.1472-4642.2009.00623.x OR</t>
  </si>
  <si>
    <t>10.1890/08-0134.1 OR</t>
  </si>
  <si>
    <t>10.1086/523949 OR</t>
  </si>
  <si>
    <t>10.1007/s10531-007-9152-z OR</t>
  </si>
  <si>
    <t>10.2989/00306520409485458 OR</t>
  </si>
  <si>
    <t>10.1071/MF10286 OR</t>
  </si>
  <si>
    <t>10.1890/07-1748.1 OR</t>
  </si>
  <si>
    <t>10.1007/s10531-005-1345-8 OR</t>
  </si>
  <si>
    <t>10.1111/j.1474-919X.2006.00523.x OR</t>
  </si>
  <si>
    <t>10.1111/jbi.12013 OR</t>
  </si>
  <si>
    <t>10.1073/pnas.1116791109 OR</t>
  </si>
  <si>
    <t>10.1111/j.1749-4877.2010.00198.x OR</t>
  </si>
  <si>
    <t>10.1126/science.1184695 OR</t>
  </si>
  <si>
    <t>10.1126/science.1162547 OR</t>
  </si>
  <si>
    <t>10.1046/j.1365-2656.2001.00480.x OR</t>
  </si>
  <si>
    <t>10.1016/0006-3207(94)00016-J OR</t>
  </si>
  <si>
    <t>10.1371/journal.pone.0052574 OR</t>
  </si>
  <si>
    <t>10.1371/journal.pone.0029507 OR</t>
  </si>
  <si>
    <t>10.1111/j.1365-2486.2009.02021.x OR</t>
  </si>
  <si>
    <t>10.1007/s10531-011-0140-y OR</t>
  </si>
  <si>
    <t>10.1111/j.1366-9516.2005.00153.x OR</t>
  </si>
  <si>
    <t>10.1046/j.1365-2486.1997.00093.x OR</t>
  </si>
  <si>
    <t>10.1111/j.1365-2486.2011.02614.x OR</t>
  </si>
  <si>
    <t>10.1111/j.1472-4642.2011.00827.x OR</t>
  </si>
  <si>
    <t>10.1086/588171 OR</t>
  </si>
  <si>
    <t>10.1111/j.1365-2745.2008.01369.x OR</t>
  </si>
  <si>
    <t>10.1016/j.biocon.2008.03.007 OR</t>
  </si>
  <si>
    <t>10.1046/j.1365-2486.2002.00502.x OR</t>
  </si>
  <si>
    <t>10.4319/lo.1996.41.5.1109 OR</t>
  </si>
  <si>
    <t>10.1016/S0006-3207(02)00414-7 OR</t>
  </si>
  <si>
    <t>10.1016/j.biocon.2013.02.001 OR</t>
  </si>
  <si>
    <t>10.1111/j.1366-9516.2006.00216.x OR</t>
  </si>
  <si>
    <t>10.1139/Z04-064 OR</t>
  </si>
  <si>
    <t>10.1111/j.1365-2486.2011.02623.x OR</t>
  </si>
  <si>
    <t>10.1111/j.1461-0248.2011.01681.x OR</t>
  </si>
  <si>
    <t>10.1111/j.1365-2486.2006.01191.x OR</t>
  </si>
  <si>
    <t>10.1016/j.biocon.2005.04.003 OR</t>
  </si>
  <si>
    <t>10.1007/s00114-013-1088-4 OR</t>
  </si>
  <si>
    <t>10.1371/journal.pone.0054216 OR</t>
  </si>
  <si>
    <t>10.1111/j.1523-1739.2007.00814.x OR</t>
  </si>
  <si>
    <t>10.1111/j.1523-1739.2006.00364.x OR</t>
  </si>
  <si>
    <t>10.1371/journal.pone.0080531 OR</t>
  </si>
  <si>
    <t>10.1016/j.envsci.2005.11.005 OR</t>
  </si>
  <si>
    <t>10.1111/j.1365-2486.2005.00997.x OR</t>
  </si>
  <si>
    <t>10.1111/ddi.12011 OR</t>
  </si>
  <si>
    <t>10.1111/j.1466-822X.2004.00105.x OR</t>
  </si>
  <si>
    <t>10.1046/j.1466-822X.2002.00307.x OR</t>
  </si>
  <si>
    <t>10.1023/A:1005483507351 OR</t>
  </si>
  <si>
    <t>10.1038/NCLIMATE1887 OR</t>
  </si>
  <si>
    <t>10.1371/journal.pone.0065427 OR</t>
  </si>
  <si>
    <t>10.1111/j.1365-2486.2007.01357.x OR</t>
  </si>
  <si>
    <t>10.1016/j.ecolmodel.2003.07.012 OR</t>
  </si>
  <si>
    <t>10.1111/j.1365-2486.2008.01596.x OR</t>
  </si>
  <si>
    <t>10.1111/j.1744-7429.2005.00027.x OR</t>
  </si>
  <si>
    <t>10.1111/j.1365-2486.2004.00828.x OR</t>
  </si>
  <si>
    <t>10.1016/j.actao.2013.02.007 OR</t>
  </si>
  <si>
    <t>10.1038/NCLIMATE1191 OR</t>
  </si>
  <si>
    <t>10.1111/gcb.12107 OR</t>
  </si>
  <si>
    <t>10.1007/s10531-009-9728-x OR</t>
  </si>
  <si>
    <t>10.1016/j.agee.2008.01.013 OR</t>
  </si>
  <si>
    <t>10.1371/journal.pbio.0050157 OR</t>
  </si>
  <si>
    <t>10.1111/j.1466-8238.2010.00646.x OR</t>
  </si>
  <si>
    <t>10.1016/j.ecolmodel.2005.01.030 OR</t>
  </si>
  <si>
    <t>10.1038/416626a OR</t>
  </si>
  <si>
    <t>10.1007/s10584-005-9014-1 OR</t>
  </si>
  <si>
    <t>10.1016/j.envsci.2005.11.003 OR</t>
  </si>
  <si>
    <t>10.2307/2997467 OR</t>
  </si>
  <si>
    <t>or TI = (</t>
  </si>
  <si>
    <t>Country</t>
  </si>
  <si>
    <t>Done</t>
  </si>
  <si>
    <t>-</t>
  </si>
  <si>
    <t>remove</t>
  </si>
  <si>
    <t>??</t>
  </si>
  <si>
    <t>Replace with All regions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</si>
</sst>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u/>
      <color rgb="FF0000FF"/>
    </font>
    <font>
      <color theme="1"/>
      <name val="Arial"/>
      <scheme val="minor"/>
    </font>
    <font>
      <b/>
      <color theme="1"/>
      <name val="Arial"/>
      <scheme val="minor"/>
    </font>
    <font>
      <u/>
      <color rgb="FF0000FF"/>
    </font>
    <font>
      <u/>
      <color rgb="FF0000FF"/>
    </font>
  </fonts>
  <fills count="4">
    <fill>
      <patternFill patternType="none"/>
    </fill>
    <fill>
      <patternFill patternType="lightGray"/>
    </fill>
    <fill>
      <patternFill patternType="solid">
        <fgColor rgb="FFF4CCCC"/>
        <bgColor rgb="FFF4CCCC"/>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quotePrefix="1" borderId="1" fillId="0" fontId="2" numFmtId="0" xfId="0" applyAlignment="1" applyBorder="1" applyFont="1">
      <alignment readingOrder="0" shrinkToFit="0" wrapText="1"/>
    </xf>
    <xf borderId="0" fillId="0" fontId="3" numFmtId="0" xfId="0" applyAlignment="1" applyFont="1">
      <alignment horizontal="center"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2" fontId="2" numFmtId="0" xfId="0" applyAlignment="1" applyFill="1" applyFont="1">
      <alignment readingOrder="0"/>
    </xf>
    <xf borderId="0" fillId="3" fontId="2" numFmtId="0" xfId="0" applyAlignment="1" applyFill="1" applyFont="1">
      <alignment readingOrder="0"/>
    </xf>
    <xf borderId="0" fillId="0" fontId="5" numFmtId="0" xfId="0" applyFont="1"/>
    <xf borderId="0" fillId="0" fontId="3" numFmtId="0" xfId="0" applyFont="1"/>
    <xf borderId="1" fillId="0" fontId="2" numFmtId="0" xfId="0" applyBorder="1" applyFont="1"/>
    <xf borderId="1" fillId="0" fontId="3" numFmtId="0" xfId="0" applyAlignment="1" applyBorder="1" applyFont="1">
      <alignment readingOrder="0"/>
    </xf>
    <xf borderId="0" fillId="3" fontId="2" numFmtId="0" xfId="0" applyFont="1"/>
    <xf borderId="0" fillId="0" fontId="2" numFmtId="0" xfId="0" applyAlignment="1" applyFont="1">
      <alignment vertical="top"/>
    </xf>
    <xf borderId="0" fillId="0" fontId="3" numFmtId="0" xfId="0" applyAlignment="1" applyFont="1">
      <alignment readingOrder="0" vertical="top"/>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org/doi/10.1126/science.aaa4984" TargetMode="External"/><Relationship Id="rId2" Type="http://schemas.openxmlformats.org/officeDocument/2006/relationships/hyperlink" Target="https://datadryad.org/dataset/doi:10.5061/dryad.3rv6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dx.doi.org/10.1046/j.1466-822X.2002.00307.x" TargetMode="External"/><Relationship Id="rId42" Type="http://schemas.openxmlformats.org/officeDocument/2006/relationships/hyperlink" Target="http://dx.doi.org/10.1071/MF10286" TargetMode="External"/><Relationship Id="rId41" Type="http://schemas.openxmlformats.org/officeDocument/2006/relationships/hyperlink" Target="http://dx.doi.org/10.1046/j.1523-1739.1992.06030409.x" TargetMode="External"/><Relationship Id="rId44" Type="http://schemas.openxmlformats.org/officeDocument/2006/relationships/hyperlink" Target="http://dx.doi.org/10.1073/pnas.0501427102" TargetMode="External"/><Relationship Id="rId43" Type="http://schemas.openxmlformats.org/officeDocument/2006/relationships/hyperlink" Target="http://dx.doi.org/10.1073/pnas.0409902102" TargetMode="External"/><Relationship Id="rId46" Type="http://schemas.openxmlformats.org/officeDocument/2006/relationships/hyperlink" Target="http://dx.doi.org/10.1073/pnas.1116791109" TargetMode="External"/><Relationship Id="rId45" Type="http://schemas.openxmlformats.org/officeDocument/2006/relationships/hyperlink" Target="https://doi.org/10.1073/pnas.1103097108" TargetMode="External"/><Relationship Id="rId107" Type="http://schemas.openxmlformats.org/officeDocument/2006/relationships/hyperlink" Target="http://dx.doi.org/10.1371/journal.pone.0065427" TargetMode="External"/><Relationship Id="rId106" Type="http://schemas.openxmlformats.org/officeDocument/2006/relationships/hyperlink" Target="http://dx.doi.org/10.1371/journal.pone.0063883" TargetMode="External"/><Relationship Id="rId105" Type="http://schemas.openxmlformats.org/officeDocument/2006/relationships/hyperlink" Target="http://dx.doi.org/10.1371/journal.pone.0054216" TargetMode="External"/><Relationship Id="rId104" Type="http://schemas.openxmlformats.org/officeDocument/2006/relationships/hyperlink" Target="http://dx.doi.org/10.1371/journal.pone.0052574" TargetMode="External"/><Relationship Id="rId109" Type="http://schemas.openxmlformats.org/officeDocument/2006/relationships/hyperlink" Target="http://dx.doi.org/10.1890/06-0546.1" TargetMode="External"/><Relationship Id="rId108" Type="http://schemas.openxmlformats.org/officeDocument/2006/relationships/hyperlink" Target="http://dx.doi.org/10.1371/journal.pone.0080531" TargetMode="External"/><Relationship Id="rId48" Type="http://schemas.openxmlformats.org/officeDocument/2006/relationships/hyperlink" Target="http://dx.doi.org/10.1086/588171" TargetMode="External"/><Relationship Id="rId47" Type="http://schemas.openxmlformats.org/officeDocument/2006/relationships/hyperlink" Target="http://dx.doi.org/10.1086/523949" TargetMode="External"/><Relationship Id="rId49" Type="http://schemas.openxmlformats.org/officeDocument/2006/relationships/hyperlink" Target="http://dx.doi.org/10.1098/rsbl.2008.0231" TargetMode="External"/><Relationship Id="rId103" Type="http://schemas.openxmlformats.org/officeDocument/2006/relationships/hyperlink" Target="http://dx.doi.org/10.1371/journal.pone.0029507" TargetMode="External"/><Relationship Id="rId102" Type="http://schemas.openxmlformats.org/officeDocument/2006/relationships/hyperlink" Target="http://dx.doi.org/10.1371/journal.pone.0002502" TargetMode="External"/><Relationship Id="rId101" Type="http://schemas.openxmlformats.org/officeDocument/2006/relationships/hyperlink" Target="http://dx.doi.org/10.1371/journal.pone.0001439" TargetMode="External"/><Relationship Id="rId100" Type="http://schemas.openxmlformats.org/officeDocument/2006/relationships/hyperlink" Target="http://dx.doi.org/10.1371/journal.pbio.0050157" TargetMode="External"/><Relationship Id="rId31" Type="http://schemas.openxmlformats.org/officeDocument/2006/relationships/hyperlink" Target="http://dx.doi.org/10.1038/nclimate1514" TargetMode="External"/><Relationship Id="rId30" Type="http://schemas.openxmlformats.org/officeDocument/2006/relationships/hyperlink" Target="http://dx.doi.org/10.1038/nclimate1191" TargetMode="External"/><Relationship Id="rId33" Type="http://schemas.openxmlformats.org/officeDocument/2006/relationships/hyperlink" Target="http://dx.doi.org/10.1046/j.1365-2486.1997.00093.x" TargetMode="External"/><Relationship Id="rId32" Type="http://schemas.openxmlformats.org/officeDocument/2006/relationships/hyperlink" Target="http://dx.doi.org/10.1038/nclimate1887" TargetMode="External"/><Relationship Id="rId35" Type="http://schemas.openxmlformats.org/officeDocument/2006/relationships/hyperlink" Target="http://dx.doi.org/10.1046/j.1365-2486.2002.00502.x" TargetMode="External"/><Relationship Id="rId34" Type="http://schemas.openxmlformats.org/officeDocument/2006/relationships/hyperlink" Target="http://dx.doi.org/10.1046/j.1365-2486.2002.00490.x" TargetMode="External"/><Relationship Id="rId37" Type="http://schemas.openxmlformats.org/officeDocument/2006/relationships/hyperlink" Target="http://dx.doi.org/10.1046/j.1365-2656.2001.00480.x" TargetMode="External"/><Relationship Id="rId36" Type="http://schemas.openxmlformats.org/officeDocument/2006/relationships/hyperlink" Target="http://dx.doi.org/10.1046/j.1365-2486.2003.00616.x" TargetMode="External"/><Relationship Id="rId39" Type="http://schemas.openxmlformats.org/officeDocument/2006/relationships/hyperlink" Target="http://dx.doi.org/10.1046/j.1365-2699.2003.00839.x" TargetMode="External"/><Relationship Id="rId38" Type="http://schemas.openxmlformats.org/officeDocument/2006/relationships/hyperlink" Target="http://dx.doi.org/10.1046/j.1365-2699.1998.251192.x" TargetMode="External"/><Relationship Id="rId20" Type="http://schemas.openxmlformats.org/officeDocument/2006/relationships/hyperlink" Target="http://dx.doi.org/10.1016/j.envsci.2005.11.005" TargetMode="External"/><Relationship Id="rId22" Type="http://schemas.openxmlformats.org/officeDocument/2006/relationships/hyperlink" Target="http://dx.doi.org/10.1016/j.foreco.2011.03.036" TargetMode="External"/><Relationship Id="rId21" Type="http://schemas.openxmlformats.org/officeDocument/2006/relationships/hyperlink" Target="http://dx.doi.org/10.1016/j.foreco.2007.07.023" TargetMode="External"/><Relationship Id="rId24" Type="http://schemas.openxmlformats.org/officeDocument/2006/relationships/hyperlink" Target="http://dx.doi.org/10.1016/j.jnc.2006.09.001" TargetMode="External"/><Relationship Id="rId23" Type="http://schemas.openxmlformats.org/officeDocument/2006/relationships/hyperlink" Target="http://dx.doi.org/10.1016/j.gloenvcha.2005.11.001" TargetMode="External"/><Relationship Id="rId128" Type="http://schemas.openxmlformats.org/officeDocument/2006/relationships/drawing" Target="../drawings/drawing4.xml"/><Relationship Id="rId127" Type="http://schemas.openxmlformats.org/officeDocument/2006/relationships/hyperlink" Target="https://doi.org/10.5751/ES-01818-110225" TargetMode="External"/><Relationship Id="rId126" Type="http://schemas.openxmlformats.org/officeDocument/2006/relationships/hyperlink" Target="http://dx.doi.org/10.3897/biorisk.1" TargetMode="External"/><Relationship Id="rId26" Type="http://schemas.openxmlformats.org/officeDocument/2006/relationships/hyperlink" Target="http://dx.doi.org/10.1023/A:1005483507351" TargetMode="External"/><Relationship Id="rId121" Type="http://schemas.openxmlformats.org/officeDocument/2006/relationships/hyperlink" Target="http://dx.doi.org/10.1641/0006-3568(2001)051%5b0363:PSIUEN%5d2.0.CO;2" TargetMode="External"/><Relationship Id="rId25" Type="http://schemas.openxmlformats.org/officeDocument/2006/relationships/hyperlink" Target="https://doi.org/10.1016/S0006-3207(02)00414-7" TargetMode="External"/><Relationship Id="rId120" Type="http://schemas.openxmlformats.org/officeDocument/2006/relationships/hyperlink" Target="http://dx.doi.org/10.1590/S1676-06032003000200005" TargetMode="External"/><Relationship Id="rId28" Type="http://schemas.openxmlformats.org/officeDocument/2006/relationships/hyperlink" Target="http://dx.doi.org/10.1038/416626a" TargetMode="External"/><Relationship Id="rId27" Type="http://schemas.openxmlformats.org/officeDocument/2006/relationships/hyperlink" Target="http://dx.doi.org/10.1023/A:1024847723344" TargetMode="External"/><Relationship Id="rId125" Type="http://schemas.openxmlformats.org/officeDocument/2006/relationships/hyperlink" Target="http://dx.doi.org/10.1890/0012-9658(2006)87%5b1611:PEAARO%5d2.0.CO;2" TargetMode="External"/><Relationship Id="rId29" Type="http://schemas.openxmlformats.org/officeDocument/2006/relationships/hyperlink" Target="http://dx.doi.org/10.1038/nature02121" TargetMode="External"/><Relationship Id="rId124" Type="http://schemas.openxmlformats.org/officeDocument/2006/relationships/hyperlink" Target="http://dx.doi.org/10.1890/0012-9615(1998)068%5b0465:PAOTSF%5d2.0.CO;2" TargetMode="External"/><Relationship Id="rId123" Type="http://schemas.openxmlformats.org/officeDocument/2006/relationships/hyperlink" Target="http://dx.doi.org/10.1657/1523-0430(2003)035%5b0248:CEOAPB%5d2.0.CO;2" TargetMode="External"/><Relationship Id="rId122" Type="http://schemas.openxmlformats.org/officeDocument/2006/relationships/hyperlink" Target="http://dx.doi.org/10.1650/0010-5422(2006)108%5b778:CCEONM%5d2.0.CO;2" TargetMode="External"/><Relationship Id="rId95" Type="http://schemas.openxmlformats.org/officeDocument/2006/relationships/hyperlink" Target="http://dx.doi.org/10.1111/jbi.12013" TargetMode="External"/><Relationship Id="rId94" Type="http://schemas.openxmlformats.org/officeDocument/2006/relationships/hyperlink" Target="http://dx.doi.org/10.1111/j.1749-4877.2010.00198.x" TargetMode="External"/><Relationship Id="rId97" Type="http://schemas.openxmlformats.org/officeDocument/2006/relationships/hyperlink" Target="http://dx.doi.org/10.1126/science.1162547" TargetMode="External"/><Relationship Id="rId96" Type="http://schemas.openxmlformats.org/officeDocument/2006/relationships/hyperlink" Target="http://dx.doi.org/10.1111/jbi.12289" TargetMode="External"/><Relationship Id="rId11" Type="http://schemas.openxmlformats.org/officeDocument/2006/relationships/hyperlink" Target="https://doi.org/10.1016/0006-3207(94)00016-J" TargetMode="External"/><Relationship Id="rId99" Type="http://schemas.openxmlformats.org/officeDocument/2006/relationships/hyperlink" Target="http://dx.doi.org/10.1139/z04-064" TargetMode="External"/><Relationship Id="rId10" Type="http://schemas.openxmlformats.org/officeDocument/2006/relationships/hyperlink" Target="http://dx.doi.org/10.1007/s10584-005-9014-1" TargetMode="External"/><Relationship Id="rId98" Type="http://schemas.openxmlformats.org/officeDocument/2006/relationships/hyperlink" Target="http://dx.doi.org/10.1126/science.1184695" TargetMode="External"/><Relationship Id="rId13" Type="http://schemas.openxmlformats.org/officeDocument/2006/relationships/hyperlink" Target="http://dx.doi.org/10.1016/j.agee.2008.01.013" TargetMode="External"/><Relationship Id="rId12" Type="http://schemas.openxmlformats.org/officeDocument/2006/relationships/hyperlink" Target="http://dx.doi.org/10.1016/j.actao.2013.02.007" TargetMode="External"/><Relationship Id="rId91" Type="http://schemas.openxmlformats.org/officeDocument/2006/relationships/hyperlink" Target="http://dx.doi.org/10.1111/j.1523-1739.2007.00852.x" TargetMode="External"/><Relationship Id="rId90" Type="http://schemas.openxmlformats.org/officeDocument/2006/relationships/hyperlink" Target="http://dx.doi.org/10.1111/j.1523-1739.2007.00814.x" TargetMode="External"/><Relationship Id="rId93" Type="http://schemas.openxmlformats.org/officeDocument/2006/relationships/hyperlink" Target="http://dx.doi.org/10.1111/j.1744-7429.2005.00027.x" TargetMode="External"/><Relationship Id="rId92" Type="http://schemas.openxmlformats.org/officeDocument/2006/relationships/hyperlink" Target="http://dx.doi.org/10.1111/j.1600-0587.2009.05789.x" TargetMode="External"/><Relationship Id="rId118" Type="http://schemas.openxmlformats.org/officeDocument/2006/relationships/hyperlink" Target="http://dx.doi.org/10.1078/1617-1381-00036" TargetMode="External"/><Relationship Id="rId117" Type="http://schemas.openxmlformats.org/officeDocument/2006/relationships/hyperlink" Target="http://dx.doi.org/10.1078/1617-1381-00030" TargetMode="External"/><Relationship Id="rId116" Type="http://schemas.openxmlformats.org/officeDocument/2006/relationships/hyperlink" Target="http://dx.doi.org/10.4319/lo.1996.41.5.1109" TargetMode="External"/><Relationship Id="rId115" Type="http://schemas.openxmlformats.org/officeDocument/2006/relationships/hyperlink" Target="http://dx.doi.org/10.3170/2008-7-18348" TargetMode="External"/><Relationship Id="rId119" Type="http://schemas.openxmlformats.org/officeDocument/2006/relationships/hyperlink" Target="http://dx.doi.org/10.1127/phyto/30/2000/353" TargetMode="External"/><Relationship Id="rId15" Type="http://schemas.openxmlformats.org/officeDocument/2006/relationships/hyperlink" Target="https://doi.org/10.1016/j.biocon.2008.03.007" TargetMode="External"/><Relationship Id="rId110" Type="http://schemas.openxmlformats.org/officeDocument/2006/relationships/hyperlink" Target="http://dx.doi.org/10.1890/07-1748.1" TargetMode="External"/><Relationship Id="rId14" Type="http://schemas.openxmlformats.org/officeDocument/2006/relationships/hyperlink" Target="https://doi.org/10.1016/j.biocon.2005.04.003" TargetMode="External"/><Relationship Id="rId17" Type="http://schemas.openxmlformats.org/officeDocument/2006/relationships/hyperlink" Target="http://dx.doi.org/10.1016/j.ecolmodel.2003.07.012" TargetMode="External"/><Relationship Id="rId16" Type="http://schemas.openxmlformats.org/officeDocument/2006/relationships/hyperlink" Target="https://doi.org/10.1016/j.biocon.2013.02.001" TargetMode="External"/><Relationship Id="rId19" Type="http://schemas.openxmlformats.org/officeDocument/2006/relationships/hyperlink" Target="http://dx.doi.org/10.1016/j.envsci.2005.11.003" TargetMode="External"/><Relationship Id="rId114" Type="http://schemas.openxmlformats.org/officeDocument/2006/relationships/hyperlink" Target="http://dx.doi.org/10.2989/00306520409485458" TargetMode="External"/><Relationship Id="rId18" Type="http://schemas.openxmlformats.org/officeDocument/2006/relationships/hyperlink" Target="http://dx.doi.org/10.1016/j.ecolmodel.2005.01.030" TargetMode="External"/><Relationship Id="rId113" Type="http://schemas.openxmlformats.org/officeDocument/2006/relationships/hyperlink" Target="http://dx.doi.org/10.2307/2997467" TargetMode="External"/><Relationship Id="rId112" Type="http://schemas.openxmlformats.org/officeDocument/2006/relationships/hyperlink" Target="http://dx.doi.org/10.2307/2845830" TargetMode="External"/><Relationship Id="rId111" Type="http://schemas.openxmlformats.org/officeDocument/2006/relationships/hyperlink" Target="http://dx.doi.org/10.1890/08-0134.1" TargetMode="External"/><Relationship Id="rId84" Type="http://schemas.openxmlformats.org/officeDocument/2006/relationships/hyperlink" Target="http://dx.doi.org/10.1111/j.1466-8238.2010.00646.x" TargetMode="External"/><Relationship Id="rId83" Type="http://schemas.openxmlformats.org/officeDocument/2006/relationships/hyperlink" Target="http://dx.doi.org/10.1111/j.1466-822X.2004.00105.x" TargetMode="External"/><Relationship Id="rId86" Type="http://schemas.openxmlformats.org/officeDocument/2006/relationships/hyperlink" Target="http://dx.doi.org/10.1111/j.1472-4642.2011.00827.x" TargetMode="External"/><Relationship Id="rId85" Type="http://schemas.openxmlformats.org/officeDocument/2006/relationships/hyperlink" Target="http://dx.doi.org/10.1111/j.1472-4642.2009.00623.x" TargetMode="External"/><Relationship Id="rId88" Type="http://schemas.openxmlformats.org/officeDocument/2006/relationships/hyperlink" Target="http://dx.doi.org/10.1111/j.1523-1739.2006.00364.x" TargetMode="External"/><Relationship Id="rId87" Type="http://schemas.openxmlformats.org/officeDocument/2006/relationships/hyperlink" Target="http://dx.doi.org/10.1111/j.1474-919X.2006.00523.x" TargetMode="External"/><Relationship Id="rId89" Type="http://schemas.openxmlformats.org/officeDocument/2006/relationships/hyperlink" Target="http://dx.doi.org/10.1111/j.1523-1739.2007.00719.x" TargetMode="External"/><Relationship Id="rId80" Type="http://schemas.openxmlformats.org/officeDocument/2006/relationships/hyperlink" Target="https://doi.org/10.1111/j.1461-0248.2010.01479.x" TargetMode="External"/><Relationship Id="rId82" Type="http://schemas.openxmlformats.org/officeDocument/2006/relationships/hyperlink" Target="http://dx.doi.org/10.1111/j.1461-0248.2011.01689.x" TargetMode="External"/><Relationship Id="rId81" Type="http://schemas.openxmlformats.org/officeDocument/2006/relationships/hyperlink" Target="http://dx.doi.org/10.1111/j.1461-0248.2011.01681.x" TargetMode="External"/><Relationship Id="rId1" Type="http://schemas.openxmlformats.org/officeDocument/2006/relationships/hyperlink" Target="http://dx.doi.org/10.1007/s00027-009-9159-5" TargetMode="External"/><Relationship Id="rId2" Type="http://schemas.openxmlformats.org/officeDocument/2006/relationships/hyperlink" Target="http://dx.doi.org/10.1007/s00114-013-1088-4" TargetMode="External"/><Relationship Id="rId3" Type="http://schemas.openxmlformats.org/officeDocument/2006/relationships/hyperlink" Target="http://dx.doi.org/10.1007/s10113-012-0344-z" TargetMode="External"/><Relationship Id="rId4" Type="http://schemas.openxmlformats.org/officeDocument/2006/relationships/hyperlink" Target="http://dx.doi.org/10.1007/s10113-013-0425-7" TargetMode="External"/><Relationship Id="rId9" Type="http://schemas.openxmlformats.org/officeDocument/2006/relationships/hyperlink" Target="http://dx.doi.org/10.1007/s10531-011-0140-y" TargetMode="External"/><Relationship Id="rId5" Type="http://schemas.openxmlformats.org/officeDocument/2006/relationships/hyperlink" Target="http://dx.doi.org/10.1007/s10531-005-1345-8" TargetMode="External"/><Relationship Id="rId6" Type="http://schemas.openxmlformats.org/officeDocument/2006/relationships/hyperlink" Target="http://dx.doi.org/10.1007/s10531-007-9152-z" TargetMode="External"/><Relationship Id="rId7" Type="http://schemas.openxmlformats.org/officeDocument/2006/relationships/hyperlink" Target="http://dx.doi.org/10.1007/s10531-007-9181-7" TargetMode="External"/><Relationship Id="rId8" Type="http://schemas.openxmlformats.org/officeDocument/2006/relationships/hyperlink" Target="http://dx.doi.org/10.1007/s10531-009-9728-x" TargetMode="External"/><Relationship Id="rId73" Type="http://schemas.openxmlformats.org/officeDocument/2006/relationships/hyperlink" Target="http://dx.doi.org/10.1111/j.1365-2486.2011.02614.x" TargetMode="External"/><Relationship Id="rId72" Type="http://schemas.openxmlformats.org/officeDocument/2006/relationships/hyperlink" Target="http://dx.doi.org/10.1111/j.1365-2486.2010.02393.x" TargetMode="External"/><Relationship Id="rId75" Type="http://schemas.openxmlformats.org/officeDocument/2006/relationships/hyperlink" Target="http://dx.doi.org/10.1111/j.1365-2486.2012.02641.x" TargetMode="External"/><Relationship Id="rId74" Type="http://schemas.openxmlformats.org/officeDocument/2006/relationships/hyperlink" Target="http://dx.doi.org/10.1111/j.1365-2486.2011.02623.x" TargetMode="External"/><Relationship Id="rId77" Type="http://schemas.openxmlformats.org/officeDocument/2006/relationships/hyperlink" Target="http://dx.doi.org/10.1111/j.1366-9516.2005.00153.x" TargetMode="External"/><Relationship Id="rId76" Type="http://schemas.openxmlformats.org/officeDocument/2006/relationships/hyperlink" Target="http://dx.doi.org/10.1111/j.1365-2745.2008.01369.x" TargetMode="External"/><Relationship Id="rId79" Type="http://schemas.openxmlformats.org/officeDocument/2006/relationships/hyperlink" Target="http://dx.doi.org/10.1111/j.1366-9516.2006.00273.x" TargetMode="External"/><Relationship Id="rId78" Type="http://schemas.openxmlformats.org/officeDocument/2006/relationships/hyperlink" Target="http://dx.doi.org/10.1111/j.1366-9516.2006.00216.x" TargetMode="External"/><Relationship Id="rId71" Type="http://schemas.openxmlformats.org/officeDocument/2006/relationships/hyperlink" Target="http://dx.doi.org/10.1111/j.1365-2486.2010.02224.x" TargetMode="External"/><Relationship Id="rId70" Type="http://schemas.openxmlformats.org/officeDocument/2006/relationships/hyperlink" Target="http://dx.doi.org/10.1111/j.1365-2486.2009.02021.x" TargetMode="External"/><Relationship Id="rId62" Type="http://schemas.openxmlformats.org/officeDocument/2006/relationships/hyperlink" Target="http://dx.doi.org/10.1111/j.1365-2486.2006.01191.x" TargetMode="External"/><Relationship Id="rId61" Type="http://schemas.openxmlformats.org/officeDocument/2006/relationships/hyperlink" Target="http://dx.doi.org/10.1111/j.1365-2486.2006.01115.x" TargetMode="External"/><Relationship Id="rId64" Type="http://schemas.openxmlformats.org/officeDocument/2006/relationships/hyperlink" Target="http://dx.doi.org/10.1111/j.1365-2486.2007.01357.x" TargetMode="External"/><Relationship Id="rId63" Type="http://schemas.openxmlformats.org/officeDocument/2006/relationships/hyperlink" Target="http://dx.doi.org/10.1111/j.1365-2486.2006.01231.x" TargetMode="External"/><Relationship Id="rId66" Type="http://schemas.openxmlformats.org/officeDocument/2006/relationships/hyperlink" Target="http://dx.doi.org/10.1111/j.1365-2486.2008.01553.x" TargetMode="External"/><Relationship Id="rId65" Type="http://schemas.openxmlformats.org/officeDocument/2006/relationships/hyperlink" Target="http://dx.doi.org/10.1111/j.1365-2486.2007.01527.x" TargetMode="External"/><Relationship Id="rId68" Type="http://schemas.openxmlformats.org/officeDocument/2006/relationships/hyperlink" Target="http://dx.doi.org/10.1111/j.1365-2486.2008.01596.x" TargetMode="External"/><Relationship Id="rId67" Type="http://schemas.openxmlformats.org/officeDocument/2006/relationships/hyperlink" Target="http://dx.doi.org/10.1111/j.1365-2486.2008.01559.x" TargetMode="External"/><Relationship Id="rId60" Type="http://schemas.openxmlformats.org/officeDocument/2006/relationships/hyperlink" Target="http://dx.doi.org/10.1111/j.1365-2486.2005.00997.x" TargetMode="External"/><Relationship Id="rId69" Type="http://schemas.openxmlformats.org/officeDocument/2006/relationships/hyperlink" Target="http://dx.doi.org/10.1111/j.1365-2486.2008.01766.x" TargetMode="External"/><Relationship Id="rId51" Type="http://schemas.openxmlformats.org/officeDocument/2006/relationships/hyperlink" Target="http://dx.doi.org/10.1098/rspb.2003.2464" TargetMode="External"/><Relationship Id="rId50" Type="http://schemas.openxmlformats.org/officeDocument/2006/relationships/hyperlink" Target="http://dx.doi.org/10.1098/rspb.2002.2134" TargetMode="External"/><Relationship Id="rId53" Type="http://schemas.openxmlformats.org/officeDocument/2006/relationships/hyperlink" Target="http://dx.doi.org/10.1111/ddi.12011" TargetMode="External"/><Relationship Id="rId52" Type="http://schemas.openxmlformats.org/officeDocument/2006/relationships/hyperlink" Target="http://dx.doi.org/10.1098/rspb.2008.1681" TargetMode="External"/><Relationship Id="rId55" Type="http://schemas.openxmlformats.org/officeDocument/2006/relationships/hyperlink" Target="http://dx.doi.org/10.1111/gcb.12289" TargetMode="External"/><Relationship Id="rId54" Type="http://schemas.openxmlformats.org/officeDocument/2006/relationships/hyperlink" Target="http://dx.doi.org/10.1111/gcb.12107" TargetMode="External"/><Relationship Id="rId57" Type="http://schemas.openxmlformats.org/officeDocument/2006/relationships/hyperlink" Target="http://dx.doi.org/10.1111/j.0906-7590.2004.03823.x" TargetMode="External"/><Relationship Id="rId56" Type="http://schemas.openxmlformats.org/officeDocument/2006/relationships/hyperlink" Target="http://dx.doi.org/10.1111/j.0269-8463.2004.00903.x" TargetMode="External"/><Relationship Id="rId59" Type="http://schemas.openxmlformats.org/officeDocument/2006/relationships/hyperlink" Target="http://dx.doi.org/10.1111/j.1365-2486.2004.00828.x" TargetMode="External"/><Relationship Id="rId58" Type="http://schemas.openxmlformats.org/officeDocument/2006/relationships/hyperlink" Target="http://dx.doi.org/10.1111/j.1365-2427.2011.02631.x"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36.75"/>
    <col customWidth="1" min="4" max="4" width="34.38"/>
  </cols>
  <sheetData>
    <row r="3">
      <c r="B3" s="1" t="s">
        <v>0</v>
      </c>
      <c r="E3" s="2"/>
    </row>
    <row r="4">
      <c r="B4" s="3" t="s">
        <v>1</v>
      </c>
      <c r="C4" s="1" t="s">
        <v>2</v>
      </c>
    </row>
    <row r="7">
      <c r="B7" s="4" t="s">
        <v>3</v>
      </c>
      <c r="C7" s="5" t="s">
        <v>4</v>
      </c>
    </row>
    <row r="8">
      <c r="B8" s="4" t="s">
        <v>5</v>
      </c>
      <c r="C8" s="5" t="s">
        <v>6</v>
      </c>
    </row>
    <row r="9">
      <c r="B9" s="4" t="s">
        <v>7</v>
      </c>
      <c r="C9" s="5" t="s">
        <v>8</v>
      </c>
    </row>
    <row r="10">
      <c r="B10" s="4" t="s">
        <v>9</v>
      </c>
      <c r="C10" s="6" t="s">
        <v>10</v>
      </c>
    </row>
    <row r="11">
      <c r="B11" s="4" t="s">
        <v>11</v>
      </c>
      <c r="C11" s="5" t="s">
        <v>12</v>
      </c>
    </row>
    <row r="12">
      <c r="B12" s="4" t="s">
        <v>13</v>
      </c>
      <c r="C12" s="6" t="s">
        <v>14</v>
      </c>
    </row>
    <row r="14">
      <c r="B14" s="4" t="s">
        <v>15</v>
      </c>
      <c r="C14" s="4" t="s">
        <v>16</v>
      </c>
      <c r="D14" s="4" t="s">
        <v>17</v>
      </c>
    </row>
    <row r="15">
      <c r="B15" s="4" t="s">
        <v>18</v>
      </c>
      <c r="C15" s="4">
        <v>131.0</v>
      </c>
      <c r="D15" s="4" t="s">
        <v>19</v>
      </c>
    </row>
    <row r="16">
      <c r="B16" s="4" t="s">
        <v>20</v>
      </c>
      <c r="C16" s="4">
        <v>117.0</v>
      </c>
      <c r="D16" s="4" t="s">
        <v>21</v>
      </c>
    </row>
    <row r="17">
      <c r="B17" s="4" t="s">
        <v>13</v>
      </c>
      <c r="C17" s="4">
        <v>117.0</v>
      </c>
      <c r="D17" s="4" t="s">
        <v>22</v>
      </c>
    </row>
  </sheetData>
  <hyperlinks>
    <hyperlink r:id="rId1" ref="B3"/>
    <hyperlink r:id="rId2" ref="C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9.38"/>
    <col customWidth="1" min="4" max="4" width="28.75"/>
    <col customWidth="1" min="5" max="5" width="9.75"/>
    <col customWidth="1" min="6" max="6" width="10.75"/>
    <col customWidth="1" min="8" max="8" width="17.5"/>
  </cols>
  <sheetData>
    <row r="1">
      <c r="A1" s="7" t="s">
        <v>23</v>
      </c>
      <c r="B1" s="7" t="s">
        <v>24</v>
      </c>
      <c r="C1" s="7" t="s">
        <v>25</v>
      </c>
      <c r="D1" s="7" t="s">
        <v>26</v>
      </c>
      <c r="E1" s="7" t="s">
        <v>27</v>
      </c>
      <c r="F1" s="7" t="s">
        <v>28</v>
      </c>
      <c r="G1" s="7" t="s">
        <v>29</v>
      </c>
      <c r="H1" s="3" t="s">
        <v>30</v>
      </c>
    </row>
    <row r="2">
      <c r="A2" s="3" t="s">
        <v>31</v>
      </c>
      <c r="B2" s="3">
        <v>2009.0</v>
      </c>
      <c r="C2" s="3" t="s">
        <v>32</v>
      </c>
      <c r="D2" s="3" t="s">
        <v>33</v>
      </c>
      <c r="E2" s="3" t="s">
        <v>34</v>
      </c>
      <c r="F2" s="3" t="s">
        <v>35</v>
      </c>
      <c r="G2" s="3" t="s">
        <v>36</v>
      </c>
      <c r="H2" s="8" t="s">
        <v>37</v>
      </c>
    </row>
    <row r="3">
      <c r="A3" s="3" t="s">
        <v>38</v>
      </c>
      <c r="B3" s="3">
        <v>2013.0</v>
      </c>
      <c r="C3" s="3" t="s">
        <v>39</v>
      </c>
      <c r="D3" s="3" t="s">
        <v>40</v>
      </c>
      <c r="E3" s="3" t="s">
        <v>41</v>
      </c>
      <c r="F3" s="3" t="s">
        <v>42</v>
      </c>
      <c r="G3" s="3" t="s">
        <v>43</v>
      </c>
      <c r="H3" s="8" t="s">
        <v>44</v>
      </c>
    </row>
    <row r="4">
      <c r="A4" s="3" t="s">
        <v>45</v>
      </c>
      <c r="B4" s="3">
        <v>2013.0</v>
      </c>
      <c r="C4" s="3" t="s">
        <v>46</v>
      </c>
      <c r="D4" s="3" t="s">
        <v>47</v>
      </c>
      <c r="E4" s="3" t="s">
        <v>41</v>
      </c>
      <c r="F4" s="3" t="s">
        <v>42</v>
      </c>
      <c r="G4" s="3" t="s">
        <v>43</v>
      </c>
      <c r="H4" s="8" t="s">
        <v>48</v>
      </c>
    </row>
    <row r="5">
      <c r="A5" s="3" t="s">
        <v>49</v>
      </c>
      <c r="B5" s="3">
        <v>2013.0</v>
      </c>
      <c r="C5" s="3" t="s">
        <v>50</v>
      </c>
      <c r="D5" s="3" t="s">
        <v>51</v>
      </c>
      <c r="E5" s="3" t="s">
        <v>34</v>
      </c>
      <c r="F5" s="3" t="s">
        <v>42</v>
      </c>
      <c r="G5" s="3" t="s">
        <v>43</v>
      </c>
      <c r="H5" s="8" t="s">
        <v>52</v>
      </c>
    </row>
    <row r="6">
      <c r="A6" s="3" t="s">
        <v>53</v>
      </c>
      <c r="B6" s="3">
        <v>2006.0</v>
      </c>
      <c r="C6" s="3" t="s">
        <v>32</v>
      </c>
      <c r="D6" s="3" t="s">
        <v>51</v>
      </c>
      <c r="E6" s="3" t="s">
        <v>34</v>
      </c>
      <c r="F6" s="3" t="s">
        <v>42</v>
      </c>
      <c r="G6" s="3" t="s">
        <v>43</v>
      </c>
      <c r="H6" s="8" t="s">
        <v>54</v>
      </c>
    </row>
    <row r="7">
      <c r="A7" s="3" t="s">
        <v>55</v>
      </c>
      <c r="B7" s="3">
        <v>2007.0</v>
      </c>
      <c r="C7" s="3" t="s">
        <v>39</v>
      </c>
      <c r="D7" s="3" t="s">
        <v>56</v>
      </c>
      <c r="E7" s="3" t="s">
        <v>41</v>
      </c>
      <c r="F7" s="3" t="s">
        <v>42</v>
      </c>
      <c r="G7" s="3" t="s">
        <v>34</v>
      </c>
      <c r="H7" s="8" t="s">
        <v>57</v>
      </c>
    </row>
    <row r="8">
      <c r="A8" s="3" t="s">
        <v>58</v>
      </c>
      <c r="B8" s="3">
        <v>2007.0</v>
      </c>
      <c r="C8" s="3" t="s">
        <v>32</v>
      </c>
      <c r="D8" s="3" t="s">
        <v>56</v>
      </c>
      <c r="E8" s="3" t="s">
        <v>41</v>
      </c>
      <c r="F8" s="3" t="s">
        <v>42</v>
      </c>
      <c r="G8" s="3" t="s">
        <v>43</v>
      </c>
      <c r="H8" s="8" t="s">
        <v>59</v>
      </c>
    </row>
    <row r="9">
      <c r="A9" s="3" t="s">
        <v>60</v>
      </c>
      <c r="B9" s="3">
        <v>2010.0</v>
      </c>
      <c r="C9" s="3" t="s">
        <v>32</v>
      </c>
      <c r="D9" s="3" t="s">
        <v>33</v>
      </c>
      <c r="E9" s="3" t="s">
        <v>34</v>
      </c>
      <c r="F9" s="3" t="s">
        <v>42</v>
      </c>
      <c r="G9" s="3" t="s">
        <v>43</v>
      </c>
      <c r="H9" s="8" t="s">
        <v>61</v>
      </c>
    </row>
    <row r="10">
      <c r="A10" s="3" t="s">
        <v>62</v>
      </c>
      <c r="B10" s="3">
        <v>2011.0</v>
      </c>
      <c r="C10" s="3" t="s">
        <v>32</v>
      </c>
      <c r="D10" s="3" t="s">
        <v>33</v>
      </c>
      <c r="E10" s="3" t="s">
        <v>34</v>
      </c>
      <c r="F10" s="3" t="s">
        <v>42</v>
      </c>
      <c r="G10" s="3" t="s">
        <v>63</v>
      </c>
      <c r="H10" s="8" t="s">
        <v>64</v>
      </c>
    </row>
    <row r="11">
      <c r="A11" s="3" t="s">
        <v>65</v>
      </c>
      <c r="B11" s="3">
        <v>2006.0</v>
      </c>
      <c r="C11" s="3" t="s">
        <v>66</v>
      </c>
      <c r="D11" s="3" t="s">
        <v>67</v>
      </c>
      <c r="E11" s="3" t="s">
        <v>34</v>
      </c>
      <c r="F11" s="3" t="s">
        <v>68</v>
      </c>
      <c r="G11" s="3" t="s">
        <v>63</v>
      </c>
      <c r="H11" s="8" t="s">
        <v>69</v>
      </c>
    </row>
    <row r="12">
      <c r="A12" s="3" t="s">
        <v>70</v>
      </c>
      <c r="B12" s="3">
        <v>1995.0</v>
      </c>
      <c r="C12" s="3" t="s">
        <v>71</v>
      </c>
      <c r="D12" s="3" t="s">
        <v>72</v>
      </c>
      <c r="E12" s="3" t="s">
        <v>34</v>
      </c>
      <c r="F12" s="3" t="s">
        <v>42</v>
      </c>
      <c r="G12" s="3" t="s">
        <v>63</v>
      </c>
      <c r="H12" s="8" t="s">
        <v>73</v>
      </c>
    </row>
    <row r="13">
      <c r="A13" s="3" t="s">
        <v>74</v>
      </c>
      <c r="B13" s="3">
        <v>2013.0</v>
      </c>
      <c r="C13" s="3" t="s">
        <v>46</v>
      </c>
      <c r="D13" s="3" t="s">
        <v>51</v>
      </c>
      <c r="E13" s="3" t="s">
        <v>34</v>
      </c>
      <c r="F13" s="3" t="s">
        <v>42</v>
      </c>
      <c r="G13" s="3" t="s">
        <v>63</v>
      </c>
      <c r="H13" s="8" t="s">
        <v>75</v>
      </c>
    </row>
    <row r="14">
      <c r="A14" s="3" t="s">
        <v>76</v>
      </c>
      <c r="B14" s="3">
        <v>2008.0</v>
      </c>
      <c r="C14" s="3" t="s">
        <v>77</v>
      </c>
      <c r="D14" s="3" t="s">
        <v>51</v>
      </c>
      <c r="E14" s="3" t="s">
        <v>41</v>
      </c>
      <c r="F14" s="3" t="s">
        <v>42</v>
      </c>
      <c r="G14" s="3" t="s">
        <v>78</v>
      </c>
      <c r="H14" s="8" t="s">
        <v>79</v>
      </c>
    </row>
    <row r="15">
      <c r="A15" s="3" t="s">
        <v>80</v>
      </c>
      <c r="B15" s="3">
        <v>2005.0</v>
      </c>
      <c r="C15" s="3" t="s">
        <v>71</v>
      </c>
      <c r="D15" s="3" t="s">
        <v>81</v>
      </c>
      <c r="E15" s="3" t="s">
        <v>34</v>
      </c>
      <c r="F15" s="3" t="s">
        <v>42</v>
      </c>
      <c r="G15" s="3" t="s">
        <v>43</v>
      </c>
      <c r="H15" s="8" t="s">
        <v>82</v>
      </c>
    </row>
    <row r="16">
      <c r="A16" s="3" t="s">
        <v>83</v>
      </c>
      <c r="B16" s="3">
        <v>2008.0</v>
      </c>
      <c r="C16" s="3" t="s">
        <v>32</v>
      </c>
      <c r="D16" s="3" t="s">
        <v>81</v>
      </c>
      <c r="E16" s="3" t="s">
        <v>34</v>
      </c>
      <c r="F16" s="3" t="s">
        <v>42</v>
      </c>
      <c r="G16" s="3" t="s">
        <v>63</v>
      </c>
      <c r="H16" s="8" t="s">
        <v>84</v>
      </c>
    </row>
    <row r="17">
      <c r="A17" s="3" t="s">
        <v>85</v>
      </c>
      <c r="B17" s="3">
        <v>2013.0</v>
      </c>
      <c r="C17" s="3" t="s">
        <v>32</v>
      </c>
      <c r="D17" s="3" t="s">
        <v>33</v>
      </c>
      <c r="E17" s="3" t="s">
        <v>34</v>
      </c>
      <c r="F17" s="3" t="s">
        <v>42</v>
      </c>
      <c r="G17" s="3" t="s">
        <v>63</v>
      </c>
      <c r="H17" s="8" t="s">
        <v>86</v>
      </c>
    </row>
    <row r="18">
      <c r="A18" s="3" t="s">
        <v>87</v>
      </c>
      <c r="B18" s="3">
        <v>2004.0</v>
      </c>
      <c r="C18" s="3" t="s">
        <v>71</v>
      </c>
      <c r="D18" s="3" t="s">
        <v>88</v>
      </c>
      <c r="E18" s="3" t="s">
        <v>41</v>
      </c>
      <c r="F18" s="3" t="s">
        <v>42</v>
      </c>
      <c r="G18" s="3" t="s">
        <v>63</v>
      </c>
      <c r="H18" s="8" t="s">
        <v>89</v>
      </c>
    </row>
    <row r="19">
      <c r="A19" s="3" t="s">
        <v>90</v>
      </c>
      <c r="B19" s="3">
        <v>2005.0</v>
      </c>
      <c r="C19" s="3" t="s">
        <v>71</v>
      </c>
      <c r="D19" s="3" t="s">
        <v>33</v>
      </c>
      <c r="E19" s="3" t="s">
        <v>41</v>
      </c>
      <c r="F19" s="3" t="s">
        <v>42</v>
      </c>
      <c r="G19" s="3" t="s">
        <v>63</v>
      </c>
      <c r="H19" s="8" t="s">
        <v>91</v>
      </c>
    </row>
    <row r="20">
      <c r="A20" s="3" t="s">
        <v>92</v>
      </c>
      <c r="B20" s="3">
        <v>2006.0</v>
      </c>
      <c r="C20" s="3" t="s">
        <v>32</v>
      </c>
      <c r="D20" s="3" t="s">
        <v>93</v>
      </c>
      <c r="E20" s="3" t="s">
        <v>34</v>
      </c>
      <c r="F20" s="3" t="s">
        <v>42</v>
      </c>
      <c r="G20" s="3" t="s">
        <v>63</v>
      </c>
      <c r="H20" s="8" t="s">
        <v>94</v>
      </c>
    </row>
    <row r="21">
      <c r="A21" s="3" t="s">
        <v>95</v>
      </c>
      <c r="B21" s="3">
        <v>2006.0</v>
      </c>
      <c r="C21" s="3" t="s">
        <v>32</v>
      </c>
      <c r="D21" s="3" t="s">
        <v>96</v>
      </c>
      <c r="E21" s="3" t="s">
        <v>34</v>
      </c>
      <c r="F21" s="3" t="s">
        <v>42</v>
      </c>
      <c r="G21" s="3" t="s">
        <v>43</v>
      </c>
      <c r="H21" s="8" t="s">
        <v>97</v>
      </c>
    </row>
    <row r="22">
      <c r="A22" s="3" t="s">
        <v>98</v>
      </c>
      <c r="B22" s="3">
        <v>2008.0</v>
      </c>
      <c r="C22" s="3" t="s">
        <v>66</v>
      </c>
      <c r="D22" s="3" t="s">
        <v>51</v>
      </c>
      <c r="E22" s="3" t="s">
        <v>34</v>
      </c>
      <c r="F22" s="3" t="s">
        <v>42</v>
      </c>
      <c r="G22" s="3" t="s">
        <v>63</v>
      </c>
      <c r="H22" s="8" t="s">
        <v>99</v>
      </c>
    </row>
    <row r="23">
      <c r="A23" s="3" t="s">
        <v>100</v>
      </c>
      <c r="B23" s="3">
        <v>2011.0</v>
      </c>
      <c r="C23" s="3" t="s">
        <v>66</v>
      </c>
      <c r="D23" s="3" t="s">
        <v>33</v>
      </c>
      <c r="E23" s="3" t="s">
        <v>34</v>
      </c>
      <c r="F23" s="3" t="s">
        <v>42</v>
      </c>
      <c r="G23" s="3" t="s">
        <v>63</v>
      </c>
      <c r="H23" s="8" t="s">
        <v>101</v>
      </c>
    </row>
    <row r="24">
      <c r="A24" s="3" t="s">
        <v>102</v>
      </c>
      <c r="B24" s="3">
        <v>2006.0</v>
      </c>
      <c r="C24" s="3" t="s">
        <v>32</v>
      </c>
      <c r="D24" s="3" t="s">
        <v>51</v>
      </c>
      <c r="E24" s="3" t="s">
        <v>34</v>
      </c>
      <c r="F24" s="3" t="s">
        <v>103</v>
      </c>
      <c r="G24" s="3" t="s">
        <v>43</v>
      </c>
      <c r="H24" s="8" t="s">
        <v>104</v>
      </c>
    </row>
    <row r="25">
      <c r="A25" s="3" t="s">
        <v>105</v>
      </c>
      <c r="B25" s="3">
        <v>2007.0</v>
      </c>
      <c r="C25" s="3" t="s">
        <v>32</v>
      </c>
      <c r="D25" s="3" t="s">
        <v>51</v>
      </c>
      <c r="E25" s="3" t="s">
        <v>34</v>
      </c>
      <c r="F25" s="3" t="s">
        <v>42</v>
      </c>
      <c r="G25" s="3" t="s">
        <v>43</v>
      </c>
      <c r="H25" s="8" t="s">
        <v>106</v>
      </c>
    </row>
    <row r="26">
      <c r="A26" s="3" t="s">
        <v>107</v>
      </c>
      <c r="B26" s="3">
        <v>2003.0</v>
      </c>
      <c r="C26" s="3" t="s">
        <v>39</v>
      </c>
      <c r="D26" s="3" t="s">
        <v>51</v>
      </c>
      <c r="E26" s="3" t="s">
        <v>41</v>
      </c>
      <c r="F26" s="3" t="s">
        <v>42</v>
      </c>
      <c r="G26" s="3" t="s">
        <v>63</v>
      </c>
      <c r="H26" s="8" t="s">
        <v>108</v>
      </c>
    </row>
    <row r="27">
      <c r="A27" s="3" t="s">
        <v>109</v>
      </c>
      <c r="B27" s="3">
        <v>1999.0</v>
      </c>
      <c r="C27" s="3" t="s">
        <v>66</v>
      </c>
      <c r="D27" s="3" t="s">
        <v>51</v>
      </c>
      <c r="E27" s="3" t="s">
        <v>34</v>
      </c>
      <c r="F27" s="3" t="s">
        <v>42</v>
      </c>
      <c r="G27" s="3" t="s">
        <v>63</v>
      </c>
      <c r="H27" s="8" t="s">
        <v>110</v>
      </c>
    </row>
    <row r="28">
      <c r="A28" s="3" t="s">
        <v>111</v>
      </c>
      <c r="B28" s="3">
        <v>2003.0</v>
      </c>
      <c r="C28" s="3" t="s">
        <v>66</v>
      </c>
      <c r="D28" s="3" t="s">
        <v>67</v>
      </c>
      <c r="E28" s="3" t="s">
        <v>34</v>
      </c>
      <c r="F28" s="3" t="s">
        <v>68</v>
      </c>
      <c r="G28" s="3" t="s">
        <v>63</v>
      </c>
      <c r="H28" s="8" t="s">
        <v>112</v>
      </c>
    </row>
    <row r="29">
      <c r="A29" s="3" t="s">
        <v>113</v>
      </c>
      <c r="B29" s="3">
        <v>2002.0</v>
      </c>
      <c r="C29" s="3" t="s">
        <v>66</v>
      </c>
      <c r="D29" s="3" t="s">
        <v>114</v>
      </c>
      <c r="E29" s="3" t="s">
        <v>41</v>
      </c>
      <c r="F29" s="3" t="s">
        <v>42</v>
      </c>
      <c r="G29" s="3" t="s">
        <v>115</v>
      </c>
      <c r="H29" s="8" t="s">
        <v>116</v>
      </c>
    </row>
    <row r="30">
      <c r="A30" s="3" t="s">
        <v>117</v>
      </c>
      <c r="B30" s="3">
        <v>2004.0</v>
      </c>
      <c r="C30" s="3" t="s">
        <v>77</v>
      </c>
      <c r="D30" s="3" t="s">
        <v>118</v>
      </c>
      <c r="E30" s="3" t="s">
        <v>41</v>
      </c>
      <c r="F30" s="3" t="s">
        <v>119</v>
      </c>
      <c r="G30" s="3" t="s">
        <v>43</v>
      </c>
      <c r="H30" s="8" t="s">
        <v>120</v>
      </c>
    </row>
    <row r="31">
      <c r="A31" s="3" t="s">
        <v>121</v>
      </c>
      <c r="B31" s="3">
        <v>2011.0</v>
      </c>
      <c r="C31" s="3" t="s">
        <v>32</v>
      </c>
      <c r="D31" s="3" t="s">
        <v>33</v>
      </c>
      <c r="E31" s="3" t="s">
        <v>41</v>
      </c>
      <c r="F31" s="3" t="s">
        <v>42</v>
      </c>
      <c r="G31" s="3" t="s">
        <v>63</v>
      </c>
      <c r="H31" s="8" t="s">
        <v>122</v>
      </c>
    </row>
    <row r="32">
      <c r="A32" s="3" t="s">
        <v>123</v>
      </c>
      <c r="B32" s="3">
        <v>2012.0</v>
      </c>
      <c r="C32" s="3" t="s">
        <v>32</v>
      </c>
      <c r="D32" s="3" t="s">
        <v>51</v>
      </c>
      <c r="E32" s="3" t="s">
        <v>41</v>
      </c>
      <c r="F32" s="3" t="s">
        <v>124</v>
      </c>
      <c r="G32" s="3" t="s">
        <v>125</v>
      </c>
      <c r="H32" s="8" t="s">
        <v>126</v>
      </c>
    </row>
    <row r="33">
      <c r="A33" s="3" t="s">
        <v>127</v>
      </c>
      <c r="B33" s="3">
        <v>2013.0</v>
      </c>
      <c r="C33" s="3" t="s">
        <v>77</v>
      </c>
      <c r="D33" s="3" t="s">
        <v>128</v>
      </c>
      <c r="E33" s="3" t="s">
        <v>41</v>
      </c>
      <c r="F33" s="3" t="s">
        <v>42</v>
      </c>
      <c r="G33" s="3" t="s">
        <v>125</v>
      </c>
      <c r="H33" s="8" t="s">
        <v>129</v>
      </c>
    </row>
    <row r="34">
      <c r="A34" s="3" t="s">
        <v>130</v>
      </c>
      <c r="B34" s="3">
        <v>1997.0</v>
      </c>
      <c r="C34" s="3" t="s">
        <v>66</v>
      </c>
      <c r="D34" s="3" t="s">
        <v>56</v>
      </c>
      <c r="E34" s="3" t="s">
        <v>34</v>
      </c>
      <c r="F34" s="3" t="s">
        <v>68</v>
      </c>
      <c r="G34" s="3" t="s">
        <v>63</v>
      </c>
      <c r="H34" s="8" t="s">
        <v>131</v>
      </c>
    </row>
    <row r="35">
      <c r="A35" s="3" t="s">
        <v>132</v>
      </c>
      <c r="B35" s="3">
        <v>2002.0</v>
      </c>
      <c r="C35" s="3" t="s">
        <v>71</v>
      </c>
      <c r="D35" s="3" t="s">
        <v>33</v>
      </c>
      <c r="E35" s="3" t="s">
        <v>41</v>
      </c>
      <c r="F35" s="3" t="s">
        <v>42</v>
      </c>
      <c r="G35" s="3" t="s">
        <v>63</v>
      </c>
      <c r="H35" s="8" t="s">
        <v>133</v>
      </c>
    </row>
    <row r="36">
      <c r="A36" s="3" t="s">
        <v>134</v>
      </c>
      <c r="B36" s="3">
        <v>2002.0</v>
      </c>
      <c r="C36" s="3" t="s">
        <v>39</v>
      </c>
      <c r="D36" s="3" t="s">
        <v>135</v>
      </c>
      <c r="E36" s="3" t="s">
        <v>34</v>
      </c>
      <c r="F36" s="3" t="s">
        <v>42</v>
      </c>
      <c r="G36" s="3" t="s">
        <v>63</v>
      </c>
      <c r="H36" s="8" t="s">
        <v>136</v>
      </c>
    </row>
    <row r="37">
      <c r="A37" s="3" t="s">
        <v>137</v>
      </c>
      <c r="B37" s="3">
        <v>2003.0</v>
      </c>
      <c r="C37" s="3" t="s">
        <v>66</v>
      </c>
      <c r="D37" s="3" t="s">
        <v>81</v>
      </c>
      <c r="E37" s="3" t="s">
        <v>41</v>
      </c>
      <c r="F37" s="3" t="s">
        <v>42</v>
      </c>
      <c r="G37" s="3" t="s">
        <v>115</v>
      </c>
      <c r="H37" s="8" t="s">
        <v>138</v>
      </c>
    </row>
    <row r="38">
      <c r="A38" s="3" t="s">
        <v>139</v>
      </c>
      <c r="B38" s="3">
        <v>2001.0</v>
      </c>
      <c r="C38" s="3" t="s">
        <v>32</v>
      </c>
      <c r="D38" s="3" t="s">
        <v>33</v>
      </c>
      <c r="E38" s="3" t="s">
        <v>34</v>
      </c>
      <c r="F38" s="3" t="s">
        <v>42</v>
      </c>
      <c r="G38" s="3" t="s">
        <v>63</v>
      </c>
      <c r="H38" s="8" t="s">
        <v>140</v>
      </c>
    </row>
    <row r="39">
      <c r="A39" s="3" t="s">
        <v>141</v>
      </c>
      <c r="B39" s="3">
        <v>1998.0</v>
      </c>
      <c r="C39" s="3" t="s">
        <v>32</v>
      </c>
      <c r="D39" s="3" t="s">
        <v>51</v>
      </c>
      <c r="E39" s="3" t="s">
        <v>34</v>
      </c>
      <c r="F39" s="3" t="s">
        <v>42</v>
      </c>
      <c r="G39" s="3" t="s">
        <v>63</v>
      </c>
      <c r="H39" s="8" t="s">
        <v>142</v>
      </c>
    </row>
    <row r="40">
      <c r="A40" s="3" t="s">
        <v>143</v>
      </c>
      <c r="B40" s="3">
        <v>2003.0</v>
      </c>
      <c r="C40" s="3" t="s">
        <v>32</v>
      </c>
      <c r="D40" s="3" t="s">
        <v>51</v>
      </c>
      <c r="E40" s="3" t="s">
        <v>34</v>
      </c>
      <c r="F40" s="3" t="s">
        <v>42</v>
      </c>
      <c r="G40" s="3" t="s">
        <v>63</v>
      </c>
      <c r="H40" s="8" t="s">
        <v>144</v>
      </c>
    </row>
    <row r="41">
      <c r="A41" s="3" t="s">
        <v>145</v>
      </c>
      <c r="B41" s="3">
        <v>2002.0</v>
      </c>
      <c r="C41" s="3" t="s">
        <v>39</v>
      </c>
      <c r="D41" s="3" t="s">
        <v>51</v>
      </c>
      <c r="E41" s="3" t="s">
        <v>41</v>
      </c>
      <c r="F41" s="3" t="s">
        <v>42</v>
      </c>
      <c r="G41" s="3" t="s">
        <v>34</v>
      </c>
      <c r="H41" s="8" t="s">
        <v>146</v>
      </c>
    </row>
    <row r="42">
      <c r="A42" s="3" t="s">
        <v>147</v>
      </c>
      <c r="B42" s="3">
        <v>1992.0</v>
      </c>
      <c r="C42" s="3" t="s">
        <v>66</v>
      </c>
      <c r="D42" s="3" t="s">
        <v>56</v>
      </c>
      <c r="E42" s="3" t="s">
        <v>41</v>
      </c>
      <c r="F42" s="3" t="s">
        <v>119</v>
      </c>
      <c r="G42" s="3" t="s">
        <v>34</v>
      </c>
      <c r="H42" s="8" t="s">
        <v>148</v>
      </c>
    </row>
    <row r="43">
      <c r="A43" s="3" t="s">
        <v>149</v>
      </c>
      <c r="B43" s="3">
        <v>2011.0</v>
      </c>
      <c r="C43" s="3" t="s">
        <v>71</v>
      </c>
      <c r="D43" s="3" t="s">
        <v>67</v>
      </c>
      <c r="E43" s="3" t="s">
        <v>34</v>
      </c>
      <c r="F43" s="3" t="s">
        <v>42</v>
      </c>
      <c r="G43" s="3" t="s">
        <v>63</v>
      </c>
      <c r="H43" s="8" t="s">
        <v>150</v>
      </c>
    </row>
    <row r="44">
      <c r="A44" s="3" t="s">
        <v>151</v>
      </c>
      <c r="B44" s="3">
        <v>2005.0</v>
      </c>
      <c r="C44" s="3" t="s">
        <v>32</v>
      </c>
      <c r="D44" s="3" t="s">
        <v>51</v>
      </c>
      <c r="E44" s="3" t="s">
        <v>34</v>
      </c>
      <c r="F44" s="3" t="s">
        <v>42</v>
      </c>
      <c r="G44" s="3" t="s">
        <v>43</v>
      </c>
      <c r="H44" s="8" t="s">
        <v>152</v>
      </c>
    </row>
    <row r="45">
      <c r="A45" s="3" t="s">
        <v>153</v>
      </c>
      <c r="B45" s="3">
        <v>2005.0</v>
      </c>
      <c r="C45" s="3" t="s">
        <v>66</v>
      </c>
      <c r="D45" s="3" t="s">
        <v>51</v>
      </c>
      <c r="E45" s="3" t="s">
        <v>41</v>
      </c>
      <c r="F45" s="3" t="s">
        <v>42</v>
      </c>
      <c r="G45" s="3" t="s">
        <v>63</v>
      </c>
      <c r="H45" s="8" t="s">
        <v>154</v>
      </c>
    </row>
    <row r="46">
      <c r="A46" s="3" t="s">
        <v>155</v>
      </c>
      <c r="B46" s="3">
        <v>2011.0</v>
      </c>
      <c r="C46" s="3" t="s">
        <v>66</v>
      </c>
      <c r="D46" s="3" t="s">
        <v>67</v>
      </c>
      <c r="E46" s="3" t="s">
        <v>34</v>
      </c>
      <c r="F46" s="3" t="s">
        <v>42</v>
      </c>
      <c r="G46" s="3" t="s">
        <v>63</v>
      </c>
      <c r="H46" s="8" t="s">
        <v>156</v>
      </c>
    </row>
    <row r="47">
      <c r="A47" s="3" t="s">
        <v>157</v>
      </c>
      <c r="B47" s="3">
        <v>2012.0</v>
      </c>
      <c r="C47" s="3" t="s">
        <v>158</v>
      </c>
      <c r="D47" s="3" t="s">
        <v>56</v>
      </c>
      <c r="E47" s="3" t="s">
        <v>41</v>
      </c>
      <c r="F47" s="3" t="s">
        <v>68</v>
      </c>
      <c r="G47" s="3" t="s">
        <v>159</v>
      </c>
      <c r="H47" s="8" t="s">
        <v>160</v>
      </c>
    </row>
    <row r="48">
      <c r="A48" s="3" t="s">
        <v>161</v>
      </c>
      <c r="B48" s="3">
        <v>2008.0</v>
      </c>
      <c r="C48" s="3" t="s">
        <v>66</v>
      </c>
      <c r="D48" s="3" t="s">
        <v>40</v>
      </c>
      <c r="E48" s="3" t="s">
        <v>41</v>
      </c>
      <c r="F48" s="3" t="s">
        <v>162</v>
      </c>
      <c r="G48" s="3" t="s">
        <v>63</v>
      </c>
      <c r="H48" s="8" t="s">
        <v>163</v>
      </c>
    </row>
    <row r="49">
      <c r="A49" s="3" t="s">
        <v>164</v>
      </c>
      <c r="B49" s="3">
        <v>2008.0</v>
      </c>
      <c r="C49" s="3" t="s">
        <v>71</v>
      </c>
      <c r="D49" s="3" t="s">
        <v>56</v>
      </c>
      <c r="E49" s="3" t="s">
        <v>34</v>
      </c>
      <c r="F49" s="3" t="s">
        <v>42</v>
      </c>
      <c r="G49" s="3" t="s">
        <v>34</v>
      </c>
      <c r="H49" s="8" t="s">
        <v>165</v>
      </c>
    </row>
    <row r="50">
      <c r="A50" s="3" t="s">
        <v>166</v>
      </c>
      <c r="B50" s="3">
        <v>2008.0</v>
      </c>
      <c r="C50" s="3" t="s">
        <v>32</v>
      </c>
      <c r="D50" s="3" t="s">
        <v>51</v>
      </c>
      <c r="E50" s="3" t="s">
        <v>34</v>
      </c>
      <c r="F50" s="3" t="s">
        <v>42</v>
      </c>
      <c r="G50" s="3" t="s">
        <v>63</v>
      </c>
      <c r="H50" s="8" t="s">
        <v>167</v>
      </c>
    </row>
    <row r="51">
      <c r="A51" s="3" t="s">
        <v>168</v>
      </c>
      <c r="B51" s="3">
        <v>2002.0</v>
      </c>
      <c r="C51" s="3" t="s">
        <v>32</v>
      </c>
      <c r="D51" s="3" t="s">
        <v>33</v>
      </c>
      <c r="E51" s="3" t="s">
        <v>34</v>
      </c>
      <c r="F51" s="3" t="s">
        <v>42</v>
      </c>
      <c r="G51" s="3" t="s">
        <v>43</v>
      </c>
      <c r="H51" s="8" t="s">
        <v>169</v>
      </c>
    </row>
    <row r="52">
      <c r="A52" s="3" t="s">
        <v>170</v>
      </c>
      <c r="B52" s="3">
        <v>2003.0</v>
      </c>
      <c r="C52" s="3" t="s">
        <v>71</v>
      </c>
      <c r="D52" s="3" t="s">
        <v>171</v>
      </c>
      <c r="E52" s="3" t="s">
        <v>41</v>
      </c>
      <c r="F52" s="3" t="s">
        <v>42</v>
      </c>
      <c r="G52" s="3" t="s">
        <v>63</v>
      </c>
      <c r="H52" s="8" t="s">
        <v>172</v>
      </c>
    </row>
    <row r="53">
      <c r="A53" s="3" t="s">
        <v>173</v>
      </c>
      <c r="B53" s="3">
        <v>2009.0</v>
      </c>
      <c r="C53" s="3" t="s">
        <v>66</v>
      </c>
      <c r="D53" s="3" t="s">
        <v>56</v>
      </c>
      <c r="E53" s="3" t="s">
        <v>41</v>
      </c>
      <c r="F53" s="3" t="s">
        <v>68</v>
      </c>
      <c r="G53" s="3" t="s">
        <v>159</v>
      </c>
      <c r="H53" s="8" t="s">
        <v>174</v>
      </c>
    </row>
    <row r="54">
      <c r="A54" s="3" t="s">
        <v>175</v>
      </c>
      <c r="B54" s="3">
        <v>2013.0</v>
      </c>
      <c r="C54" s="3" t="s">
        <v>39</v>
      </c>
      <c r="D54" s="3" t="s">
        <v>51</v>
      </c>
      <c r="E54" s="3" t="s">
        <v>41</v>
      </c>
      <c r="F54" s="3" t="s">
        <v>124</v>
      </c>
      <c r="G54" s="3" t="s">
        <v>159</v>
      </c>
      <c r="H54" s="8" t="s">
        <v>176</v>
      </c>
    </row>
    <row r="55">
      <c r="A55" s="3" t="s">
        <v>177</v>
      </c>
      <c r="B55" s="3">
        <v>2013.0</v>
      </c>
      <c r="C55" s="3" t="s">
        <v>32</v>
      </c>
      <c r="D55" s="3" t="s">
        <v>33</v>
      </c>
      <c r="E55" s="3" t="s">
        <v>34</v>
      </c>
      <c r="F55" s="3" t="s">
        <v>42</v>
      </c>
      <c r="G55" s="3" t="s">
        <v>63</v>
      </c>
      <c r="H55" s="8" t="s">
        <v>178</v>
      </c>
    </row>
    <row r="56">
      <c r="A56" s="3" t="s">
        <v>179</v>
      </c>
      <c r="B56" s="3">
        <v>2013.0</v>
      </c>
      <c r="C56" s="3" t="s">
        <v>71</v>
      </c>
      <c r="D56" s="3" t="s">
        <v>33</v>
      </c>
      <c r="E56" s="3" t="s">
        <v>34</v>
      </c>
      <c r="F56" s="3" t="s">
        <v>180</v>
      </c>
      <c r="G56" s="3" t="s">
        <v>63</v>
      </c>
      <c r="H56" s="8" t="s">
        <v>181</v>
      </c>
    </row>
    <row r="57">
      <c r="A57" s="3" t="s">
        <v>182</v>
      </c>
      <c r="B57" s="3">
        <v>2004.0</v>
      </c>
      <c r="C57" s="3" t="s">
        <v>183</v>
      </c>
      <c r="D57" s="3" t="s">
        <v>33</v>
      </c>
      <c r="E57" s="3" t="s">
        <v>41</v>
      </c>
      <c r="F57" s="3" t="s">
        <v>68</v>
      </c>
      <c r="G57" s="3" t="s">
        <v>63</v>
      </c>
      <c r="H57" s="8" t="s">
        <v>184</v>
      </c>
    </row>
    <row r="58">
      <c r="A58" s="3" t="s">
        <v>185</v>
      </c>
      <c r="B58" s="3">
        <v>2004.0</v>
      </c>
      <c r="C58" s="3" t="s">
        <v>32</v>
      </c>
      <c r="D58" s="3" t="s">
        <v>51</v>
      </c>
      <c r="E58" s="3" t="s">
        <v>34</v>
      </c>
      <c r="F58" s="3" t="s">
        <v>42</v>
      </c>
      <c r="G58" s="3" t="s">
        <v>186</v>
      </c>
      <c r="H58" s="8" t="s">
        <v>187</v>
      </c>
    </row>
    <row r="59">
      <c r="A59" s="3" t="s">
        <v>188</v>
      </c>
      <c r="B59" s="3">
        <v>2011.0</v>
      </c>
      <c r="C59" s="3" t="s">
        <v>32</v>
      </c>
      <c r="D59" s="3" t="s">
        <v>33</v>
      </c>
      <c r="E59" s="3" t="s">
        <v>34</v>
      </c>
      <c r="F59" s="3" t="s">
        <v>42</v>
      </c>
      <c r="G59" s="3" t="s">
        <v>63</v>
      </c>
      <c r="H59" s="8" t="s">
        <v>189</v>
      </c>
    </row>
    <row r="60">
      <c r="A60" s="3" t="s">
        <v>190</v>
      </c>
      <c r="B60" s="3">
        <v>2004.0</v>
      </c>
      <c r="C60" s="3" t="s">
        <v>32</v>
      </c>
      <c r="D60" s="3" t="s">
        <v>51</v>
      </c>
      <c r="E60" s="3" t="s">
        <v>34</v>
      </c>
      <c r="F60" s="3" t="s">
        <v>42</v>
      </c>
      <c r="G60" s="3" t="s">
        <v>43</v>
      </c>
      <c r="H60" s="8" t="s">
        <v>191</v>
      </c>
    </row>
    <row r="61">
      <c r="A61" s="3" t="s">
        <v>192</v>
      </c>
      <c r="B61" s="3">
        <v>2005.0</v>
      </c>
      <c r="C61" s="3" t="s">
        <v>39</v>
      </c>
      <c r="D61" s="3" t="s">
        <v>51</v>
      </c>
      <c r="E61" s="3" t="s">
        <v>41</v>
      </c>
      <c r="F61" s="3" t="s">
        <v>42</v>
      </c>
      <c r="G61" s="3" t="s">
        <v>34</v>
      </c>
      <c r="H61" s="8" t="s">
        <v>193</v>
      </c>
    </row>
    <row r="62">
      <c r="A62" s="3" t="s">
        <v>194</v>
      </c>
      <c r="B62" s="3">
        <v>2006.0</v>
      </c>
      <c r="C62" s="3" t="s">
        <v>39</v>
      </c>
      <c r="D62" s="3" t="s">
        <v>56</v>
      </c>
      <c r="E62" s="3" t="s">
        <v>41</v>
      </c>
      <c r="F62" s="3" t="s">
        <v>42</v>
      </c>
      <c r="G62" s="3" t="s">
        <v>34</v>
      </c>
      <c r="H62" s="8" t="s">
        <v>195</v>
      </c>
    </row>
    <row r="63">
      <c r="A63" s="3" t="s">
        <v>196</v>
      </c>
      <c r="B63" s="3">
        <v>2006.0</v>
      </c>
      <c r="C63" s="3" t="s">
        <v>158</v>
      </c>
      <c r="D63" s="3" t="s">
        <v>56</v>
      </c>
      <c r="E63" s="3" t="s">
        <v>41</v>
      </c>
      <c r="F63" s="3" t="s">
        <v>42</v>
      </c>
      <c r="G63" s="3" t="s">
        <v>43</v>
      </c>
      <c r="H63" s="8" t="s">
        <v>197</v>
      </c>
    </row>
    <row r="64">
      <c r="A64" s="3" t="s">
        <v>198</v>
      </c>
      <c r="B64" s="3">
        <v>2006.0</v>
      </c>
      <c r="C64" s="3" t="s">
        <v>32</v>
      </c>
      <c r="D64" s="3" t="s">
        <v>51</v>
      </c>
      <c r="E64" s="3" t="s">
        <v>34</v>
      </c>
      <c r="F64" s="3" t="s">
        <v>42</v>
      </c>
      <c r="G64" s="3" t="s">
        <v>43</v>
      </c>
      <c r="H64" s="8" t="s">
        <v>199</v>
      </c>
    </row>
    <row r="65">
      <c r="A65" s="3" t="s">
        <v>200</v>
      </c>
      <c r="B65" s="3">
        <v>2007.0</v>
      </c>
      <c r="C65" s="3" t="s">
        <v>71</v>
      </c>
      <c r="D65" s="3" t="s">
        <v>33</v>
      </c>
      <c r="E65" s="3" t="s">
        <v>41</v>
      </c>
      <c r="F65" s="3" t="s">
        <v>42</v>
      </c>
      <c r="G65" s="3" t="s">
        <v>63</v>
      </c>
      <c r="H65" s="8" t="s">
        <v>201</v>
      </c>
    </row>
    <row r="66">
      <c r="A66" s="3" t="s">
        <v>202</v>
      </c>
      <c r="B66" s="3">
        <v>2008.0</v>
      </c>
      <c r="C66" s="3" t="s">
        <v>32</v>
      </c>
      <c r="D66" s="3" t="s">
        <v>33</v>
      </c>
      <c r="E66" s="3" t="s">
        <v>34</v>
      </c>
      <c r="F66" s="3" t="s">
        <v>42</v>
      </c>
      <c r="G66" s="3" t="s">
        <v>43</v>
      </c>
      <c r="H66" s="8" t="s">
        <v>203</v>
      </c>
    </row>
    <row r="67">
      <c r="A67" s="3" t="s">
        <v>204</v>
      </c>
      <c r="B67" s="3">
        <v>2008.0</v>
      </c>
      <c r="C67" s="3" t="s">
        <v>32</v>
      </c>
      <c r="D67" s="3" t="s">
        <v>51</v>
      </c>
      <c r="E67" s="3" t="s">
        <v>34</v>
      </c>
      <c r="F67" s="3" t="s">
        <v>42</v>
      </c>
      <c r="G67" s="3" t="s">
        <v>63</v>
      </c>
      <c r="H67" s="8" t="s">
        <v>205</v>
      </c>
    </row>
    <row r="68">
      <c r="A68" s="3" t="s">
        <v>206</v>
      </c>
      <c r="B68" s="3">
        <v>2008.0</v>
      </c>
      <c r="C68" s="3" t="s">
        <v>71</v>
      </c>
      <c r="D68" s="3" t="s">
        <v>51</v>
      </c>
      <c r="E68" s="3" t="s">
        <v>41</v>
      </c>
      <c r="F68" s="3" t="s">
        <v>42</v>
      </c>
      <c r="G68" s="3" t="s">
        <v>125</v>
      </c>
      <c r="H68" s="8" t="s">
        <v>207</v>
      </c>
    </row>
    <row r="69">
      <c r="A69" s="3" t="s">
        <v>208</v>
      </c>
      <c r="B69" s="3">
        <v>2008.0</v>
      </c>
      <c r="C69" s="3" t="s">
        <v>39</v>
      </c>
      <c r="D69" s="3" t="s">
        <v>209</v>
      </c>
      <c r="E69" s="3" t="s">
        <v>34</v>
      </c>
      <c r="F69" s="3" t="s">
        <v>42</v>
      </c>
      <c r="G69" s="3" t="s">
        <v>63</v>
      </c>
      <c r="H69" s="8" t="s">
        <v>210</v>
      </c>
    </row>
    <row r="70">
      <c r="A70" s="3" t="s">
        <v>211</v>
      </c>
      <c r="B70" s="3">
        <v>2009.0</v>
      </c>
      <c r="C70" s="3" t="s">
        <v>32</v>
      </c>
      <c r="D70" s="3" t="s">
        <v>51</v>
      </c>
      <c r="E70" s="3" t="s">
        <v>34</v>
      </c>
      <c r="F70" s="3" t="s">
        <v>42</v>
      </c>
      <c r="G70" s="3" t="s">
        <v>63</v>
      </c>
      <c r="H70" s="8" t="s">
        <v>212</v>
      </c>
    </row>
    <row r="71">
      <c r="A71" s="3" t="s">
        <v>213</v>
      </c>
      <c r="B71" s="3">
        <v>2010.0</v>
      </c>
      <c r="C71" s="3" t="s">
        <v>32</v>
      </c>
      <c r="D71" s="3" t="s">
        <v>56</v>
      </c>
      <c r="E71" s="3" t="s">
        <v>34</v>
      </c>
      <c r="F71" s="3" t="s">
        <v>42</v>
      </c>
      <c r="G71" s="3" t="s">
        <v>63</v>
      </c>
      <c r="H71" s="8" t="s">
        <v>214</v>
      </c>
    </row>
    <row r="72">
      <c r="A72" s="3" t="s">
        <v>215</v>
      </c>
      <c r="B72" s="3">
        <v>2010.0</v>
      </c>
      <c r="C72" s="3" t="s">
        <v>183</v>
      </c>
      <c r="D72" s="3" t="s">
        <v>67</v>
      </c>
      <c r="E72" s="3" t="s">
        <v>41</v>
      </c>
      <c r="F72" s="3" t="s">
        <v>42</v>
      </c>
      <c r="G72" s="3" t="s">
        <v>63</v>
      </c>
      <c r="H72" s="8" t="s">
        <v>216</v>
      </c>
    </row>
    <row r="73">
      <c r="A73" s="3" t="s">
        <v>217</v>
      </c>
      <c r="B73" s="3">
        <v>2011.0</v>
      </c>
      <c r="C73" s="3" t="s">
        <v>32</v>
      </c>
      <c r="D73" s="3" t="s">
        <v>51</v>
      </c>
      <c r="E73" s="3" t="s">
        <v>34</v>
      </c>
      <c r="F73" s="3" t="s">
        <v>42</v>
      </c>
      <c r="G73" s="3" t="s">
        <v>63</v>
      </c>
      <c r="H73" s="8" t="s">
        <v>218</v>
      </c>
    </row>
    <row r="74">
      <c r="A74" s="3" t="s">
        <v>219</v>
      </c>
      <c r="B74" s="3">
        <v>2012.0</v>
      </c>
      <c r="C74" s="3" t="s">
        <v>71</v>
      </c>
      <c r="D74" s="3" t="s">
        <v>51</v>
      </c>
      <c r="E74" s="3" t="s">
        <v>41</v>
      </c>
      <c r="F74" s="3" t="s">
        <v>220</v>
      </c>
      <c r="G74" s="3" t="s">
        <v>63</v>
      </c>
      <c r="H74" s="8" t="s">
        <v>221</v>
      </c>
    </row>
    <row r="75">
      <c r="A75" s="3" t="s">
        <v>222</v>
      </c>
      <c r="B75" s="3">
        <v>2012.0</v>
      </c>
      <c r="C75" s="3" t="s">
        <v>77</v>
      </c>
      <c r="D75" s="3" t="s">
        <v>40</v>
      </c>
      <c r="E75" s="3" t="s">
        <v>41</v>
      </c>
      <c r="F75" s="3" t="s">
        <v>42</v>
      </c>
      <c r="G75" s="3" t="s">
        <v>43</v>
      </c>
      <c r="H75" s="8" t="s">
        <v>223</v>
      </c>
    </row>
    <row r="76">
      <c r="A76" s="3" t="s">
        <v>224</v>
      </c>
      <c r="B76" s="3">
        <v>2012.0</v>
      </c>
      <c r="C76" s="3" t="s">
        <v>46</v>
      </c>
      <c r="D76" s="3" t="s">
        <v>56</v>
      </c>
      <c r="E76" s="3" t="s">
        <v>34</v>
      </c>
      <c r="F76" s="3" t="s">
        <v>42</v>
      </c>
      <c r="G76" s="3" t="s">
        <v>43</v>
      </c>
      <c r="H76" s="8" t="s">
        <v>225</v>
      </c>
    </row>
    <row r="77">
      <c r="A77" s="3" t="s">
        <v>226</v>
      </c>
      <c r="B77" s="3">
        <v>2008.0</v>
      </c>
      <c r="C77" s="3" t="s">
        <v>66</v>
      </c>
      <c r="D77" s="3" t="s">
        <v>51</v>
      </c>
      <c r="E77" s="3" t="s">
        <v>41</v>
      </c>
      <c r="F77" s="3" t="s">
        <v>68</v>
      </c>
      <c r="G77" s="3" t="s">
        <v>159</v>
      </c>
      <c r="H77" s="8" t="s">
        <v>227</v>
      </c>
    </row>
    <row r="78">
      <c r="A78" s="3" t="s">
        <v>228</v>
      </c>
      <c r="B78" s="3">
        <v>2005.0</v>
      </c>
      <c r="C78" s="3" t="s">
        <v>66</v>
      </c>
      <c r="D78" s="3" t="s">
        <v>67</v>
      </c>
      <c r="E78" s="3" t="s">
        <v>34</v>
      </c>
      <c r="F78" s="3" t="s">
        <v>42</v>
      </c>
      <c r="G78" s="3" t="s">
        <v>229</v>
      </c>
      <c r="H78" s="8" t="s">
        <v>230</v>
      </c>
    </row>
    <row r="79">
      <c r="A79" s="3" t="s">
        <v>231</v>
      </c>
      <c r="B79" s="3">
        <v>2006.0</v>
      </c>
      <c r="C79" s="3" t="s">
        <v>39</v>
      </c>
      <c r="D79" s="3" t="s">
        <v>51</v>
      </c>
      <c r="E79" s="3" t="s">
        <v>41</v>
      </c>
      <c r="F79" s="3" t="s">
        <v>42</v>
      </c>
      <c r="G79" s="3" t="s">
        <v>43</v>
      </c>
      <c r="H79" s="8" t="s">
        <v>232</v>
      </c>
    </row>
    <row r="80">
      <c r="A80" s="3" t="s">
        <v>233</v>
      </c>
      <c r="B80" s="3">
        <v>2006.0</v>
      </c>
      <c r="C80" s="3" t="s">
        <v>39</v>
      </c>
      <c r="D80" s="3" t="s">
        <v>51</v>
      </c>
      <c r="E80" s="3" t="s">
        <v>34</v>
      </c>
      <c r="F80" s="3" t="s">
        <v>42</v>
      </c>
      <c r="G80" s="3" t="s">
        <v>125</v>
      </c>
      <c r="H80" s="8" t="s">
        <v>234</v>
      </c>
    </row>
    <row r="81">
      <c r="A81" s="3" t="s">
        <v>235</v>
      </c>
      <c r="B81" s="3">
        <v>2010.0</v>
      </c>
      <c r="C81" s="3" t="s">
        <v>66</v>
      </c>
      <c r="D81" s="3" t="s">
        <v>236</v>
      </c>
      <c r="E81" s="3" t="s">
        <v>41</v>
      </c>
      <c r="F81" s="3" t="s">
        <v>237</v>
      </c>
      <c r="G81" s="3" t="s">
        <v>63</v>
      </c>
      <c r="H81" s="8" t="s">
        <v>238</v>
      </c>
    </row>
    <row r="82">
      <c r="A82" s="3" t="s">
        <v>239</v>
      </c>
      <c r="B82" s="3">
        <v>2011.0</v>
      </c>
      <c r="C82" s="3" t="s">
        <v>66</v>
      </c>
      <c r="D82" s="3" t="s">
        <v>240</v>
      </c>
      <c r="E82" s="3" t="s">
        <v>41</v>
      </c>
      <c r="F82" s="3" t="s">
        <v>42</v>
      </c>
      <c r="G82" s="3" t="s">
        <v>229</v>
      </c>
      <c r="H82" s="8" t="s">
        <v>241</v>
      </c>
    </row>
    <row r="83">
      <c r="A83" s="3" t="s">
        <v>242</v>
      </c>
      <c r="B83" s="3">
        <v>2011.0</v>
      </c>
      <c r="C83" s="3" t="s">
        <v>77</v>
      </c>
      <c r="D83" s="3" t="s">
        <v>243</v>
      </c>
      <c r="E83" s="3" t="s">
        <v>34</v>
      </c>
      <c r="F83" s="3" t="s">
        <v>42</v>
      </c>
      <c r="G83" s="3" t="s">
        <v>125</v>
      </c>
      <c r="H83" s="8" t="s">
        <v>244</v>
      </c>
    </row>
    <row r="84">
      <c r="A84" s="3" t="s">
        <v>245</v>
      </c>
      <c r="B84" s="3">
        <v>2004.0</v>
      </c>
      <c r="C84" s="3" t="s">
        <v>50</v>
      </c>
      <c r="D84" s="3" t="s">
        <v>51</v>
      </c>
      <c r="E84" s="3" t="s">
        <v>34</v>
      </c>
      <c r="F84" s="3" t="s">
        <v>124</v>
      </c>
      <c r="G84" s="3" t="s">
        <v>34</v>
      </c>
      <c r="H84" s="8" t="s">
        <v>246</v>
      </c>
    </row>
    <row r="85">
      <c r="A85" s="3" t="s">
        <v>247</v>
      </c>
      <c r="B85" s="3">
        <v>2011.0</v>
      </c>
      <c r="C85" s="3" t="s">
        <v>32</v>
      </c>
      <c r="D85" s="3" t="s">
        <v>51</v>
      </c>
      <c r="E85" s="3" t="s">
        <v>34</v>
      </c>
      <c r="F85" s="3" t="s">
        <v>248</v>
      </c>
      <c r="G85" s="3" t="s">
        <v>63</v>
      </c>
      <c r="H85" s="8" t="s">
        <v>249</v>
      </c>
    </row>
    <row r="86">
      <c r="A86" s="3" t="s">
        <v>250</v>
      </c>
      <c r="B86" s="3">
        <v>2010.0</v>
      </c>
      <c r="C86" s="3" t="s">
        <v>71</v>
      </c>
      <c r="D86" s="3" t="s">
        <v>51</v>
      </c>
      <c r="E86" s="3" t="s">
        <v>41</v>
      </c>
      <c r="F86" s="3" t="s">
        <v>42</v>
      </c>
      <c r="G86" s="3" t="s">
        <v>43</v>
      </c>
      <c r="H86" s="8" t="s">
        <v>251</v>
      </c>
    </row>
    <row r="87">
      <c r="A87" s="3" t="s">
        <v>252</v>
      </c>
      <c r="B87" s="3">
        <v>2012.0</v>
      </c>
      <c r="C87" s="3" t="s">
        <v>32</v>
      </c>
      <c r="D87" s="3" t="s">
        <v>81</v>
      </c>
      <c r="E87" s="3" t="s">
        <v>34</v>
      </c>
      <c r="F87" s="3" t="s">
        <v>42</v>
      </c>
      <c r="G87" s="3" t="s">
        <v>63</v>
      </c>
      <c r="H87" s="8" t="s">
        <v>253</v>
      </c>
    </row>
    <row r="88">
      <c r="A88" s="3" t="s">
        <v>254</v>
      </c>
      <c r="B88" s="3">
        <v>2006.0</v>
      </c>
      <c r="C88" s="3" t="s">
        <v>32</v>
      </c>
      <c r="D88" s="3" t="s">
        <v>81</v>
      </c>
      <c r="E88" s="3" t="s">
        <v>34</v>
      </c>
      <c r="F88" s="3" t="s">
        <v>42</v>
      </c>
      <c r="G88" s="3" t="s">
        <v>43</v>
      </c>
      <c r="H88" s="8" t="s">
        <v>255</v>
      </c>
    </row>
    <row r="89">
      <c r="A89" s="3" t="s">
        <v>256</v>
      </c>
      <c r="B89" s="3">
        <v>2006.0</v>
      </c>
      <c r="C89" s="3" t="s">
        <v>77</v>
      </c>
      <c r="D89" s="3" t="s">
        <v>257</v>
      </c>
      <c r="E89" s="3" t="s">
        <v>41</v>
      </c>
      <c r="F89" s="3" t="s">
        <v>119</v>
      </c>
      <c r="G89" s="3" t="s">
        <v>43</v>
      </c>
      <c r="H89" s="8" t="s">
        <v>258</v>
      </c>
    </row>
    <row r="90">
      <c r="A90" s="3" t="s">
        <v>259</v>
      </c>
      <c r="B90" s="3">
        <v>2007.0</v>
      </c>
      <c r="C90" s="3" t="s">
        <v>66</v>
      </c>
      <c r="D90" s="3" t="s">
        <v>56</v>
      </c>
      <c r="E90" s="3" t="s">
        <v>34</v>
      </c>
      <c r="F90" s="3" t="s">
        <v>68</v>
      </c>
      <c r="G90" s="3" t="s">
        <v>159</v>
      </c>
      <c r="H90" s="8" t="s">
        <v>260</v>
      </c>
    </row>
    <row r="91">
      <c r="A91" s="3" t="s">
        <v>261</v>
      </c>
      <c r="B91" s="3">
        <v>2007.0</v>
      </c>
      <c r="C91" s="3" t="s">
        <v>66</v>
      </c>
      <c r="D91" s="3" t="s">
        <v>51</v>
      </c>
      <c r="E91" s="3" t="s">
        <v>41</v>
      </c>
      <c r="F91" s="3" t="s">
        <v>42</v>
      </c>
      <c r="G91" s="3" t="s">
        <v>63</v>
      </c>
      <c r="H91" s="8" t="s">
        <v>262</v>
      </c>
    </row>
    <row r="92">
      <c r="A92" s="3" t="s">
        <v>263</v>
      </c>
      <c r="B92" s="3">
        <v>2008.0</v>
      </c>
      <c r="C92" s="3" t="s">
        <v>77</v>
      </c>
      <c r="D92" s="3" t="s">
        <v>81</v>
      </c>
      <c r="E92" s="3" t="s">
        <v>41</v>
      </c>
      <c r="F92" s="3" t="s">
        <v>42</v>
      </c>
      <c r="G92" s="3" t="s">
        <v>63</v>
      </c>
      <c r="H92" s="8" t="s">
        <v>264</v>
      </c>
    </row>
    <row r="93">
      <c r="A93" s="3" t="s">
        <v>265</v>
      </c>
      <c r="B93" s="3">
        <v>2009.0</v>
      </c>
      <c r="C93" s="3" t="s">
        <v>32</v>
      </c>
      <c r="D93" s="3" t="s">
        <v>51</v>
      </c>
      <c r="E93" s="3" t="s">
        <v>34</v>
      </c>
      <c r="F93" s="3" t="s">
        <v>42</v>
      </c>
      <c r="G93" s="3" t="s">
        <v>125</v>
      </c>
      <c r="H93" s="8" t="s">
        <v>266</v>
      </c>
    </row>
    <row r="94">
      <c r="A94" s="3" t="s">
        <v>267</v>
      </c>
      <c r="B94" s="3">
        <v>2005.0</v>
      </c>
      <c r="C94" s="3" t="s">
        <v>66</v>
      </c>
      <c r="D94" s="3" t="s">
        <v>240</v>
      </c>
      <c r="E94" s="3" t="s">
        <v>41</v>
      </c>
      <c r="F94" s="3" t="s">
        <v>42</v>
      </c>
      <c r="G94" s="3" t="s">
        <v>43</v>
      </c>
      <c r="H94" s="8" t="s">
        <v>268</v>
      </c>
    </row>
    <row r="95">
      <c r="A95" s="3" t="s">
        <v>269</v>
      </c>
      <c r="B95" s="3">
        <v>2010.0</v>
      </c>
      <c r="C95" s="3" t="s">
        <v>46</v>
      </c>
      <c r="D95" s="3" t="s">
        <v>81</v>
      </c>
      <c r="E95" s="3" t="s">
        <v>34</v>
      </c>
      <c r="F95" s="3" t="s">
        <v>42</v>
      </c>
      <c r="G95" s="3" t="s">
        <v>34</v>
      </c>
      <c r="H95" s="8" t="s">
        <v>270</v>
      </c>
    </row>
    <row r="96">
      <c r="A96" s="3" t="s">
        <v>271</v>
      </c>
      <c r="B96" s="3">
        <v>2013.0</v>
      </c>
      <c r="C96" s="3" t="s">
        <v>183</v>
      </c>
      <c r="D96" s="3" t="s">
        <v>67</v>
      </c>
      <c r="E96" s="3" t="s">
        <v>41</v>
      </c>
      <c r="F96" s="3" t="s">
        <v>42</v>
      </c>
      <c r="G96" s="3" t="s">
        <v>63</v>
      </c>
      <c r="H96" s="8" t="s">
        <v>272</v>
      </c>
    </row>
    <row r="97">
      <c r="A97" s="3" t="s">
        <v>273</v>
      </c>
      <c r="B97" s="3">
        <v>2014.0</v>
      </c>
      <c r="C97" s="3" t="s">
        <v>183</v>
      </c>
      <c r="D97" s="3" t="s">
        <v>33</v>
      </c>
      <c r="E97" s="3" t="s">
        <v>41</v>
      </c>
      <c r="F97" s="3" t="s">
        <v>42</v>
      </c>
      <c r="G97" s="3" t="s">
        <v>63</v>
      </c>
      <c r="H97" s="8" t="s">
        <v>274</v>
      </c>
    </row>
    <row r="98">
      <c r="A98" s="3" t="s">
        <v>275</v>
      </c>
      <c r="B98" s="3">
        <v>2008.0</v>
      </c>
      <c r="C98" s="3" t="s">
        <v>50</v>
      </c>
      <c r="D98" s="3" t="s">
        <v>96</v>
      </c>
      <c r="E98" s="3" t="s">
        <v>34</v>
      </c>
      <c r="F98" s="3" t="s">
        <v>42</v>
      </c>
      <c r="G98" s="3" t="s">
        <v>43</v>
      </c>
      <c r="H98" s="8" t="s">
        <v>276</v>
      </c>
    </row>
    <row r="99">
      <c r="A99" s="3" t="s">
        <v>277</v>
      </c>
      <c r="B99" s="3">
        <v>2010.0</v>
      </c>
      <c r="C99" s="3" t="s">
        <v>77</v>
      </c>
      <c r="D99" s="3" t="s">
        <v>40</v>
      </c>
      <c r="E99" s="3" t="s">
        <v>41</v>
      </c>
      <c r="F99" s="3" t="s">
        <v>68</v>
      </c>
      <c r="G99" s="3" t="s">
        <v>34</v>
      </c>
      <c r="H99" s="8" t="s">
        <v>278</v>
      </c>
    </row>
    <row r="100">
      <c r="A100" s="3" t="s">
        <v>279</v>
      </c>
      <c r="B100" s="3">
        <v>2004.0</v>
      </c>
      <c r="C100" s="3" t="s">
        <v>66</v>
      </c>
      <c r="D100" s="3" t="s">
        <v>33</v>
      </c>
      <c r="E100" s="3" t="s">
        <v>34</v>
      </c>
      <c r="F100" s="3" t="s">
        <v>42</v>
      </c>
      <c r="G100" s="3" t="s">
        <v>34</v>
      </c>
      <c r="H100" s="8" t="s">
        <v>280</v>
      </c>
    </row>
    <row r="101">
      <c r="A101" s="3" t="s">
        <v>281</v>
      </c>
      <c r="B101" s="3">
        <v>2007.0</v>
      </c>
      <c r="C101" s="3" t="s">
        <v>77</v>
      </c>
      <c r="D101" s="3" t="s">
        <v>81</v>
      </c>
      <c r="E101" s="3" t="s">
        <v>41</v>
      </c>
      <c r="F101" s="3" t="s">
        <v>42</v>
      </c>
      <c r="G101" s="3" t="s">
        <v>34</v>
      </c>
      <c r="H101" s="8" t="s">
        <v>282</v>
      </c>
    </row>
    <row r="102">
      <c r="A102" s="3" t="s">
        <v>283</v>
      </c>
      <c r="B102" s="3">
        <v>2008.0</v>
      </c>
      <c r="C102" s="3" t="s">
        <v>32</v>
      </c>
      <c r="D102" s="3" t="s">
        <v>81</v>
      </c>
      <c r="E102" s="3" t="s">
        <v>34</v>
      </c>
      <c r="F102" s="3" t="s">
        <v>42</v>
      </c>
      <c r="G102" s="3" t="s">
        <v>43</v>
      </c>
      <c r="H102" s="8" t="s">
        <v>284</v>
      </c>
    </row>
    <row r="103">
      <c r="A103" s="3" t="s">
        <v>285</v>
      </c>
      <c r="B103" s="3">
        <v>2008.0</v>
      </c>
      <c r="C103" s="3" t="s">
        <v>66</v>
      </c>
      <c r="D103" s="3" t="s">
        <v>51</v>
      </c>
      <c r="E103" s="3" t="s">
        <v>41</v>
      </c>
      <c r="F103" s="3" t="s">
        <v>42</v>
      </c>
      <c r="G103" s="3" t="s">
        <v>43</v>
      </c>
      <c r="H103" s="8" t="s">
        <v>286</v>
      </c>
    </row>
    <row r="104">
      <c r="A104" s="3" t="s">
        <v>287</v>
      </c>
      <c r="B104" s="3">
        <v>2012.0</v>
      </c>
      <c r="C104" s="3" t="s">
        <v>66</v>
      </c>
      <c r="D104" s="3" t="s">
        <v>81</v>
      </c>
      <c r="E104" s="3" t="s">
        <v>34</v>
      </c>
      <c r="F104" s="3" t="s">
        <v>35</v>
      </c>
      <c r="G104" s="3" t="s">
        <v>159</v>
      </c>
      <c r="H104" s="8" t="s">
        <v>288</v>
      </c>
    </row>
    <row r="105">
      <c r="A105" s="3" t="s">
        <v>289</v>
      </c>
      <c r="B105" s="3">
        <v>2012.0</v>
      </c>
      <c r="C105" s="3" t="s">
        <v>32</v>
      </c>
      <c r="D105" s="3" t="s">
        <v>56</v>
      </c>
      <c r="E105" s="3" t="s">
        <v>34</v>
      </c>
      <c r="F105" s="3" t="s">
        <v>42</v>
      </c>
      <c r="G105" s="3" t="s">
        <v>43</v>
      </c>
      <c r="H105" s="8" t="s">
        <v>290</v>
      </c>
    </row>
    <row r="106">
      <c r="A106" s="3" t="s">
        <v>291</v>
      </c>
      <c r="B106" s="3">
        <v>2013.0</v>
      </c>
      <c r="C106" s="3" t="s">
        <v>183</v>
      </c>
      <c r="D106" s="3" t="s">
        <v>67</v>
      </c>
      <c r="E106" s="3" t="s">
        <v>34</v>
      </c>
      <c r="F106" s="3" t="s">
        <v>42</v>
      </c>
      <c r="G106" s="3" t="s">
        <v>63</v>
      </c>
      <c r="H106" s="8" t="s">
        <v>292</v>
      </c>
    </row>
    <row r="107">
      <c r="A107" s="3" t="s">
        <v>293</v>
      </c>
      <c r="B107" s="3">
        <v>2013.0</v>
      </c>
      <c r="C107" s="3" t="s">
        <v>66</v>
      </c>
      <c r="D107" s="3" t="s">
        <v>67</v>
      </c>
      <c r="E107" s="3" t="s">
        <v>34</v>
      </c>
      <c r="F107" s="3" t="s">
        <v>35</v>
      </c>
      <c r="G107" s="3" t="s">
        <v>159</v>
      </c>
      <c r="H107" s="8" t="s">
        <v>294</v>
      </c>
    </row>
    <row r="108">
      <c r="A108" s="3" t="s">
        <v>295</v>
      </c>
      <c r="B108" s="3">
        <v>2013.0</v>
      </c>
      <c r="C108" s="3" t="s">
        <v>77</v>
      </c>
      <c r="D108" s="3" t="s">
        <v>296</v>
      </c>
      <c r="E108" s="3" t="s">
        <v>41</v>
      </c>
      <c r="F108" s="3" t="s">
        <v>35</v>
      </c>
      <c r="G108" s="3" t="s">
        <v>159</v>
      </c>
      <c r="H108" s="8" t="s">
        <v>297</v>
      </c>
    </row>
    <row r="109">
      <c r="A109" s="3" t="s">
        <v>298</v>
      </c>
      <c r="B109" s="3">
        <v>2013.0</v>
      </c>
      <c r="C109" s="3" t="s">
        <v>32</v>
      </c>
      <c r="D109" s="3" t="s">
        <v>33</v>
      </c>
      <c r="E109" s="3" t="s">
        <v>41</v>
      </c>
      <c r="F109" s="3" t="s">
        <v>42</v>
      </c>
      <c r="G109" s="3" t="s">
        <v>63</v>
      </c>
      <c r="H109" s="8" t="s">
        <v>299</v>
      </c>
    </row>
    <row r="110">
      <c r="A110" s="3" t="s">
        <v>300</v>
      </c>
      <c r="B110" s="3">
        <v>2008.0</v>
      </c>
      <c r="C110" s="3" t="s">
        <v>301</v>
      </c>
      <c r="D110" s="3" t="s">
        <v>56</v>
      </c>
      <c r="E110" s="3" t="s">
        <v>41</v>
      </c>
      <c r="F110" s="3" t="s">
        <v>35</v>
      </c>
      <c r="G110" s="3" t="s">
        <v>159</v>
      </c>
      <c r="H110" s="8" t="s">
        <v>302</v>
      </c>
    </row>
    <row r="111">
      <c r="A111" s="3" t="s">
        <v>303</v>
      </c>
      <c r="B111" s="3">
        <v>2008.0</v>
      </c>
      <c r="C111" s="3" t="s">
        <v>32</v>
      </c>
      <c r="D111" s="3" t="s">
        <v>96</v>
      </c>
      <c r="E111" s="3" t="s">
        <v>34</v>
      </c>
      <c r="F111" s="3" t="s">
        <v>42</v>
      </c>
      <c r="G111" s="3" t="s">
        <v>43</v>
      </c>
      <c r="H111" s="8" t="s">
        <v>304</v>
      </c>
    </row>
    <row r="112">
      <c r="A112" s="3" t="s">
        <v>305</v>
      </c>
      <c r="B112" s="3">
        <v>2009.0</v>
      </c>
      <c r="C112" s="3" t="s">
        <v>66</v>
      </c>
      <c r="D112" s="3" t="s">
        <v>51</v>
      </c>
      <c r="E112" s="3" t="s">
        <v>41</v>
      </c>
      <c r="F112" s="3" t="s">
        <v>237</v>
      </c>
      <c r="G112" s="3" t="s">
        <v>306</v>
      </c>
      <c r="H112" s="8" t="s">
        <v>307</v>
      </c>
    </row>
    <row r="113">
      <c r="A113" s="3" t="s">
        <v>308</v>
      </c>
      <c r="B113" s="3">
        <v>1995.0</v>
      </c>
      <c r="C113" s="3" t="s">
        <v>32</v>
      </c>
      <c r="D113" s="3" t="s">
        <v>51</v>
      </c>
      <c r="E113" s="3" t="s">
        <v>34</v>
      </c>
      <c r="F113" s="3" t="s">
        <v>42</v>
      </c>
      <c r="G113" s="3" t="s">
        <v>63</v>
      </c>
      <c r="H113" s="8" t="s">
        <v>309</v>
      </c>
    </row>
    <row r="114">
      <c r="A114" s="3" t="s">
        <v>310</v>
      </c>
      <c r="B114" s="3">
        <v>1996.0</v>
      </c>
      <c r="C114" s="3" t="s">
        <v>71</v>
      </c>
      <c r="D114" s="3" t="s">
        <v>51</v>
      </c>
      <c r="E114" s="3" t="s">
        <v>41</v>
      </c>
      <c r="F114" s="3" t="s">
        <v>42</v>
      </c>
      <c r="G114" s="3" t="s">
        <v>34</v>
      </c>
      <c r="H114" s="8" t="s">
        <v>311</v>
      </c>
    </row>
    <row r="115">
      <c r="A115" s="3" t="s">
        <v>312</v>
      </c>
      <c r="B115" s="3">
        <v>2004.0</v>
      </c>
      <c r="C115" s="3" t="s">
        <v>39</v>
      </c>
      <c r="D115" s="3" t="s">
        <v>81</v>
      </c>
      <c r="E115" s="3" t="s">
        <v>34</v>
      </c>
      <c r="F115" s="3" t="s">
        <v>42</v>
      </c>
      <c r="G115" s="3" t="s">
        <v>43</v>
      </c>
      <c r="H115" s="8" t="s">
        <v>313</v>
      </c>
    </row>
    <row r="116">
      <c r="A116" s="3" t="s">
        <v>314</v>
      </c>
      <c r="B116" s="3">
        <v>2008.0</v>
      </c>
      <c r="C116" s="3" t="s">
        <v>32</v>
      </c>
      <c r="D116" s="3" t="s">
        <v>51</v>
      </c>
      <c r="E116" s="3" t="s">
        <v>34</v>
      </c>
      <c r="F116" s="3" t="s">
        <v>42</v>
      </c>
      <c r="G116" s="3" t="s">
        <v>43</v>
      </c>
      <c r="H116" s="8" t="s">
        <v>315</v>
      </c>
    </row>
    <row r="117">
      <c r="A117" s="3" t="s">
        <v>316</v>
      </c>
      <c r="B117" s="3">
        <v>1996.0</v>
      </c>
      <c r="C117" s="3" t="s">
        <v>66</v>
      </c>
      <c r="D117" s="3" t="s">
        <v>67</v>
      </c>
      <c r="E117" s="3" t="s">
        <v>34</v>
      </c>
      <c r="F117" s="3" t="s">
        <v>68</v>
      </c>
      <c r="G117" s="3" t="s">
        <v>63</v>
      </c>
      <c r="H117" s="8" t="s">
        <v>317</v>
      </c>
    </row>
    <row r="118">
      <c r="A118" s="3" t="s">
        <v>318</v>
      </c>
      <c r="B118" s="3">
        <v>2005.0</v>
      </c>
      <c r="C118" s="3" t="s">
        <v>39</v>
      </c>
      <c r="D118" s="3" t="s">
        <v>51</v>
      </c>
      <c r="E118" s="3" t="s">
        <v>34</v>
      </c>
      <c r="F118" s="3" t="s">
        <v>42</v>
      </c>
      <c r="G118" s="3" t="s">
        <v>43</v>
      </c>
      <c r="H118" s="8" t="s">
        <v>319</v>
      </c>
    </row>
    <row r="119">
      <c r="A119" s="3" t="s">
        <v>320</v>
      </c>
      <c r="B119" s="3">
        <v>2012.0</v>
      </c>
      <c r="C119" s="3" t="s">
        <v>32</v>
      </c>
      <c r="D119" s="3" t="s">
        <v>33</v>
      </c>
      <c r="E119" s="3" t="s">
        <v>41</v>
      </c>
      <c r="F119" s="3" t="s">
        <v>42</v>
      </c>
      <c r="G119" s="3" t="s">
        <v>63</v>
      </c>
      <c r="H119" s="8" t="s">
        <v>321</v>
      </c>
    </row>
    <row r="120">
      <c r="A120" s="3" t="s">
        <v>322</v>
      </c>
      <c r="B120" s="3">
        <v>1992.0</v>
      </c>
      <c r="C120" s="3" t="s">
        <v>66</v>
      </c>
      <c r="D120" s="3" t="s">
        <v>323</v>
      </c>
      <c r="E120" s="3" t="s">
        <v>41</v>
      </c>
      <c r="F120" s="3" t="s">
        <v>119</v>
      </c>
      <c r="G120" s="3" t="s">
        <v>34</v>
      </c>
      <c r="H120" s="8" t="s">
        <v>324</v>
      </c>
    </row>
    <row r="121">
      <c r="A121" s="3" t="s">
        <v>325</v>
      </c>
      <c r="B121" s="3">
        <v>2000.0</v>
      </c>
      <c r="C121" s="3" t="s">
        <v>301</v>
      </c>
      <c r="D121" s="3" t="s">
        <v>81</v>
      </c>
      <c r="E121" s="3" t="s">
        <v>41</v>
      </c>
      <c r="F121" s="3" t="s">
        <v>42</v>
      </c>
      <c r="G121" s="3" t="s">
        <v>63</v>
      </c>
      <c r="H121" s="8" t="s">
        <v>326</v>
      </c>
    </row>
    <row r="122">
      <c r="A122" s="3" t="s">
        <v>327</v>
      </c>
      <c r="B122" s="3">
        <v>2003.0</v>
      </c>
      <c r="C122" s="3" t="s">
        <v>32</v>
      </c>
      <c r="D122" s="3" t="s">
        <v>328</v>
      </c>
      <c r="E122" s="3" t="s">
        <v>34</v>
      </c>
      <c r="F122" s="3" t="s">
        <v>42</v>
      </c>
      <c r="G122" s="3" t="s">
        <v>63</v>
      </c>
      <c r="H122" s="8" t="s">
        <v>329</v>
      </c>
    </row>
    <row r="123">
      <c r="A123" s="3" t="s">
        <v>330</v>
      </c>
      <c r="B123" s="3">
        <v>2003.0</v>
      </c>
      <c r="C123" s="3" t="s">
        <v>32</v>
      </c>
      <c r="D123" s="3" t="s">
        <v>81</v>
      </c>
      <c r="E123" s="3" t="s">
        <v>34</v>
      </c>
      <c r="F123" s="3" t="s">
        <v>42</v>
      </c>
      <c r="G123" s="3" t="s">
        <v>63</v>
      </c>
      <c r="H123" s="8" t="s">
        <v>331</v>
      </c>
    </row>
    <row r="124">
      <c r="A124" s="3" t="s">
        <v>332</v>
      </c>
      <c r="B124" s="3">
        <v>2000.0</v>
      </c>
      <c r="C124" s="3" t="s">
        <v>32</v>
      </c>
      <c r="D124" s="3" t="s">
        <v>51</v>
      </c>
      <c r="E124" s="3" t="s">
        <v>34</v>
      </c>
      <c r="F124" s="3" t="s">
        <v>42</v>
      </c>
      <c r="G124" s="3" t="s">
        <v>63</v>
      </c>
      <c r="H124" s="8" t="s">
        <v>333</v>
      </c>
    </row>
    <row r="125">
      <c r="A125" s="3" t="s">
        <v>334</v>
      </c>
      <c r="B125" s="3">
        <v>2003.0</v>
      </c>
      <c r="C125" s="3" t="s">
        <v>50</v>
      </c>
      <c r="D125" s="3" t="s">
        <v>51</v>
      </c>
      <c r="E125" s="3" t="s">
        <v>41</v>
      </c>
      <c r="F125" s="3" t="s">
        <v>42</v>
      </c>
      <c r="G125" s="3" t="s">
        <v>63</v>
      </c>
      <c r="H125" s="8" t="s">
        <v>335</v>
      </c>
    </row>
    <row r="126">
      <c r="A126" s="3" t="s">
        <v>336</v>
      </c>
      <c r="B126" s="3">
        <v>2001.0</v>
      </c>
      <c r="C126" s="3" t="s">
        <v>66</v>
      </c>
      <c r="D126" s="3" t="s">
        <v>81</v>
      </c>
      <c r="E126" s="3" t="s">
        <v>34</v>
      </c>
      <c r="F126" s="3" t="s">
        <v>42</v>
      </c>
      <c r="G126" s="3" t="s">
        <v>63</v>
      </c>
      <c r="H126" s="8" t="s">
        <v>337</v>
      </c>
    </row>
    <row r="127">
      <c r="A127" s="3" t="s">
        <v>338</v>
      </c>
      <c r="B127" s="3">
        <v>2006.0</v>
      </c>
      <c r="C127" s="3" t="s">
        <v>50</v>
      </c>
      <c r="D127" s="3" t="s">
        <v>81</v>
      </c>
      <c r="E127" s="3" t="s">
        <v>41</v>
      </c>
      <c r="F127" s="3" t="s">
        <v>42</v>
      </c>
      <c r="G127" s="3" t="s">
        <v>34</v>
      </c>
      <c r="H127" s="8" t="s">
        <v>339</v>
      </c>
    </row>
    <row r="128">
      <c r="A128" s="3" t="s">
        <v>340</v>
      </c>
      <c r="B128" s="3">
        <v>2003.0</v>
      </c>
      <c r="C128" s="3" t="s">
        <v>341</v>
      </c>
      <c r="D128" s="3" t="s">
        <v>51</v>
      </c>
      <c r="E128" s="3" t="s">
        <v>41</v>
      </c>
      <c r="F128" s="3" t="s">
        <v>119</v>
      </c>
      <c r="G128" s="3" t="s">
        <v>63</v>
      </c>
      <c r="H128" s="8" t="s">
        <v>342</v>
      </c>
    </row>
    <row r="129">
      <c r="A129" s="3" t="s">
        <v>343</v>
      </c>
      <c r="B129" s="3">
        <v>1998.0</v>
      </c>
      <c r="C129" s="3" t="s">
        <v>66</v>
      </c>
      <c r="D129" s="3" t="s">
        <v>51</v>
      </c>
      <c r="E129" s="3" t="s">
        <v>34</v>
      </c>
      <c r="F129" s="3" t="s">
        <v>42</v>
      </c>
      <c r="G129" s="3" t="s">
        <v>63</v>
      </c>
      <c r="H129" s="8" t="s">
        <v>344</v>
      </c>
    </row>
    <row r="130">
      <c r="A130" s="3" t="s">
        <v>345</v>
      </c>
      <c r="B130" s="3">
        <v>2006.0</v>
      </c>
      <c r="C130" s="3" t="s">
        <v>66</v>
      </c>
      <c r="D130" s="3" t="s">
        <v>346</v>
      </c>
      <c r="E130" s="3" t="s">
        <v>34</v>
      </c>
      <c r="F130" s="3" t="s">
        <v>42</v>
      </c>
      <c r="G130" s="3" t="s">
        <v>34</v>
      </c>
      <c r="H130" s="8" t="s">
        <v>347</v>
      </c>
    </row>
    <row r="131">
      <c r="A131" s="3" t="s">
        <v>348</v>
      </c>
      <c r="B131" s="3">
        <v>2008.0</v>
      </c>
      <c r="C131" s="3" t="s">
        <v>32</v>
      </c>
      <c r="D131" s="3" t="s">
        <v>33</v>
      </c>
      <c r="E131" s="3" t="s">
        <v>34</v>
      </c>
      <c r="F131" s="3" t="s">
        <v>42</v>
      </c>
      <c r="G131" s="3" t="s">
        <v>43</v>
      </c>
      <c r="H131" s="8" t="s">
        <v>349</v>
      </c>
    </row>
    <row r="132">
      <c r="A132" s="3" t="s">
        <v>350</v>
      </c>
      <c r="B132" s="3">
        <v>2006.0</v>
      </c>
      <c r="C132" s="3" t="s">
        <v>77</v>
      </c>
      <c r="D132" s="3" t="s">
        <v>51</v>
      </c>
      <c r="E132" s="3" t="s">
        <v>41</v>
      </c>
      <c r="F132" s="3" t="s">
        <v>119</v>
      </c>
      <c r="G132" s="3" t="s">
        <v>78</v>
      </c>
      <c r="H132" s="8" t="s">
        <v>351</v>
      </c>
    </row>
    <row r="135">
      <c r="A135" s="9"/>
    </row>
  </sheetData>
  <autoFilter ref="$A$1:$H$132"/>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5"/>
    <col customWidth="1" min="2" max="2" width="7.63"/>
    <col customWidth="1" min="3" max="3" width="18.5"/>
    <col customWidth="1" min="4" max="6" width="7.63"/>
    <col customWidth="1" min="7" max="7" width="12.25"/>
    <col customWidth="1" min="8" max="14" width="7.63"/>
    <col customWidth="1" min="15" max="15" width="11.75"/>
    <col customWidth="1" min="16" max="16" width="11.25"/>
    <col customWidth="1" min="17" max="26" width="7.63"/>
  </cols>
  <sheetData>
    <row r="1">
      <c r="A1" s="8" t="s">
        <v>352</v>
      </c>
      <c r="B1" s="8" t="s">
        <v>24</v>
      </c>
      <c r="C1" s="8" t="s">
        <v>25</v>
      </c>
      <c r="D1" s="8" t="s">
        <v>26</v>
      </c>
      <c r="E1" s="8" t="s">
        <v>353</v>
      </c>
      <c r="F1" s="8" t="s">
        <v>27</v>
      </c>
      <c r="G1" s="8" t="s">
        <v>354</v>
      </c>
      <c r="H1" s="8" t="s">
        <v>355</v>
      </c>
      <c r="I1" s="8" t="s">
        <v>356</v>
      </c>
      <c r="J1" s="8" t="s">
        <v>357</v>
      </c>
      <c r="K1" s="8" t="s">
        <v>358</v>
      </c>
      <c r="L1" s="8" t="s">
        <v>359</v>
      </c>
      <c r="M1" s="8" t="s">
        <v>360</v>
      </c>
      <c r="N1" s="8" t="s">
        <v>361</v>
      </c>
      <c r="O1" s="8" t="s">
        <v>362</v>
      </c>
      <c r="P1" s="8" t="s">
        <v>363</v>
      </c>
    </row>
    <row r="2">
      <c r="A2" s="8" t="s">
        <v>364</v>
      </c>
      <c r="B2" s="8">
        <v>1992.0</v>
      </c>
      <c r="C2" s="8" t="s">
        <v>365</v>
      </c>
      <c r="D2" s="8" t="s">
        <v>366</v>
      </c>
      <c r="E2" s="8">
        <v>2050.0</v>
      </c>
      <c r="F2" s="8" t="s">
        <v>41</v>
      </c>
      <c r="G2" s="8" t="s">
        <v>119</v>
      </c>
      <c r="H2" s="8" t="s">
        <v>367</v>
      </c>
      <c r="I2" s="8">
        <v>1.0</v>
      </c>
      <c r="J2" s="8">
        <v>3.0</v>
      </c>
      <c r="K2" s="8">
        <v>14.0</v>
      </c>
      <c r="L2" s="8">
        <v>0.214285714</v>
      </c>
      <c r="M2" s="8">
        <v>19.0</v>
      </c>
      <c r="N2" s="8">
        <v>-1.299282984</v>
      </c>
      <c r="O2" s="8">
        <v>3.6</v>
      </c>
      <c r="P2" s="8" t="s">
        <v>368</v>
      </c>
    </row>
    <row r="3">
      <c r="A3" s="8" t="s">
        <v>364</v>
      </c>
      <c r="B3" s="8">
        <v>1992.0</v>
      </c>
      <c r="C3" s="8" t="s">
        <v>365</v>
      </c>
      <c r="D3" s="8" t="s">
        <v>366</v>
      </c>
      <c r="E3" s="8">
        <v>2050.0</v>
      </c>
      <c r="F3" s="8" t="s">
        <v>41</v>
      </c>
      <c r="G3" s="8" t="s">
        <v>119</v>
      </c>
      <c r="H3" s="8" t="s">
        <v>367</v>
      </c>
      <c r="I3" s="8">
        <v>0.95</v>
      </c>
      <c r="J3" s="8">
        <v>3.0</v>
      </c>
      <c r="K3" s="8">
        <v>14.0</v>
      </c>
      <c r="L3" s="8">
        <v>0.214285714</v>
      </c>
      <c r="M3" s="8">
        <v>19.0</v>
      </c>
      <c r="N3" s="8">
        <v>-1.299282984</v>
      </c>
      <c r="O3" s="8">
        <v>3.6</v>
      </c>
      <c r="P3" s="8" t="s">
        <v>368</v>
      </c>
    </row>
    <row r="4">
      <c r="A4" s="8" t="s">
        <v>364</v>
      </c>
      <c r="B4" s="8">
        <v>1992.0</v>
      </c>
      <c r="C4" s="8" t="s">
        <v>365</v>
      </c>
      <c r="D4" s="8" t="s">
        <v>366</v>
      </c>
      <c r="E4" s="8">
        <v>2050.0</v>
      </c>
      <c r="F4" s="8" t="s">
        <v>41</v>
      </c>
      <c r="G4" s="8" t="s">
        <v>119</v>
      </c>
      <c r="H4" s="8" t="s">
        <v>367</v>
      </c>
      <c r="I4" s="8">
        <v>0.8</v>
      </c>
      <c r="J4" s="8">
        <v>4.0</v>
      </c>
      <c r="K4" s="8">
        <v>14.0</v>
      </c>
      <c r="L4" s="8">
        <v>0.285714286</v>
      </c>
      <c r="M4" s="8">
        <v>19.0</v>
      </c>
      <c r="N4" s="8">
        <v>-0.916290732</v>
      </c>
      <c r="O4" s="8">
        <v>3.6</v>
      </c>
      <c r="P4" s="8" t="s">
        <v>368</v>
      </c>
    </row>
    <row r="5">
      <c r="A5" s="8" t="s">
        <v>369</v>
      </c>
      <c r="B5" s="8">
        <v>1992.0</v>
      </c>
      <c r="C5" s="8" t="s">
        <v>365</v>
      </c>
      <c r="D5" s="8" t="s">
        <v>366</v>
      </c>
      <c r="E5" s="8">
        <v>2050.0</v>
      </c>
      <c r="F5" s="8" t="s">
        <v>41</v>
      </c>
      <c r="G5" s="8" t="s">
        <v>119</v>
      </c>
      <c r="H5" s="8" t="s">
        <v>367</v>
      </c>
      <c r="I5" s="8">
        <v>1.0</v>
      </c>
      <c r="J5" s="8">
        <v>15.0</v>
      </c>
      <c r="K5" s="8">
        <v>34.0</v>
      </c>
      <c r="L5" s="8">
        <v>0.441176471</v>
      </c>
      <c r="M5" s="8">
        <v>7.0</v>
      </c>
      <c r="N5" s="8">
        <v>-0.236388778</v>
      </c>
      <c r="O5" s="8">
        <v>3.6</v>
      </c>
      <c r="P5" s="8" t="s">
        <v>368</v>
      </c>
    </row>
    <row r="6">
      <c r="A6" s="8" t="s">
        <v>369</v>
      </c>
      <c r="B6" s="8">
        <v>1992.0</v>
      </c>
      <c r="C6" s="8" t="s">
        <v>365</v>
      </c>
      <c r="D6" s="8" t="s">
        <v>370</v>
      </c>
      <c r="E6" s="8">
        <v>2050.0</v>
      </c>
      <c r="F6" s="8" t="s">
        <v>41</v>
      </c>
      <c r="G6" s="8" t="s">
        <v>119</v>
      </c>
      <c r="H6" s="8" t="s">
        <v>367</v>
      </c>
      <c r="I6" s="8">
        <v>1.0</v>
      </c>
      <c r="J6" s="8">
        <v>36.0</v>
      </c>
      <c r="K6" s="8">
        <v>155.0</v>
      </c>
      <c r="L6" s="8">
        <v>0.232258065</v>
      </c>
      <c r="M6" s="8">
        <v>7.0</v>
      </c>
      <c r="N6" s="8">
        <v>-1.195604555</v>
      </c>
      <c r="O6" s="8">
        <v>3.6</v>
      </c>
      <c r="P6" s="8" t="s">
        <v>368</v>
      </c>
    </row>
    <row r="7">
      <c r="A7" s="8" t="s">
        <v>369</v>
      </c>
      <c r="B7" s="8">
        <v>1992.0</v>
      </c>
      <c r="C7" s="8" t="s">
        <v>365</v>
      </c>
      <c r="D7" s="8" t="s">
        <v>371</v>
      </c>
      <c r="E7" s="8">
        <v>2050.0</v>
      </c>
      <c r="F7" s="8" t="s">
        <v>41</v>
      </c>
      <c r="G7" s="8" t="s">
        <v>119</v>
      </c>
      <c r="H7" s="8" t="s">
        <v>367</v>
      </c>
      <c r="I7" s="8">
        <v>1.0</v>
      </c>
      <c r="J7" s="8">
        <v>51.0</v>
      </c>
      <c r="K7" s="8">
        <v>305.0</v>
      </c>
      <c r="L7" s="8">
        <v>0.167213115</v>
      </c>
      <c r="M7" s="8">
        <v>7.0</v>
      </c>
      <c r="N7" s="8">
        <v>-1.605508634</v>
      </c>
      <c r="O7" s="8">
        <v>3.6</v>
      </c>
      <c r="P7" s="8" t="s">
        <v>368</v>
      </c>
    </row>
    <row r="8">
      <c r="A8" s="8" t="s">
        <v>372</v>
      </c>
      <c r="B8" s="8">
        <v>1995.0</v>
      </c>
      <c r="C8" s="8" t="s">
        <v>373</v>
      </c>
      <c r="D8" s="8" t="s">
        <v>366</v>
      </c>
      <c r="E8" s="8">
        <v>2060.0</v>
      </c>
      <c r="F8" s="8" t="s">
        <v>34</v>
      </c>
      <c r="G8" s="8" t="s">
        <v>42</v>
      </c>
      <c r="H8" s="8" t="s">
        <v>374</v>
      </c>
      <c r="I8" s="8">
        <v>0.8</v>
      </c>
      <c r="J8" s="8">
        <v>4.0</v>
      </c>
      <c r="K8" s="8">
        <v>13.0</v>
      </c>
      <c r="L8" s="8">
        <v>0.307692308</v>
      </c>
      <c r="M8" s="8">
        <v>13.0</v>
      </c>
      <c r="N8" s="8">
        <v>-0.810930216</v>
      </c>
      <c r="O8" s="8">
        <v>1.6</v>
      </c>
      <c r="P8" s="8" t="s">
        <v>71</v>
      </c>
    </row>
    <row r="9">
      <c r="A9" s="8" t="s">
        <v>372</v>
      </c>
      <c r="B9" s="8">
        <v>1995.0</v>
      </c>
      <c r="C9" s="8" t="s">
        <v>373</v>
      </c>
      <c r="D9" s="8" t="s">
        <v>366</v>
      </c>
      <c r="E9" s="8">
        <v>2060.0</v>
      </c>
      <c r="F9" s="8" t="s">
        <v>34</v>
      </c>
      <c r="G9" s="8" t="s">
        <v>42</v>
      </c>
      <c r="H9" s="8" t="s">
        <v>374</v>
      </c>
      <c r="I9" s="8">
        <v>0.95</v>
      </c>
      <c r="J9" s="8">
        <v>1.0</v>
      </c>
      <c r="K9" s="8">
        <v>13.0</v>
      </c>
      <c r="L9" s="8">
        <v>0.076923077</v>
      </c>
      <c r="M9" s="8">
        <v>13.0</v>
      </c>
      <c r="N9" s="8">
        <v>-2.48490665</v>
      </c>
      <c r="O9" s="8">
        <v>1.6</v>
      </c>
      <c r="P9" s="8" t="s">
        <v>71</v>
      </c>
    </row>
    <row r="10">
      <c r="A10" s="8" t="s">
        <v>372</v>
      </c>
      <c r="B10" s="8">
        <v>1995.0</v>
      </c>
      <c r="C10" s="8" t="s">
        <v>373</v>
      </c>
      <c r="D10" s="8" t="s">
        <v>366</v>
      </c>
      <c r="E10" s="8">
        <v>2060.0</v>
      </c>
      <c r="F10" s="8" t="s">
        <v>34</v>
      </c>
      <c r="G10" s="8" t="s">
        <v>42</v>
      </c>
      <c r="H10" s="8" t="s">
        <v>374</v>
      </c>
      <c r="I10" s="8">
        <v>1.0</v>
      </c>
      <c r="J10" s="8">
        <v>1.0</v>
      </c>
      <c r="K10" s="8">
        <v>13.0</v>
      </c>
      <c r="L10" s="8">
        <v>0.076923077</v>
      </c>
      <c r="M10" s="8">
        <v>13.0</v>
      </c>
      <c r="N10" s="8">
        <v>-2.48490665</v>
      </c>
      <c r="O10" s="8">
        <v>1.6</v>
      </c>
      <c r="P10" s="8" t="s">
        <v>71</v>
      </c>
    </row>
    <row r="11">
      <c r="A11" s="8" t="s">
        <v>372</v>
      </c>
      <c r="B11" s="8">
        <v>1995.0</v>
      </c>
      <c r="C11" s="8" t="s">
        <v>373</v>
      </c>
      <c r="D11" s="8" t="s">
        <v>366</v>
      </c>
      <c r="E11" s="8">
        <v>2060.0</v>
      </c>
      <c r="F11" s="8" t="s">
        <v>34</v>
      </c>
      <c r="G11" s="8" t="s">
        <v>42</v>
      </c>
      <c r="H11" s="8" t="s">
        <v>374</v>
      </c>
      <c r="I11" s="8">
        <v>0.8</v>
      </c>
      <c r="J11" s="8">
        <v>6.0</v>
      </c>
      <c r="K11" s="8">
        <v>13.0</v>
      </c>
      <c r="L11" s="8">
        <v>0.461538462</v>
      </c>
      <c r="M11" s="8">
        <v>13.0</v>
      </c>
      <c r="N11" s="8">
        <v>-0.15415068</v>
      </c>
      <c r="O11" s="8">
        <v>2.6</v>
      </c>
      <c r="P11" s="8" t="s">
        <v>71</v>
      </c>
    </row>
    <row r="12">
      <c r="A12" s="8" t="s">
        <v>372</v>
      </c>
      <c r="B12" s="8">
        <v>1995.0</v>
      </c>
      <c r="C12" s="8" t="s">
        <v>373</v>
      </c>
      <c r="D12" s="8" t="s">
        <v>366</v>
      </c>
      <c r="E12" s="8">
        <v>2060.0</v>
      </c>
      <c r="F12" s="8" t="s">
        <v>34</v>
      </c>
      <c r="G12" s="8" t="s">
        <v>42</v>
      </c>
      <c r="H12" s="8" t="s">
        <v>374</v>
      </c>
      <c r="I12" s="8">
        <v>0.95</v>
      </c>
      <c r="J12" s="8">
        <v>6.0</v>
      </c>
      <c r="K12" s="8">
        <v>13.0</v>
      </c>
      <c r="L12" s="8">
        <v>0.461538462</v>
      </c>
      <c r="M12" s="8">
        <v>13.0</v>
      </c>
      <c r="N12" s="8">
        <v>-0.15415068</v>
      </c>
      <c r="O12" s="8">
        <v>2.6</v>
      </c>
      <c r="P12" s="8" t="s">
        <v>71</v>
      </c>
    </row>
    <row r="13">
      <c r="A13" s="8" t="s">
        <v>372</v>
      </c>
      <c r="B13" s="8">
        <v>1995.0</v>
      </c>
      <c r="C13" s="8" t="s">
        <v>373</v>
      </c>
      <c r="D13" s="8" t="s">
        <v>366</v>
      </c>
      <c r="E13" s="8">
        <v>2060.0</v>
      </c>
      <c r="F13" s="8" t="s">
        <v>34</v>
      </c>
      <c r="G13" s="8" t="s">
        <v>42</v>
      </c>
      <c r="H13" s="8" t="s">
        <v>374</v>
      </c>
      <c r="I13" s="8">
        <v>1.0</v>
      </c>
      <c r="J13" s="8">
        <v>1.0</v>
      </c>
      <c r="K13" s="8">
        <v>13.0</v>
      </c>
      <c r="L13" s="8">
        <v>0.076923077</v>
      </c>
      <c r="M13" s="8">
        <v>13.0</v>
      </c>
      <c r="N13" s="8">
        <v>-2.48490665</v>
      </c>
      <c r="O13" s="8">
        <v>2.6</v>
      </c>
      <c r="P13" s="8" t="s">
        <v>71</v>
      </c>
    </row>
    <row r="14">
      <c r="A14" s="8" t="s">
        <v>372</v>
      </c>
      <c r="B14" s="8">
        <v>1995.0</v>
      </c>
      <c r="C14" s="8" t="s">
        <v>373</v>
      </c>
      <c r="D14" s="8" t="s">
        <v>366</v>
      </c>
      <c r="E14" s="8">
        <v>2060.0</v>
      </c>
      <c r="F14" s="8" t="s">
        <v>34</v>
      </c>
      <c r="G14" s="8" t="s">
        <v>42</v>
      </c>
      <c r="H14" s="8" t="s">
        <v>374</v>
      </c>
      <c r="I14" s="8">
        <v>0.8</v>
      </c>
      <c r="J14" s="8">
        <v>7.0</v>
      </c>
      <c r="K14" s="8">
        <v>13.0</v>
      </c>
      <c r="L14" s="8">
        <v>0.538461538</v>
      </c>
      <c r="M14" s="8">
        <v>13.0</v>
      </c>
      <c r="N14" s="8">
        <v>0.15415068</v>
      </c>
      <c r="O14" s="8">
        <v>3.6</v>
      </c>
      <c r="P14" s="8" t="s">
        <v>71</v>
      </c>
    </row>
    <row r="15">
      <c r="A15" s="8" t="s">
        <v>372</v>
      </c>
      <c r="B15" s="8">
        <v>1995.0</v>
      </c>
      <c r="C15" s="8" t="s">
        <v>373</v>
      </c>
      <c r="D15" s="8" t="s">
        <v>366</v>
      </c>
      <c r="E15" s="8">
        <v>2060.0</v>
      </c>
      <c r="F15" s="8" t="s">
        <v>34</v>
      </c>
      <c r="G15" s="8" t="s">
        <v>42</v>
      </c>
      <c r="H15" s="8" t="s">
        <v>374</v>
      </c>
      <c r="I15" s="8">
        <v>0.95</v>
      </c>
      <c r="J15" s="8">
        <v>6.0</v>
      </c>
      <c r="K15" s="8">
        <v>13.0</v>
      </c>
      <c r="L15" s="8">
        <v>0.461538462</v>
      </c>
      <c r="M15" s="8">
        <v>13.0</v>
      </c>
      <c r="N15" s="8">
        <v>-0.15415068</v>
      </c>
      <c r="O15" s="8">
        <v>3.6</v>
      </c>
      <c r="P15" s="8" t="s">
        <v>71</v>
      </c>
    </row>
    <row r="16">
      <c r="A16" s="8" t="s">
        <v>372</v>
      </c>
      <c r="B16" s="8">
        <v>1995.0</v>
      </c>
      <c r="C16" s="8" t="s">
        <v>373</v>
      </c>
      <c r="D16" s="8" t="s">
        <v>366</v>
      </c>
      <c r="E16" s="8">
        <v>2060.0</v>
      </c>
      <c r="F16" s="8" t="s">
        <v>34</v>
      </c>
      <c r="G16" s="8" t="s">
        <v>42</v>
      </c>
      <c r="H16" s="8" t="s">
        <v>374</v>
      </c>
      <c r="I16" s="8">
        <v>1.0</v>
      </c>
      <c r="J16" s="8">
        <v>5.0</v>
      </c>
      <c r="K16" s="8">
        <v>13.0</v>
      </c>
      <c r="L16" s="8">
        <v>0.384615385</v>
      </c>
      <c r="M16" s="8">
        <v>13.0</v>
      </c>
      <c r="N16" s="8">
        <v>-0.470003629</v>
      </c>
      <c r="O16" s="8">
        <v>3.6</v>
      </c>
      <c r="P16" s="8" t="s">
        <v>71</v>
      </c>
    </row>
    <row r="17">
      <c r="A17" s="8" t="s">
        <v>372</v>
      </c>
      <c r="B17" s="8">
        <v>1995.0</v>
      </c>
      <c r="C17" s="8" t="s">
        <v>373</v>
      </c>
      <c r="D17" s="8" t="s">
        <v>375</v>
      </c>
      <c r="E17" s="8">
        <v>2060.0</v>
      </c>
      <c r="F17" s="8" t="s">
        <v>34</v>
      </c>
      <c r="G17" s="8" t="s">
        <v>42</v>
      </c>
      <c r="H17" s="8" t="s">
        <v>374</v>
      </c>
      <c r="I17" s="8">
        <v>0.8</v>
      </c>
      <c r="J17" s="8">
        <v>3.0</v>
      </c>
      <c r="K17" s="8">
        <v>17.0</v>
      </c>
      <c r="L17" s="8">
        <v>0.176470588</v>
      </c>
      <c r="M17" s="8">
        <v>17.0</v>
      </c>
      <c r="N17" s="8">
        <v>-1.540445041</v>
      </c>
      <c r="O17" s="8">
        <v>1.6</v>
      </c>
      <c r="P17" s="8" t="s">
        <v>71</v>
      </c>
    </row>
    <row r="18">
      <c r="A18" s="8" t="s">
        <v>372</v>
      </c>
      <c r="B18" s="8">
        <v>1995.0</v>
      </c>
      <c r="C18" s="8" t="s">
        <v>373</v>
      </c>
      <c r="D18" s="8" t="s">
        <v>375</v>
      </c>
      <c r="E18" s="8">
        <v>2060.0</v>
      </c>
      <c r="F18" s="8" t="s">
        <v>34</v>
      </c>
      <c r="G18" s="8" t="s">
        <v>42</v>
      </c>
      <c r="H18" s="8" t="s">
        <v>374</v>
      </c>
      <c r="I18" s="8">
        <v>0.95</v>
      </c>
      <c r="J18" s="8">
        <v>2.0</v>
      </c>
      <c r="K18" s="8">
        <v>17.0</v>
      </c>
      <c r="L18" s="8">
        <v>0.117647059</v>
      </c>
      <c r="M18" s="8">
        <v>17.0</v>
      </c>
      <c r="N18" s="8">
        <v>-2.014903021</v>
      </c>
      <c r="O18" s="8">
        <v>1.6</v>
      </c>
      <c r="P18" s="8" t="s">
        <v>71</v>
      </c>
    </row>
    <row r="19">
      <c r="A19" s="8" t="s">
        <v>372</v>
      </c>
      <c r="B19" s="8">
        <v>1995.0</v>
      </c>
      <c r="C19" s="8" t="s">
        <v>373</v>
      </c>
      <c r="D19" s="8" t="s">
        <v>375</v>
      </c>
      <c r="E19" s="8">
        <v>2060.0</v>
      </c>
      <c r="F19" s="8" t="s">
        <v>34</v>
      </c>
      <c r="G19" s="8" t="s">
        <v>42</v>
      </c>
      <c r="H19" s="8" t="s">
        <v>374</v>
      </c>
      <c r="I19" s="8">
        <v>1.0</v>
      </c>
      <c r="J19" s="8">
        <v>0.0</v>
      </c>
      <c r="K19" s="8">
        <v>17.0</v>
      </c>
      <c r="L19" s="8">
        <v>0.0</v>
      </c>
      <c r="M19" s="8">
        <v>17.0</v>
      </c>
      <c r="N19" s="8">
        <v>-3.555348061</v>
      </c>
      <c r="O19" s="8">
        <v>1.6</v>
      </c>
      <c r="P19" s="8" t="s">
        <v>71</v>
      </c>
    </row>
    <row r="20">
      <c r="A20" s="8" t="s">
        <v>372</v>
      </c>
      <c r="B20" s="8">
        <v>1995.0</v>
      </c>
      <c r="C20" s="8" t="s">
        <v>373</v>
      </c>
      <c r="D20" s="8" t="s">
        <v>375</v>
      </c>
      <c r="E20" s="8">
        <v>2060.0</v>
      </c>
      <c r="F20" s="8" t="s">
        <v>34</v>
      </c>
      <c r="G20" s="8" t="s">
        <v>42</v>
      </c>
      <c r="H20" s="8" t="s">
        <v>374</v>
      </c>
      <c r="I20" s="8">
        <v>0.8</v>
      </c>
      <c r="J20" s="8">
        <v>8.0</v>
      </c>
      <c r="K20" s="8">
        <v>17.0</v>
      </c>
      <c r="L20" s="8">
        <v>0.470588235</v>
      </c>
      <c r="M20" s="8">
        <v>17.0</v>
      </c>
      <c r="N20" s="8">
        <v>-0.117783036</v>
      </c>
      <c r="O20" s="8">
        <v>2.6</v>
      </c>
      <c r="P20" s="8" t="s">
        <v>71</v>
      </c>
    </row>
    <row r="21">
      <c r="A21" s="8" t="s">
        <v>372</v>
      </c>
      <c r="B21" s="8">
        <v>1995.0</v>
      </c>
      <c r="C21" s="8" t="s">
        <v>373</v>
      </c>
      <c r="D21" s="8" t="s">
        <v>375</v>
      </c>
      <c r="E21" s="8">
        <v>2060.0</v>
      </c>
      <c r="F21" s="8" t="s">
        <v>34</v>
      </c>
      <c r="G21" s="8" t="s">
        <v>42</v>
      </c>
      <c r="H21" s="8" t="s">
        <v>374</v>
      </c>
      <c r="I21" s="8">
        <v>0.95</v>
      </c>
      <c r="J21" s="8">
        <v>6.0</v>
      </c>
      <c r="K21" s="8">
        <v>17.0</v>
      </c>
      <c r="L21" s="8">
        <v>0.352941176</v>
      </c>
      <c r="M21" s="8">
        <v>17.0</v>
      </c>
      <c r="N21" s="8">
        <v>-0.606135804</v>
      </c>
      <c r="O21" s="8">
        <v>2.6</v>
      </c>
      <c r="P21" s="8" t="s">
        <v>71</v>
      </c>
    </row>
    <row r="22">
      <c r="A22" s="8" t="s">
        <v>372</v>
      </c>
      <c r="B22" s="8">
        <v>1995.0</v>
      </c>
      <c r="C22" s="8" t="s">
        <v>373</v>
      </c>
      <c r="D22" s="8" t="s">
        <v>375</v>
      </c>
      <c r="E22" s="8">
        <v>2060.0</v>
      </c>
      <c r="F22" s="8" t="s">
        <v>34</v>
      </c>
      <c r="G22" s="8" t="s">
        <v>42</v>
      </c>
      <c r="H22" s="8" t="s">
        <v>374</v>
      </c>
      <c r="I22" s="8">
        <v>1.0</v>
      </c>
      <c r="J22" s="8">
        <v>2.0</v>
      </c>
      <c r="K22" s="8">
        <v>17.0</v>
      </c>
      <c r="L22" s="8">
        <v>0.117647059</v>
      </c>
      <c r="M22" s="8">
        <v>17.0</v>
      </c>
      <c r="N22" s="8">
        <v>-2.014903021</v>
      </c>
      <c r="O22" s="8">
        <v>2.6</v>
      </c>
      <c r="P22" s="8" t="s">
        <v>71</v>
      </c>
    </row>
    <row r="23">
      <c r="A23" s="8" t="s">
        <v>372</v>
      </c>
      <c r="B23" s="8">
        <v>1995.0</v>
      </c>
      <c r="C23" s="8" t="s">
        <v>373</v>
      </c>
      <c r="D23" s="8" t="s">
        <v>375</v>
      </c>
      <c r="E23" s="8">
        <v>2060.0</v>
      </c>
      <c r="F23" s="8" t="s">
        <v>34</v>
      </c>
      <c r="G23" s="8" t="s">
        <v>42</v>
      </c>
      <c r="H23" s="8" t="s">
        <v>374</v>
      </c>
      <c r="I23" s="8">
        <v>0.8</v>
      </c>
      <c r="J23" s="8">
        <v>10.0</v>
      </c>
      <c r="K23" s="8">
        <v>17.0</v>
      </c>
      <c r="L23" s="8">
        <v>0.588235294</v>
      </c>
      <c r="M23" s="8">
        <v>17.0</v>
      </c>
      <c r="N23" s="8">
        <v>0.356674944</v>
      </c>
      <c r="O23" s="8">
        <v>3.6</v>
      </c>
      <c r="P23" s="8" t="s">
        <v>71</v>
      </c>
    </row>
    <row r="24">
      <c r="A24" s="8" t="s">
        <v>372</v>
      </c>
      <c r="B24" s="8">
        <v>1995.0</v>
      </c>
      <c r="C24" s="8" t="s">
        <v>373</v>
      </c>
      <c r="D24" s="8" t="s">
        <v>375</v>
      </c>
      <c r="E24" s="8">
        <v>2060.0</v>
      </c>
      <c r="F24" s="8" t="s">
        <v>34</v>
      </c>
      <c r="G24" s="8" t="s">
        <v>42</v>
      </c>
      <c r="H24" s="8" t="s">
        <v>374</v>
      </c>
      <c r="I24" s="8">
        <v>0.95</v>
      </c>
      <c r="J24" s="8">
        <v>8.0</v>
      </c>
      <c r="K24" s="8">
        <v>17.0</v>
      </c>
      <c r="L24" s="8">
        <v>0.470588235</v>
      </c>
      <c r="M24" s="8">
        <v>17.0</v>
      </c>
      <c r="N24" s="8">
        <v>-0.117783036</v>
      </c>
      <c r="O24" s="8">
        <v>3.6</v>
      </c>
      <c r="P24" s="8" t="s">
        <v>71</v>
      </c>
    </row>
    <row r="25">
      <c r="A25" s="8" t="s">
        <v>372</v>
      </c>
      <c r="B25" s="8">
        <v>1995.0</v>
      </c>
      <c r="C25" s="8" t="s">
        <v>373</v>
      </c>
      <c r="D25" s="8" t="s">
        <v>375</v>
      </c>
      <c r="E25" s="8">
        <v>2060.0</v>
      </c>
      <c r="F25" s="8" t="s">
        <v>34</v>
      </c>
      <c r="G25" s="8" t="s">
        <v>42</v>
      </c>
      <c r="H25" s="8" t="s">
        <v>374</v>
      </c>
      <c r="I25" s="8">
        <v>1.0</v>
      </c>
      <c r="J25" s="8">
        <v>4.0</v>
      </c>
      <c r="K25" s="8">
        <v>17.0</v>
      </c>
      <c r="L25" s="8">
        <v>0.235294118</v>
      </c>
      <c r="M25" s="8">
        <v>17.0</v>
      </c>
      <c r="N25" s="8">
        <v>-1.178654996</v>
      </c>
      <c r="O25" s="8">
        <v>3.6</v>
      </c>
      <c r="P25" s="8" t="s">
        <v>71</v>
      </c>
    </row>
    <row r="26">
      <c r="A26" s="8" t="s">
        <v>372</v>
      </c>
      <c r="B26" s="8">
        <v>1995.0</v>
      </c>
      <c r="C26" s="8" t="s">
        <v>373</v>
      </c>
      <c r="D26" s="8" t="s">
        <v>376</v>
      </c>
      <c r="E26" s="8">
        <v>2060.0</v>
      </c>
      <c r="F26" s="8" t="s">
        <v>34</v>
      </c>
      <c r="G26" s="8" t="s">
        <v>42</v>
      </c>
      <c r="H26" s="8" t="s">
        <v>374</v>
      </c>
      <c r="I26" s="8">
        <v>0.8</v>
      </c>
      <c r="J26" s="8">
        <v>1.0</v>
      </c>
      <c r="K26" s="8">
        <v>7.0</v>
      </c>
      <c r="L26" s="8">
        <v>0.142857143</v>
      </c>
      <c r="M26" s="8">
        <v>7.0</v>
      </c>
      <c r="N26" s="8">
        <v>-1.791759469</v>
      </c>
      <c r="O26" s="8">
        <v>1.6</v>
      </c>
      <c r="P26" s="8" t="s">
        <v>71</v>
      </c>
    </row>
    <row r="27">
      <c r="A27" s="8" t="s">
        <v>372</v>
      </c>
      <c r="B27" s="8">
        <v>1995.0</v>
      </c>
      <c r="C27" s="8" t="s">
        <v>373</v>
      </c>
      <c r="D27" s="8" t="s">
        <v>376</v>
      </c>
      <c r="E27" s="8">
        <v>2060.0</v>
      </c>
      <c r="F27" s="8" t="s">
        <v>34</v>
      </c>
      <c r="G27" s="8" t="s">
        <v>42</v>
      </c>
      <c r="H27" s="8" t="s">
        <v>374</v>
      </c>
      <c r="I27" s="8">
        <v>0.95</v>
      </c>
      <c r="J27" s="8">
        <v>0.0</v>
      </c>
      <c r="K27" s="8">
        <v>7.0</v>
      </c>
      <c r="L27" s="8">
        <v>0.0</v>
      </c>
      <c r="M27" s="8">
        <v>7.0</v>
      </c>
      <c r="N27" s="8">
        <v>-2.708050201</v>
      </c>
      <c r="O27" s="8">
        <v>1.6</v>
      </c>
      <c r="P27" s="8" t="s">
        <v>71</v>
      </c>
    </row>
    <row r="28">
      <c r="A28" s="8" t="s">
        <v>372</v>
      </c>
      <c r="B28" s="8">
        <v>1995.0</v>
      </c>
      <c r="C28" s="8" t="s">
        <v>373</v>
      </c>
      <c r="D28" s="8" t="s">
        <v>376</v>
      </c>
      <c r="E28" s="8">
        <v>2060.0</v>
      </c>
      <c r="F28" s="8" t="s">
        <v>34</v>
      </c>
      <c r="G28" s="8" t="s">
        <v>42</v>
      </c>
      <c r="H28" s="8" t="s">
        <v>374</v>
      </c>
      <c r="I28" s="8">
        <v>1.0</v>
      </c>
      <c r="J28" s="8">
        <v>0.0</v>
      </c>
      <c r="K28" s="8">
        <v>7.0</v>
      </c>
      <c r="L28" s="8">
        <v>0.0</v>
      </c>
      <c r="M28" s="8">
        <v>7.0</v>
      </c>
      <c r="N28" s="8">
        <v>-2.708050201</v>
      </c>
      <c r="O28" s="8">
        <v>1.6</v>
      </c>
      <c r="P28" s="8" t="s">
        <v>71</v>
      </c>
    </row>
    <row r="29">
      <c r="A29" s="8" t="s">
        <v>372</v>
      </c>
      <c r="B29" s="8">
        <v>1995.0</v>
      </c>
      <c r="C29" s="8" t="s">
        <v>373</v>
      </c>
      <c r="D29" s="8" t="s">
        <v>376</v>
      </c>
      <c r="E29" s="8">
        <v>2060.0</v>
      </c>
      <c r="F29" s="8" t="s">
        <v>34</v>
      </c>
      <c r="G29" s="8" t="s">
        <v>42</v>
      </c>
      <c r="H29" s="8" t="s">
        <v>374</v>
      </c>
      <c r="I29" s="8">
        <v>0.8</v>
      </c>
      <c r="J29" s="8">
        <v>2.0</v>
      </c>
      <c r="K29" s="8">
        <v>7.0</v>
      </c>
      <c r="L29" s="8">
        <v>0.285714286</v>
      </c>
      <c r="M29" s="8">
        <v>7.0</v>
      </c>
      <c r="N29" s="8">
        <v>-0.916290732</v>
      </c>
      <c r="O29" s="8">
        <v>2.6</v>
      </c>
      <c r="P29" s="8" t="s">
        <v>71</v>
      </c>
    </row>
    <row r="30">
      <c r="A30" s="8" t="s">
        <v>372</v>
      </c>
      <c r="B30" s="8">
        <v>1995.0</v>
      </c>
      <c r="C30" s="8" t="s">
        <v>373</v>
      </c>
      <c r="D30" s="8" t="s">
        <v>376</v>
      </c>
      <c r="E30" s="8">
        <v>2060.0</v>
      </c>
      <c r="F30" s="8" t="s">
        <v>34</v>
      </c>
      <c r="G30" s="8" t="s">
        <v>42</v>
      </c>
      <c r="H30" s="8" t="s">
        <v>374</v>
      </c>
      <c r="I30" s="8">
        <v>0.95</v>
      </c>
      <c r="J30" s="8">
        <v>2.0</v>
      </c>
      <c r="K30" s="8">
        <v>7.0</v>
      </c>
      <c r="L30" s="8">
        <v>0.285714286</v>
      </c>
      <c r="M30" s="8">
        <v>7.0</v>
      </c>
      <c r="N30" s="8">
        <v>-0.916290732</v>
      </c>
      <c r="O30" s="8">
        <v>2.6</v>
      </c>
      <c r="P30" s="8" t="s">
        <v>71</v>
      </c>
    </row>
    <row r="31">
      <c r="A31" s="8" t="s">
        <v>372</v>
      </c>
      <c r="B31" s="8">
        <v>1995.0</v>
      </c>
      <c r="C31" s="8" t="s">
        <v>373</v>
      </c>
      <c r="D31" s="8" t="s">
        <v>376</v>
      </c>
      <c r="E31" s="8">
        <v>2060.0</v>
      </c>
      <c r="F31" s="8" t="s">
        <v>34</v>
      </c>
      <c r="G31" s="8" t="s">
        <v>42</v>
      </c>
      <c r="H31" s="8" t="s">
        <v>374</v>
      </c>
      <c r="I31" s="8">
        <v>1.0</v>
      </c>
      <c r="J31" s="8">
        <v>2.0</v>
      </c>
      <c r="K31" s="8">
        <v>7.0</v>
      </c>
      <c r="L31" s="8">
        <v>0.285714286</v>
      </c>
      <c r="M31" s="8">
        <v>7.0</v>
      </c>
      <c r="N31" s="8">
        <v>-0.916290732</v>
      </c>
      <c r="O31" s="8">
        <v>2.6</v>
      </c>
      <c r="P31" s="8" t="s">
        <v>71</v>
      </c>
    </row>
    <row r="32">
      <c r="A32" s="8" t="s">
        <v>372</v>
      </c>
      <c r="B32" s="8">
        <v>1995.0</v>
      </c>
      <c r="C32" s="8" t="s">
        <v>373</v>
      </c>
      <c r="D32" s="8" t="s">
        <v>376</v>
      </c>
      <c r="E32" s="8">
        <v>2060.0</v>
      </c>
      <c r="F32" s="8" t="s">
        <v>34</v>
      </c>
      <c r="G32" s="8" t="s">
        <v>42</v>
      </c>
      <c r="H32" s="8" t="s">
        <v>374</v>
      </c>
      <c r="I32" s="8">
        <v>0.8</v>
      </c>
      <c r="J32" s="8">
        <v>5.0</v>
      </c>
      <c r="K32" s="8">
        <v>7.0</v>
      </c>
      <c r="L32" s="8">
        <v>0.714285714</v>
      </c>
      <c r="M32" s="8">
        <v>7.0</v>
      </c>
      <c r="N32" s="8">
        <v>0.916290732</v>
      </c>
      <c r="O32" s="8">
        <v>3.6</v>
      </c>
      <c r="P32" s="8" t="s">
        <v>71</v>
      </c>
    </row>
    <row r="33">
      <c r="A33" s="8" t="s">
        <v>372</v>
      </c>
      <c r="B33" s="8">
        <v>1995.0</v>
      </c>
      <c r="C33" s="8" t="s">
        <v>373</v>
      </c>
      <c r="D33" s="8" t="s">
        <v>376</v>
      </c>
      <c r="E33" s="8">
        <v>2060.0</v>
      </c>
      <c r="F33" s="8" t="s">
        <v>34</v>
      </c>
      <c r="G33" s="8" t="s">
        <v>42</v>
      </c>
      <c r="H33" s="8" t="s">
        <v>374</v>
      </c>
      <c r="I33" s="8">
        <v>0.95</v>
      </c>
      <c r="J33" s="8">
        <v>4.0</v>
      </c>
      <c r="K33" s="8">
        <v>7.0</v>
      </c>
      <c r="L33" s="8">
        <v>0.571428571</v>
      </c>
      <c r="M33" s="8">
        <v>7.0</v>
      </c>
      <c r="N33" s="8">
        <v>0.287682072</v>
      </c>
      <c r="O33" s="8">
        <v>3.6</v>
      </c>
      <c r="P33" s="8" t="s">
        <v>71</v>
      </c>
    </row>
    <row r="34">
      <c r="A34" s="8" t="s">
        <v>372</v>
      </c>
      <c r="B34" s="8">
        <v>1995.0</v>
      </c>
      <c r="C34" s="8" t="s">
        <v>373</v>
      </c>
      <c r="D34" s="8" t="s">
        <v>376</v>
      </c>
      <c r="E34" s="8">
        <v>2060.0</v>
      </c>
      <c r="F34" s="8" t="s">
        <v>34</v>
      </c>
      <c r="G34" s="8" t="s">
        <v>42</v>
      </c>
      <c r="H34" s="8" t="s">
        <v>374</v>
      </c>
      <c r="I34" s="8">
        <v>1.0</v>
      </c>
      <c r="J34" s="8">
        <v>2.0</v>
      </c>
      <c r="K34" s="8">
        <v>7.0</v>
      </c>
      <c r="L34" s="8">
        <v>0.285714286</v>
      </c>
      <c r="M34" s="8">
        <v>7.0</v>
      </c>
      <c r="N34" s="8">
        <v>-0.916290732</v>
      </c>
      <c r="O34" s="8">
        <v>3.6</v>
      </c>
      <c r="P34" s="8" t="s">
        <v>71</v>
      </c>
    </row>
    <row r="35">
      <c r="A35" s="8" t="s">
        <v>372</v>
      </c>
      <c r="B35" s="8">
        <v>1995.0</v>
      </c>
      <c r="C35" s="8" t="s">
        <v>373</v>
      </c>
      <c r="D35" s="8" t="s">
        <v>377</v>
      </c>
      <c r="E35" s="8">
        <v>2060.0</v>
      </c>
      <c r="F35" s="8" t="s">
        <v>34</v>
      </c>
      <c r="G35" s="8" t="s">
        <v>42</v>
      </c>
      <c r="H35" s="8" t="s">
        <v>374</v>
      </c>
      <c r="I35" s="8">
        <v>0.8</v>
      </c>
      <c r="J35" s="8">
        <v>0.0</v>
      </c>
      <c r="K35" s="8">
        <v>3.0</v>
      </c>
      <c r="L35" s="8">
        <v>0.0</v>
      </c>
      <c r="M35" s="8">
        <v>3.0</v>
      </c>
      <c r="N35" s="8">
        <v>-1.945910149</v>
      </c>
      <c r="O35" s="8">
        <v>1.6</v>
      </c>
      <c r="P35" s="8" t="s">
        <v>71</v>
      </c>
    </row>
    <row r="36">
      <c r="A36" s="8" t="s">
        <v>372</v>
      </c>
      <c r="B36" s="8">
        <v>1995.0</v>
      </c>
      <c r="C36" s="8" t="s">
        <v>373</v>
      </c>
      <c r="D36" s="8" t="s">
        <v>377</v>
      </c>
      <c r="E36" s="8">
        <v>2060.0</v>
      </c>
      <c r="F36" s="8" t="s">
        <v>34</v>
      </c>
      <c r="G36" s="8" t="s">
        <v>42</v>
      </c>
      <c r="H36" s="8" t="s">
        <v>374</v>
      </c>
      <c r="I36" s="8">
        <v>0.95</v>
      </c>
      <c r="J36" s="8">
        <v>0.0</v>
      </c>
      <c r="K36" s="8">
        <v>3.0</v>
      </c>
      <c r="L36" s="8">
        <v>0.0</v>
      </c>
      <c r="M36" s="8">
        <v>3.0</v>
      </c>
      <c r="N36" s="8">
        <v>-1.945910149</v>
      </c>
      <c r="O36" s="8">
        <v>1.6</v>
      </c>
      <c r="P36" s="8" t="s">
        <v>71</v>
      </c>
    </row>
    <row r="37">
      <c r="A37" s="8" t="s">
        <v>372</v>
      </c>
      <c r="B37" s="8">
        <v>1995.0</v>
      </c>
      <c r="C37" s="8" t="s">
        <v>373</v>
      </c>
      <c r="D37" s="8" t="s">
        <v>377</v>
      </c>
      <c r="E37" s="8">
        <v>2060.0</v>
      </c>
      <c r="F37" s="8" t="s">
        <v>34</v>
      </c>
      <c r="G37" s="8" t="s">
        <v>42</v>
      </c>
      <c r="H37" s="8" t="s">
        <v>374</v>
      </c>
      <c r="I37" s="8">
        <v>1.0</v>
      </c>
      <c r="J37" s="8">
        <v>0.0</v>
      </c>
      <c r="K37" s="8">
        <v>3.0</v>
      </c>
      <c r="L37" s="8">
        <v>0.0</v>
      </c>
      <c r="M37" s="8">
        <v>3.0</v>
      </c>
      <c r="N37" s="8">
        <v>-1.945910149</v>
      </c>
      <c r="O37" s="8">
        <v>1.6</v>
      </c>
      <c r="P37" s="8" t="s">
        <v>71</v>
      </c>
    </row>
    <row r="38">
      <c r="A38" s="8" t="s">
        <v>372</v>
      </c>
      <c r="B38" s="8">
        <v>1995.0</v>
      </c>
      <c r="C38" s="8" t="s">
        <v>373</v>
      </c>
      <c r="D38" s="8" t="s">
        <v>377</v>
      </c>
      <c r="E38" s="8">
        <v>2060.0</v>
      </c>
      <c r="F38" s="8" t="s">
        <v>34</v>
      </c>
      <c r="G38" s="8" t="s">
        <v>42</v>
      </c>
      <c r="H38" s="8" t="s">
        <v>374</v>
      </c>
      <c r="I38" s="8">
        <v>0.8</v>
      </c>
      <c r="J38" s="8">
        <v>1.0</v>
      </c>
      <c r="K38" s="8">
        <v>3.0</v>
      </c>
      <c r="L38" s="8">
        <v>0.333333333</v>
      </c>
      <c r="M38" s="8">
        <v>3.0</v>
      </c>
      <c r="N38" s="8">
        <v>-0.693147181</v>
      </c>
      <c r="O38" s="8">
        <v>2.6</v>
      </c>
      <c r="P38" s="8" t="s">
        <v>71</v>
      </c>
    </row>
    <row r="39">
      <c r="A39" s="8" t="s">
        <v>372</v>
      </c>
      <c r="B39" s="8">
        <v>1995.0</v>
      </c>
      <c r="C39" s="8" t="s">
        <v>373</v>
      </c>
      <c r="D39" s="8" t="s">
        <v>377</v>
      </c>
      <c r="E39" s="8">
        <v>2060.0</v>
      </c>
      <c r="F39" s="8" t="s">
        <v>34</v>
      </c>
      <c r="G39" s="8" t="s">
        <v>42</v>
      </c>
      <c r="H39" s="8" t="s">
        <v>374</v>
      </c>
      <c r="I39" s="8">
        <v>0.95</v>
      </c>
      <c r="J39" s="8">
        <v>1.0</v>
      </c>
      <c r="K39" s="8">
        <v>3.0</v>
      </c>
      <c r="L39" s="8">
        <v>0.333333333</v>
      </c>
      <c r="M39" s="8">
        <v>3.0</v>
      </c>
      <c r="N39" s="8">
        <v>-0.693147181</v>
      </c>
      <c r="O39" s="8">
        <v>2.6</v>
      </c>
      <c r="P39" s="8" t="s">
        <v>71</v>
      </c>
    </row>
    <row r="40">
      <c r="A40" s="8" t="s">
        <v>372</v>
      </c>
      <c r="B40" s="8">
        <v>1995.0</v>
      </c>
      <c r="C40" s="8" t="s">
        <v>373</v>
      </c>
      <c r="D40" s="8" t="s">
        <v>377</v>
      </c>
      <c r="E40" s="8">
        <v>2060.0</v>
      </c>
      <c r="F40" s="8" t="s">
        <v>34</v>
      </c>
      <c r="G40" s="8" t="s">
        <v>42</v>
      </c>
      <c r="H40" s="8" t="s">
        <v>374</v>
      </c>
      <c r="I40" s="8">
        <v>1.0</v>
      </c>
      <c r="J40" s="8">
        <v>0.0</v>
      </c>
      <c r="K40" s="8">
        <v>3.0</v>
      </c>
      <c r="L40" s="8">
        <v>0.0</v>
      </c>
      <c r="M40" s="8">
        <v>3.0</v>
      </c>
      <c r="N40" s="8">
        <v>-1.945910149</v>
      </c>
      <c r="O40" s="8">
        <v>2.6</v>
      </c>
      <c r="P40" s="8" t="s">
        <v>71</v>
      </c>
    </row>
    <row r="41">
      <c r="A41" s="8" t="s">
        <v>372</v>
      </c>
      <c r="B41" s="8">
        <v>1995.0</v>
      </c>
      <c r="C41" s="8" t="s">
        <v>373</v>
      </c>
      <c r="D41" s="8" t="s">
        <v>377</v>
      </c>
      <c r="E41" s="8">
        <v>2060.0</v>
      </c>
      <c r="F41" s="8" t="s">
        <v>34</v>
      </c>
      <c r="G41" s="8" t="s">
        <v>42</v>
      </c>
      <c r="H41" s="8" t="s">
        <v>374</v>
      </c>
      <c r="I41" s="8">
        <v>0.8</v>
      </c>
      <c r="J41" s="8">
        <v>1.0</v>
      </c>
      <c r="K41" s="8">
        <v>3.0</v>
      </c>
      <c r="L41" s="8">
        <v>0.333333333</v>
      </c>
      <c r="M41" s="8">
        <v>3.0</v>
      </c>
      <c r="N41" s="8">
        <v>-0.693147181</v>
      </c>
      <c r="O41" s="8">
        <v>3.6</v>
      </c>
      <c r="P41" s="8" t="s">
        <v>71</v>
      </c>
    </row>
    <row r="42">
      <c r="A42" s="8" t="s">
        <v>372</v>
      </c>
      <c r="B42" s="8">
        <v>1995.0</v>
      </c>
      <c r="C42" s="8" t="s">
        <v>373</v>
      </c>
      <c r="D42" s="8" t="s">
        <v>377</v>
      </c>
      <c r="E42" s="8">
        <v>2060.0</v>
      </c>
      <c r="F42" s="8" t="s">
        <v>34</v>
      </c>
      <c r="G42" s="8" t="s">
        <v>42</v>
      </c>
      <c r="H42" s="8" t="s">
        <v>374</v>
      </c>
      <c r="I42" s="8">
        <v>0.95</v>
      </c>
      <c r="J42" s="8">
        <v>1.0</v>
      </c>
      <c r="K42" s="8">
        <v>3.0</v>
      </c>
      <c r="L42" s="8">
        <v>0.333333333</v>
      </c>
      <c r="M42" s="8">
        <v>3.0</v>
      </c>
      <c r="N42" s="8">
        <v>-0.693147181</v>
      </c>
      <c r="O42" s="8">
        <v>3.6</v>
      </c>
      <c r="P42" s="8" t="s">
        <v>71</v>
      </c>
    </row>
    <row r="43">
      <c r="A43" s="8" t="s">
        <v>372</v>
      </c>
      <c r="B43" s="8">
        <v>1995.0</v>
      </c>
      <c r="C43" s="8" t="s">
        <v>373</v>
      </c>
      <c r="D43" s="8" t="s">
        <v>377</v>
      </c>
      <c r="E43" s="8">
        <v>2060.0</v>
      </c>
      <c r="F43" s="8" t="s">
        <v>34</v>
      </c>
      <c r="G43" s="8" t="s">
        <v>42</v>
      </c>
      <c r="H43" s="8" t="s">
        <v>374</v>
      </c>
      <c r="I43" s="8">
        <v>1.0</v>
      </c>
      <c r="J43" s="8">
        <v>0.0</v>
      </c>
      <c r="K43" s="8">
        <v>3.0</v>
      </c>
      <c r="L43" s="8">
        <v>0.0</v>
      </c>
      <c r="M43" s="8">
        <v>3.0</v>
      </c>
      <c r="N43" s="8">
        <v>-1.945910149</v>
      </c>
      <c r="O43" s="8">
        <v>3.6</v>
      </c>
      <c r="P43" s="8" t="s">
        <v>71</v>
      </c>
    </row>
    <row r="44">
      <c r="A44" s="8" t="s">
        <v>372</v>
      </c>
      <c r="B44" s="8">
        <v>1995.0</v>
      </c>
      <c r="C44" s="8" t="s">
        <v>373</v>
      </c>
      <c r="D44" s="8" t="s">
        <v>370</v>
      </c>
      <c r="E44" s="8">
        <v>2060.0</v>
      </c>
      <c r="F44" s="8" t="s">
        <v>34</v>
      </c>
      <c r="G44" s="8" t="s">
        <v>42</v>
      </c>
      <c r="H44" s="8" t="s">
        <v>374</v>
      </c>
      <c r="I44" s="8">
        <v>0.8</v>
      </c>
      <c r="J44" s="8">
        <v>1.0</v>
      </c>
      <c r="K44" s="8">
        <v>2.0</v>
      </c>
      <c r="L44" s="8">
        <v>0.5</v>
      </c>
      <c r="M44" s="8">
        <v>2.0</v>
      </c>
      <c r="N44" s="8">
        <v>0.0</v>
      </c>
      <c r="O44" s="8">
        <v>1.6</v>
      </c>
      <c r="P44" s="8" t="s">
        <v>71</v>
      </c>
    </row>
    <row r="45">
      <c r="A45" s="8" t="s">
        <v>372</v>
      </c>
      <c r="B45" s="8">
        <v>1995.0</v>
      </c>
      <c r="C45" s="8" t="s">
        <v>373</v>
      </c>
      <c r="D45" s="8" t="s">
        <v>370</v>
      </c>
      <c r="E45" s="8">
        <v>2060.0</v>
      </c>
      <c r="F45" s="8" t="s">
        <v>34</v>
      </c>
      <c r="G45" s="8" t="s">
        <v>42</v>
      </c>
      <c r="H45" s="8" t="s">
        <v>374</v>
      </c>
      <c r="I45" s="8">
        <v>0.95</v>
      </c>
      <c r="J45" s="8">
        <v>0.0</v>
      </c>
      <c r="K45" s="8">
        <v>2.0</v>
      </c>
      <c r="L45" s="8">
        <v>0.0</v>
      </c>
      <c r="M45" s="8">
        <v>2.0</v>
      </c>
      <c r="N45" s="8">
        <v>-1.609437912</v>
      </c>
      <c r="O45" s="8">
        <v>1.6</v>
      </c>
      <c r="P45" s="8" t="s">
        <v>71</v>
      </c>
    </row>
    <row r="46">
      <c r="A46" s="8" t="s">
        <v>372</v>
      </c>
      <c r="B46" s="8">
        <v>1995.0</v>
      </c>
      <c r="C46" s="8" t="s">
        <v>373</v>
      </c>
      <c r="D46" s="8" t="s">
        <v>370</v>
      </c>
      <c r="E46" s="8">
        <v>2060.0</v>
      </c>
      <c r="F46" s="8" t="s">
        <v>34</v>
      </c>
      <c r="G46" s="8" t="s">
        <v>42</v>
      </c>
      <c r="H46" s="8" t="s">
        <v>374</v>
      </c>
      <c r="I46" s="8">
        <v>1.0</v>
      </c>
      <c r="J46" s="8">
        <v>0.0</v>
      </c>
      <c r="K46" s="8">
        <v>2.0</v>
      </c>
      <c r="L46" s="8">
        <v>0.0</v>
      </c>
      <c r="M46" s="8">
        <v>2.0</v>
      </c>
      <c r="N46" s="8">
        <v>-1.609437912</v>
      </c>
      <c r="O46" s="8">
        <v>1.6</v>
      </c>
      <c r="P46" s="8" t="s">
        <v>71</v>
      </c>
    </row>
    <row r="47">
      <c r="A47" s="8" t="s">
        <v>372</v>
      </c>
      <c r="B47" s="8">
        <v>1995.0</v>
      </c>
      <c r="C47" s="8" t="s">
        <v>373</v>
      </c>
      <c r="D47" s="8" t="s">
        <v>370</v>
      </c>
      <c r="E47" s="8">
        <v>2060.0</v>
      </c>
      <c r="F47" s="8" t="s">
        <v>34</v>
      </c>
      <c r="G47" s="8" t="s">
        <v>42</v>
      </c>
      <c r="H47" s="8" t="s">
        <v>374</v>
      </c>
      <c r="I47" s="8">
        <v>0.8</v>
      </c>
      <c r="J47" s="8">
        <v>2.0</v>
      </c>
      <c r="K47" s="8">
        <v>2.0</v>
      </c>
      <c r="L47" s="8">
        <v>1.0</v>
      </c>
      <c r="M47" s="8">
        <v>2.0</v>
      </c>
      <c r="N47" s="8">
        <v>1.609437912</v>
      </c>
      <c r="O47" s="8">
        <v>2.6</v>
      </c>
      <c r="P47" s="8" t="s">
        <v>71</v>
      </c>
    </row>
    <row r="48">
      <c r="A48" s="8" t="s">
        <v>372</v>
      </c>
      <c r="B48" s="8">
        <v>1995.0</v>
      </c>
      <c r="C48" s="8" t="s">
        <v>373</v>
      </c>
      <c r="D48" s="8" t="s">
        <v>370</v>
      </c>
      <c r="E48" s="8">
        <v>2060.0</v>
      </c>
      <c r="F48" s="8" t="s">
        <v>34</v>
      </c>
      <c r="G48" s="8" t="s">
        <v>42</v>
      </c>
      <c r="H48" s="8" t="s">
        <v>374</v>
      </c>
      <c r="I48" s="8">
        <v>0.95</v>
      </c>
      <c r="J48" s="8">
        <v>2.0</v>
      </c>
      <c r="K48" s="8">
        <v>2.0</v>
      </c>
      <c r="L48" s="8">
        <v>1.0</v>
      </c>
      <c r="M48" s="8">
        <v>2.0</v>
      </c>
      <c r="N48" s="8">
        <v>1.609437912</v>
      </c>
      <c r="O48" s="8">
        <v>2.6</v>
      </c>
      <c r="P48" s="8" t="s">
        <v>71</v>
      </c>
    </row>
    <row r="49">
      <c r="A49" s="8" t="s">
        <v>372</v>
      </c>
      <c r="B49" s="8">
        <v>1995.0</v>
      </c>
      <c r="C49" s="8" t="s">
        <v>373</v>
      </c>
      <c r="D49" s="8" t="s">
        <v>370</v>
      </c>
      <c r="E49" s="8">
        <v>2060.0</v>
      </c>
      <c r="F49" s="8" t="s">
        <v>34</v>
      </c>
      <c r="G49" s="8" t="s">
        <v>42</v>
      </c>
      <c r="H49" s="8" t="s">
        <v>374</v>
      </c>
      <c r="I49" s="8">
        <v>1.0</v>
      </c>
      <c r="J49" s="8">
        <v>1.0</v>
      </c>
      <c r="K49" s="8">
        <v>2.0</v>
      </c>
      <c r="L49" s="8">
        <v>0.5</v>
      </c>
      <c r="M49" s="8">
        <v>2.0</v>
      </c>
      <c r="N49" s="8">
        <v>0.0</v>
      </c>
      <c r="O49" s="8">
        <v>2.6</v>
      </c>
      <c r="P49" s="8" t="s">
        <v>71</v>
      </c>
    </row>
    <row r="50">
      <c r="A50" s="8" t="s">
        <v>372</v>
      </c>
      <c r="B50" s="8">
        <v>1995.0</v>
      </c>
      <c r="C50" s="8" t="s">
        <v>373</v>
      </c>
      <c r="D50" s="8" t="s">
        <v>370</v>
      </c>
      <c r="E50" s="8">
        <v>2060.0</v>
      </c>
      <c r="F50" s="8" t="s">
        <v>34</v>
      </c>
      <c r="G50" s="8" t="s">
        <v>42</v>
      </c>
      <c r="H50" s="8" t="s">
        <v>374</v>
      </c>
      <c r="I50" s="8">
        <v>0.8</v>
      </c>
      <c r="J50" s="8">
        <v>2.0</v>
      </c>
      <c r="K50" s="8">
        <v>2.0</v>
      </c>
      <c r="L50" s="8">
        <v>1.0</v>
      </c>
      <c r="M50" s="8">
        <v>2.0</v>
      </c>
      <c r="N50" s="8">
        <v>1.609437912</v>
      </c>
      <c r="O50" s="8">
        <v>3.6</v>
      </c>
      <c r="P50" s="8" t="s">
        <v>71</v>
      </c>
    </row>
    <row r="51">
      <c r="A51" s="8" t="s">
        <v>372</v>
      </c>
      <c r="B51" s="8">
        <v>1995.0</v>
      </c>
      <c r="C51" s="8" t="s">
        <v>373</v>
      </c>
      <c r="D51" s="8" t="s">
        <v>370</v>
      </c>
      <c r="E51" s="8">
        <v>2060.0</v>
      </c>
      <c r="F51" s="8" t="s">
        <v>34</v>
      </c>
      <c r="G51" s="8" t="s">
        <v>42</v>
      </c>
      <c r="H51" s="8" t="s">
        <v>374</v>
      </c>
      <c r="I51" s="8">
        <v>0.95</v>
      </c>
      <c r="J51" s="8">
        <v>2.0</v>
      </c>
      <c r="K51" s="8">
        <v>2.0</v>
      </c>
      <c r="L51" s="8">
        <v>1.0</v>
      </c>
      <c r="M51" s="8">
        <v>2.0</v>
      </c>
      <c r="N51" s="8">
        <v>1.609437912</v>
      </c>
      <c r="O51" s="8">
        <v>3.6</v>
      </c>
      <c r="P51" s="8" t="s">
        <v>71</v>
      </c>
    </row>
    <row r="52">
      <c r="A52" s="8" t="s">
        <v>372</v>
      </c>
      <c r="B52" s="8">
        <v>1995.0</v>
      </c>
      <c r="C52" s="8" t="s">
        <v>373</v>
      </c>
      <c r="D52" s="8" t="s">
        <v>370</v>
      </c>
      <c r="E52" s="8">
        <v>2060.0</v>
      </c>
      <c r="F52" s="8" t="s">
        <v>34</v>
      </c>
      <c r="G52" s="8" t="s">
        <v>42</v>
      </c>
      <c r="H52" s="8" t="s">
        <v>374</v>
      </c>
      <c r="I52" s="8">
        <v>1.0</v>
      </c>
      <c r="J52" s="8">
        <v>2.0</v>
      </c>
      <c r="K52" s="8">
        <v>2.0</v>
      </c>
      <c r="L52" s="8">
        <v>1.0</v>
      </c>
      <c r="M52" s="8">
        <v>2.0</v>
      </c>
      <c r="N52" s="8">
        <v>1.609437912</v>
      </c>
      <c r="O52" s="8">
        <v>3.6</v>
      </c>
      <c r="P52" s="8" t="s">
        <v>71</v>
      </c>
    </row>
    <row r="53">
      <c r="A53" s="8" t="s">
        <v>378</v>
      </c>
      <c r="B53" s="8">
        <v>1995.0</v>
      </c>
      <c r="C53" s="8" t="s">
        <v>32</v>
      </c>
      <c r="D53" s="8" t="s">
        <v>371</v>
      </c>
      <c r="E53" s="8">
        <v>2100.0</v>
      </c>
      <c r="F53" s="8" t="s">
        <v>34</v>
      </c>
      <c r="G53" s="8" t="s">
        <v>42</v>
      </c>
      <c r="H53" s="8" t="s">
        <v>374</v>
      </c>
      <c r="I53" s="8">
        <v>1.0</v>
      </c>
      <c r="J53" s="8">
        <v>0.0</v>
      </c>
      <c r="K53" s="8">
        <v>8.0</v>
      </c>
      <c r="L53" s="8">
        <v>0.0</v>
      </c>
      <c r="M53" s="8">
        <v>8.0</v>
      </c>
      <c r="N53" s="8">
        <v>-2.833213344</v>
      </c>
      <c r="O53" s="8">
        <v>3.0</v>
      </c>
      <c r="P53" s="8" t="s">
        <v>368</v>
      </c>
    </row>
    <row r="54">
      <c r="A54" s="8" t="s">
        <v>378</v>
      </c>
      <c r="B54" s="8">
        <v>1995.0</v>
      </c>
      <c r="C54" s="8" t="s">
        <v>32</v>
      </c>
      <c r="D54" s="8" t="s">
        <v>371</v>
      </c>
      <c r="E54" s="8">
        <v>2100.0</v>
      </c>
      <c r="F54" s="8" t="s">
        <v>34</v>
      </c>
      <c r="G54" s="8" t="s">
        <v>42</v>
      </c>
      <c r="H54" s="8" t="s">
        <v>374</v>
      </c>
      <c r="I54" s="8">
        <v>0.95</v>
      </c>
      <c r="J54" s="8">
        <v>0.0</v>
      </c>
      <c r="K54" s="8">
        <v>8.0</v>
      </c>
      <c r="L54" s="8">
        <v>0.0</v>
      </c>
      <c r="M54" s="8">
        <v>8.0</v>
      </c>
      <c r="N54" s="8">
        <v>-2.833213344</v>
      </c>
      <c r="O54" s="8">
        <v>3.0</v>
      </c>
      <c r="P54" s="8" t="s">
        <v>368</v>
      </c>
    </row>
    <row r="55">
      <c r="A55" s="8" t="s">
        <v>378</v>
      </c>
      <c r="B55" s="8">
        <v>1995.0</v>
      </c>
      <c r="C55" s="8" t="s">
        <v>32</v>
      </c>
      <c r="D55" s="8" t="s">
        <v>371</v>
      </c>
      <c r="E55" s="8">
        <v>2100.0</v>
      </c>
      <c r="F55" s="8" t="s">
        <v>34</v>
      </c>
      <c r="G55" s="8" t="s">
        <v>42</v>
      </c>
      <c r="H55" s="8" t="s">
        <v>374</v>
      </c>
      <c r="I55" s="8">
        <v>0.8</v>
      </c>
      <c r="J55" s="8">
        <v>0.0</v>
      </c>
      <c r="K55" s="8">
        <v>8.0</v>
      </c>
      <c r="L55" s="8">
        <v>0.0</v>
      </c>
      <c r="M55" s="8">
        <v>8.0</v>
      </c>
      <c r="N55" s="8">
        <v>-2.833213344</v>
      </c>
      <c r="O55" s="8">
        <v>3.0</v>
      </c>
      <c r="P55" s="8" t="s">
        <v>368</v>
      </c>
    </row>
    <row r="56">
      <c r="A56" s="8" t="s">
        <v>378</v>
      </c>
      <c r="B56" s="8">
        <v>1995.0</v>
      </c>
      <c r="C56" s="8" t="s">
        <v>32</v>
      </c>
      <c r="D56" s="8" t="s">
        <v>371</v>
      </c>
      <c r="E56" s="8">
        <v>2100.0</v>
      </c>
      <c r="F56" s="8" t="s">
        <v>34</v>
      </c>
      <c r="G56" s="8" t="s">
        <v>42</v>
      </c>
      <c r="H56" s="8" t="s">
        <v>374</v>
      </c>
      <c r="I56" s="8">
        <v>1.0</v>
      </c>
      <c r="J56" s="8">
        <v>0.0</v>
      </c>
      <c r="K56" s="8">
        <v>8.0</v>
      </c>
      <c r="L56" s="8">
        <v>0.0</v>
      </c>
      <c r="M56" s="8">
        <v>8.0</v>
      </c>
      <c r="N56" s="8">
        <v>-2.833213344</v>
      </c>
      <c r="O56" s="8">
        <v>5.4</v>
      </c>
      <c r="P56" s="8" t="s">
        <v>368</v>
      </c>
    </row>
    <row r="57">
      <c r="A57" s="8" t="s">
        <v>378</v>
      </c>
      <c r="B57" s="8">
        <v>1995.0</v>
      </c>
      <c r="C57" s="8" t="s">
        <v>32</v>
      </c>
      <c r="D57" s="8" t="s">
        <v>371</v>
      </c>
      <c r="E57" s="8">
        <v>2100.0</v>
      </c>
      <c r="F57" s="8" t="s">
        <v>34</v>
      </c>
      <c r="G57" s="8" t="s">
        <v>42</v>
      </c>
      <c r="H57" s="8" t="s">
        <v>374</v>
      </c>
      <c r="I57" s="8">
        <v>0.95</v>
      </c>
      <c r="J57" s="8">
        <v>0.0</v>
      </c>
      <c r="K57" s="8">
        <v>8.0</v>
      </c>
      <c r="L57" s="8">
        <v>0.0</v>
      </c>
      <c r="M57" s="8">
        <v>8.0</v>
      </c>
      <c r="N57" s="8">
        <v>-2.833213344</v>
      </c>
      <c r="O57" s="8">
        <v>5.4</v>
      </c>
      <c r="P57" s="8" t="s">
        <v>368</v>
      </c>
    </row>
    <row r="58">
      <c r="A58" s="8" t="s">
        <v>378</v>
      </c>
      <c r="B58" s="8">
        <v>1995.0</v>
      </c>
      <c r="C58" s="8" t="s">
        <v>32</v>
      </c>
      <c r="D58" s="8" t="s">
        <v>371</v>
      </c>
      <c r="E58" s="8">
        <v>2100.0</v>
      </c>
      <c r="F58" s="8" t="s">
        <v>34</v>
      </c>
      <c r="G58" s="8" t="s">
        <v>42</v>
      </c>
      <c r="H58" s="8" t="s">
        <v>374</v>
      </c>
      <c r="I58" s="8">
        <v>0.8</v>
      </c>
      <c r="J58" s="8">
        <v>0.0</v>
      </c>
      <c r="K58" s="8">
        <v>8.0</v>
      </c>
      <c r="L58" s="8">
        <v>0.0</v>
      </c>
      <c r="M58" s="8">
        <v>8.0</v>
      </c>
      <c r="N58" s="8">
        <v>-2.833213344</v>
      </c>
      <c r="O58" s="8">
        <v>5.4</v>
      </c>
      <c r="P58" s="8" t="s">
        <v>368</v>
      </c>
    </row>
    <row r="59">
      <c r="A59" s="8" t="s">
        <v>379</v>
      </c>
      <c r="B59" s="8">
        <v>1996.0</v>
      </c>
      <c r="C59" s="8" t="s">
        <v>373</v>
      </c>
      <c r="D59" s="8" t="s">
        <v>371</v>
      </c>
      <c r="E59" s="8">
        <v>2070.0</v>
      </c>
      <c r="F59" s="8" t="s">
        <v>41</v>
      </c>
      <c r="G59" s="8" t="s">
        <v>42</v>
      </c>
      <c r="H59" s="8" t="s">
        <v>367</v>
      </c>
      <c r="I59" s="8">
        <v>1.0</v>
      </c>
      <c r="J59" s="8">
        <v>205.0</v>
      </c>
      <c r="K59" s="8">
        <v>819.0</v>
      </c>
      <c r="L59" s="8">
        <v>0.25030525</v>
      </c>
      <c r="M59" s="8">
        <v>819.0</v>
      </c>
      <c r="N59" s="8">
        <v>-1.096984949</v>
      </c>
      <c r="O59" s="8">
        <v>1.6</v>
      </c>
      <c r="P59" s="8" t="s">
        <v>71</v>
      </c>
    </row>
    <row r="60">
      <c r="A60" s="8" t="s">
        <v>379</v>
      </c>
      <c r="B60" s="8">
        <v>1996.0</v>
      </c>
      <c r="C60" s="8" t="s">
        <v>373</v>
      </c>
      <c r="D60" s="8" t="s">
        <v>371</v>
      </c>
      <c r="E60" s="8">
        <v>2070.0</v>
      </c>
      <c r="F60" s="8" t="s">
        <v>41</v>
      </c>
      <c r="G60" s="8" t="s">
        <v>42</v>
      </c>
      <c r="H60" s="8" t="s">
        <v>367</v>
      </c>
      <c r="I60" s="8">
        <v>1.0</v>
      </c>
      <c r="J60" s="8">
        <v>336.0</v>
      </c>
      <c r="K60" s="8">
        <v>819.0</v>
      </c>
      <c r="L60" s="8">
        <v>0.41025641</v>
      </c>
      <c r="M60" s="8">
        <v>819.0</v>
      </c>
      <c r="N60" s="8">
        <v>-0.362905494</v>
      </c>
      <c r="O60" s="8">
        <v>2.6</v>
      </c>
      <c r="P60" s="8" t="s">
        <v>71</v>
      </c>
    </row>
    <row r="61">
      <c r="A61" s="8" t="s">
        <v>379</v>
      </c>
      <c r="B61" s="8">
        <v>1996.0</v>
      </c>
      <c r="C61" s="8" t="s">
        <v>373</v>
      </c>
      <c r="D61" s="8" t="s">
        <v>371</v>
      </c>
      <c r="E61" s="8">
        <v>2070.0</v>
      </c>
      <c r="F61" s="8" t="s">
        <v>41</v>
      </c>
      <c r="G61" s="8" t="s">
        <v>42</v>
      </c>
      <c r="H61" s="8" t="s">
        <v>367</v>
      </c>
      <c r="I61" s="8">
        <v>1.0</v>
      </c>
      <c r="J61" s="8">
        <v>434.0</v>
      </c>
      <c r="K61" s="8">
        <v>819.0</v>
      </c>
      <c r="L61" s="8">
        <v>0.52991453</v>
      </c>
      <c r="M61" s="8">
        <v>819.0</v>
      </c>
      <c r="N61" s="8">
        <v>0.1198012</v>
      </c>
      <c r="O61" s="8">
        <v>3.6</v>
      </c>
      <c r="P61" s="8" t="s">
        <v>71</v>
      </c>
    </row>
    <row r="62">
      <c r="A62" s="8" t="s">
        <v>379</v>
      </c>
      <c r="B62" s="8">
        <v>1996.0</v>
      </c>
      <c r="C62" s="8" t="s">
        <v>373</v>
      </c>
      <c r="D62" s="8" t="s">
        <v>371</v>
      </c>
      <c r="E62" s="8">
        <v>2070.0</v>
      </c>
      <c r="F62" s="8" t="s">
        <v>41</v>
      </c>
      <c r="G62" s="8" t="s">
        <v>42</v>
      </c>
      <c r="H62" s="8" t="s">
        <v>367</v>
      </c>
      <c r="I62" s="8">
        <v>1.0</v>
      </c>
      <c r="J62" s="8">
        <v>598.0</v>
      </c>
      <c r="K62" s="8">
        <v>819.0</v>
      </c>
      <c r="L62" s="8">
        <v>0.73015873</v>
      </c>
      <c r="M62" s="8">
        <v>819.0</v>
      </c>
      <c r="N62" s="8">
        <v>0.995428052</v>
      </c>
      <c r="O62" s="8">
        <v>5.6</v>
      </c>
      <c r="P62" s="8" t="s">
        <v>71</v>
      </c>
    </row>
    <row r="63">
      <c r="A63" s="8" t="s">
        <v>380</v>
      </c>
      <c r="B63" s="8">
        <v>1996.0</v>
      </c>
      <c r="C63" s="8" t="s">
        <v>365</v>
      </c>
      <c r="D63" s="8" t="s">
        <v>381</v>
      </c>
      <c r="E63" s="8">
        <v>2100.0</v>
      </c>
      <c r="F63" s="8" t="s">
        <v>34</v>
      </c>
      <c r="G63" s="8" t="s">
        <v>382</v>
      </c>
      <c r="H63" s="8" t="s">
        <v>374</v>
      </c>
      <c r="I63" s="8">
        <v>1.0</v>
      </c>
      <c r="J63" s="8">
        <v>0.0</v>
      </c>
      <c r="K63" s="8">
        <v>57.0</v>
      </c>
      <c r="L63" s="8">
        <v>0.0</v>
      </c>
      <c r="M63" s="8">
        <v>57.0</v>
      </c>
      <c r="N63" s="8">
        <v>-4.744932128</v>
      </c>
      <c r="O63" s="8">
        <v>5.0</v>
      </c>
      <c r="P63" s="8" t="s">
        <v>368</v>
      </c>
    </row>
    <row r="64">
      <c r="A64" s="8" t="s">
        <v>380</v>
      </c>
      <c r="B64" s="8">
        <v>1996.0</v>
      </c>
      <c r="C64" s="8" t="s">
        <v>365</v>
      </c>
      <c r="D64" s="8" t="s">
        <v>381</v>
      </c>
      <c r="E64" s="8">
        <v>2100.0</v>
      </c>
      <c r="F64" s="8" t="s">
        <v>34</v>
      </c>
      <c r="G64" s="8" t="s">
        <v>382</v>
      </c>
      <c r="H64" s="8" t="s">
        <v>374</v>
      </c>
      <c r="I64" s="8">
        <v>0.95</v>
      </c>
      <c r="J64" s="8">
        <v>0.0</v>
      </c>
      <c r="K64" s="8">
        <v>57.0</v>
      </c>
      <c r="L64" s="8">
        <v>0.0</v>
      </c>
      <c r="M64" s="8">
        <v>57.0</v>
      </c>
      <c r="N64" s="8">
        <v>-4.744932128</v>
      </c>
      <c r="O64" s="8">
        <v>5.0</v>
      </c>
      <c r="P64" s="8" t="s">
        <v>368</v>
      </c>
    </row>
    <row r="65">
      <c r="A65" s="8" t="s">
        <v>380</v>
      </c>
      <c r="B65" s="8">
        <v>1996.0</v>
      </c>
      <c r="C65" s="8" t="s">
        <v>365</v>
      </c>
      <c r="D65" s="8" t="s">
        <v>381</v>
      </c>
      <c r="E65" s="8">
        <v>2100.0</v>
      </c>
      <c r="F65" s="8" t="s">
        <v>34</v>
      </c>
      <c r="G65" s="8" t="s">
        <v>382</v>
      </c>
      <c r="H65" s="8" t="s">
        <v>374</v>
      </c>
      <c r="I65" s="8">
        <v>0.8</v>
      </c>
      <c r="J65" s="8">
        <v>0.0</v>
      </c>
      <c r="K65" s="8">
        <v>57.0</v>
      </c>
      <c r="L65" s="8">
        <v>0.0</v>
      </c>
      <c r="M65" s="8">
        <v>57.0</v>
      </c>
      <c r="N65" s="8">
        <v>-4.744932128</v>
      </c>
      <c r="O65" s="8">
        <v>5.0</v>
      </c>
      <c r="P65" s="8" t="s">
        <v>368</v>
      </c>
    </row>
    <row r="66">
      <c r="A66" s="8" t="s">
        <v>383</v>
      </c>
      <c r="B66" s="8">
        <v>1997.0</v>
      </c>
      <c r="C66" s="8" t="s">
        <v>365</v>
      </c>
      <c r="D66" s="8" t="s">
        <v>366</v>
      </c>
      <c r="E66" s="8">
        <v>2100.0</v>
      </c>
      <c r="F66" s="8" t="s">
        <v>34</v>
      </c>
      <c r="G66" s="8" t="s">
        <v>382</v>
      </c>
      <c r="H66" s="8" t="s">
        <v>374</v>
      </c>
      <c r="I66" s="8">
        <v>1.0</v>
      </c>
      <c r="J66" s="8">
        <v>0.0</v>
      </c>
      <c r="K66" s="8">
        <v>4.0</v>
      </c>
      <c r="L66" s="8">
        <v>0.0</v>
      </c>
      <c r="M66" s="8">
        <v>4.0</v>
      </c>
      <c r="N66" s="8">
        <v>-2.197224577</v>
      </c>
      <c r="O66" s="8">
        <v>4.8</v>
      </c>
      <c r="P66" s="8" t="s">
        <v>384</v>
      </c>
    </row>
    <row r="67">
      <c r="A67" s="8" t="s">
        <v>385</v>
      </c>
      <c r="B67" s="8">
        <v>1998.0</v>
      </c>
      <c r="C67" s="8" t="s">
        <v>32</v>
      </c>
      <c r="D67" s="8" t="s">
        <v>371</v>
      </c>
      <c r="E67" s="8">
        <v>2100.0</v>
      </c>
      <c r="F67" s="8" t="s">
        <v>34</v>
      </c>
      <c r="G67" s="8" t="s">
        <v>42</v>
      </c>
      <c r="H67" s="8" t="s">
        <v>374</v>
      </c>
      <c r="I67" s="8">
        <v>1.0</v>
      </c>
      <c r="J67" s="8">
        <v>10.0</v>
      </c>
      <c r="K67" s="8">
        <v>1521.0</v>
      </c>
      <c r="L67" s="8">
        <v>0.006574622</v>
      </c>
      <c r="M67" s="8">
        <v>1521.0</v>
      </c>
      <c r="N67" s="8">
        <v>-5.017941869</v>
      </c>
      <c r="O67" s="8">
        <v>4.0</v>
      </c>
      <c r="P67" s="8" t="s">
        <v>368</v>
      </c>
    </row>
    <row r="68">
      <c r="A68" s="8" t="s">
        <v>386</v>
      </c>
      <c r="B68" s="8">
        <v>1998.0</v>
      </c>
      <c r="C68" s="8" t="s">
        <v>365</v>
      </c>
      <c r="D68" s="8" t="s">
        <v>371</v>
      </c>
      <c r="E68" s="8">
        <v>2100.0</v>
      </c>
      <c r="F68" s="8" t="s">
        <v>34</v>
      </c>
      <c r="G68" s="8" t="s">
        <v>42</v>
      </c>
      <c r="H68" s="8" t="s">
        <v>374</v>
      </c>
      <c r="I68" s="8">
        <v>1.0</v>
      </c>
      <c r="J68" s="8">
        <v>1.0</v>
      </c>
      <c r="K68" s="8">
        <v>80.0</v>
      </c>
      <c r="L68" s="8">
        <v>0.0125</v>
      </c>
      <c r="M68" s="8">
        <v>80.0</v>
      </c>
      <c r="N68" s="8">
        <v>-4.369447852</v>
      </c>
      <c r="O68" s="8">
        <v>4.55</v>
      </c>
      <c r="P68" s="8" t="s">
        <v>368</v>
      </c>
    </row>
    <row r="69">
      <c r="A69" s="8" t="s">
        <v>386</v>
      </c>
      <c r="B69" s="8">
        <v>1998.0</v>
      </c>
      <c r="C69" s="8" t="s">
        <v>365</v>
      </c>
      <c r="D69" s="8" t="s">
        <v>371</v>
      </c>
      <c r="E69" s="8">
        <v>2100.0</v>
      </c>
      <c r="F69" s="8" t="s">
        <v>34</v>
      </c>
      <c r="G69" s="8" t="s">
        <v>42</v>
      </c>
      <c r="H69" s="8" t="s">
        <v>374</v>
      </c>
      <c r="I69" s="8">
        <v>0.95</v>
      </c>
      <c r="J69" s="8">
        <v>8.0</v>
      </c>
      <c r="K69" s="8">
        <v>80.0</v>
      </c>
      <c r="L69" s="8">
        <v>0.1</v>
      </c>
      <c r="M69" s="8">
        <v>80.0</v>
      </c>
      <c r="N69" s="8">
        <v>-2.197224577</v>
      </c>
      <c r="O69" s="8">
        <v>4.55</v>
      </c>
      <c r="P69" s="8" t="s">
        <v>368</v>
      </c>
    </row>
    <row r="70">
      <c r="A70" s="8" t="s">
        <v>386</v>
      </c>
      <c r="B70" s="8">
        <v>1998.0</v>
      </c>
      <c r="C70" s="8" t="s">
        <v>365</v>
      </c>
      <c r="D70" s="8" t="s">
        <v>371</v>
      </c>
      <c r="E70" s="8">
        <v>2100.0</v>
      </c>
      <c r="F70" s="8" t="s">
        <v>34</v>
      </c>
      <c r="G70" s="8" t="s">
        <v>42</v>
      </c>
      <c r="H70" s="8" t="s">
        <v>374</v>
      </c>
      <c r="I70" s="8">
        <v>0.8</v>
      </c>
      <c r="J70" s="8">
        <v>12.0</v>
      </c>
      <c r="K70" s="8">
        <v>80.0</v>
      </c>
      <c r="L70" s="8">
        <v>0.15</v>
      </c>
      <c r="M70" s="8">
        <v>80.0</v>
      </c>
      <c r="N70" s="8">
        <v>-1.734601055</v>
      </c>
      <c r="O70" s="8">
        <v>4.55</v>
      </c>
      <c r="P70" s="8" t="s">
        <v>368</v>
      </c>
    </row>
    <row r="71">
      <c r="A71" s="8" t="s">
        <v>387</v>
      </c>
      <c r="B71" s="8">
        <v>1999.0</v>
      </c>
      <c r="C71" s="8" t="s">
        <v>365</v>
      </c>
      <c r="D71" s="8" t="s">
        <v>371</v>
      </c>
      <c r="E71" s="8">
        <v>2060.0</v>
      </c>
      <c r="F71" s="8" t="s">
        <v>34</v>
      </c>
      <c r="G71" s="8" t="s">
        <v>42</v>
      </c>
      <c r="H71" s="8" t="s">
        <v>374</v>
      </c>
      <c r="I71" s="8">
        <v>1.0</v>
      </c>
      <c r="J71" s="8">
        <v>1.0</v>
      </c>
      <c r="K71" s="8">
        <v>28.0</v>
      </c>
      <c r="L71" s="8">
        <v>0.035714286</v>
      </c>
      <c r="M71" s="8">
        <v>28.0</v>
      </c>
      <c r="N71" s="8">
        <v>-3.295836866</v>
      </c>
      <c r="O71" s="8">
        <v>1.0</v>
      </c>
      <c r="P71" s="8" t="s">
        <v>368</v>
      </c>
    </row>
    <row r="72">
      <c r="A72" s="8" t="s">
        <v>387</v>
      </c>
      <c r="B72" s="8">
        <v>1999.0</v>
      </c>
      <c r="C72" s="8" t="s">
        <v>365</v>
      </c>
      <c r="D72" s="8" t="s">
        <v>371</v>
      </c>
      <c r="E72" s="8">
        <v>2060.0</v>
      </c>
      <c r="F72" s="8" t="s">
        <v>34</v>
      </c>
      <c r="G72" s="8" t="s">
        <v>42</v>
      </c>
      <c r="H72" s="8" t="s">
        <v>374</v>
      </c>
      <c r="I72" s="8">
        <v>0.95</v>
      </c>
      <c r="J72" s="8">
        <v>2.0</v>
      </c>
      <c r="K72" s="8">
        <v>28.0</v>
      </c>
      <c r="L72" s="8">
        <v>0.071428571</v>
      </c>
      <c r="M72" s="8">
        <v>28.0</v>
      </c>
      <c r="N72" s="8">
        <v>-2.564949357</v>
      </c>
      <c r="O72" s="8">
        <v>1.0</v>
      </c>
      <c r="P72" s="8" t="s">
        <v>368</v>
      </c>
    </row>
    <row r="73">
      <c r="A73" s="8" t="s">
        <v>387</v>
      </c>
      <c r="B73" s="8">
        <v>1999.0</v>
      </c>
      <c r="C73" s="8" t="s">
        <v>365</v>
      </c>
      <c r="D73" s="8" t="s">
        <v>371</v>
      </c>
      <c r="E73" s="8">
        <v>2060.0</v>
      </c>
      <c r="F73" s="8" t="s">
        <v>34</v>
      </c>
      <c r="G73" s="8" t="s">
        <v>42</v>
      </c>
      <c r="H73" s="8" t="s">
        <v>374</v>
      </c>
      <c r="I73" s="8">
        <v>0.8</v>
      </c>
      <c r="J73" s="8">
        <v>4.0</v>
      </c>
      <c r="K73" s="8">
        <v>28.0</v>
      </c>
      <c r="L73" s="8">
        <v>0.142857143</v>
      </c>
      <c r="M73" s="8">
        <v>28.0</v>
      </c>
      <c r="N73" s="8">
        <v>-1.791759469</v>
      </c>
      <c r="O73" s="8">
        <v>1.0</v>
      </c>
      <c r="P73" s="8" t="s">
        <v>368</v>
      </c>
    </row>
    <row r="74">
      <c r="A74" s="8" t="s">
        <v>388</v>
      </c>
      <c r="B74" s="8">
        <v>2000.0</v>
      </c>
      <c r="C74" s="8" t="s">
        <v>32</v>
      </c>
      <c r="D74" s="8" t="s">
        <v>371</v>
      </c>
      <c r="E74" s="8">
        <v>2100.0</v>
      </c>
      <c r="F74" s="8" t="s">
        <v>34</v>
      </c>
      <c r="G74" s="8" t="s">
        <v>42</v>
      </c>
      <c r="H74" s="8" t="s">
        <v>374</v>
      </c>
      <c r="I74" s="8">
        <v>1.0</v>
      </c>
      <c r="J74" s="8">
        <v>0.0</v>
      </c>
      <c r="K74" s="8">
        <v>12.0</v>
      </c>
      <c r="L74" s="8">
        <v>0.0</v>
      </c>
      <c r="M74" s="8">
        <v>12.0</v>
      </c>
      <c r="N74" s="8">
        <v>-3.218875825</v>
      </c>
      <c r="O74" s="8">
        <v>2.1</v>
      </c>
      <c r="P74" s="8" t="s">
        <v>368</v>
      </c>
    </row>
    <row r="75">
      <c r="A75" s="8" t="s">
        <v>388</v>
      </c>
      <c r="B75" s="8">
        <v>2000.0</v>
      </c>
      <c r="C75" s="8" t="s">
        <v>32</v>
      </c>
      <c r="D75" s="8" t="s">
        <v>371</v>
      </c>
      <c r="E75" s="8">
        <v>2100.0</v>
      </c>
      <c r="F75" s="8" t="s">
        <v>34</v>
      </c>
      <c r="G75" s="8" t="s">
        <v>42</v>
      </c>
      <c r="H75" s="8" t="s">
        <v>374</v>
      </c>
      <c r="I75" s="8">
        <v>0.95</v>
      </c>
      <c r="J75" s="8">
        <v>0.0</v>
      </c>
      <c r="K75" s="8">
        <v>12.0</v>
      </c>
      <c r="L75" s="8">
        <v>0.0</v>
      </c>
      <c r="M75" s="8">
        <v>12.0</v>
      </c>
      <c r="N75" s="8">
        <v>-3.218875825</v>
      </c>
      <c r="O75" s="8">
        <v>2.1</v>
      </c>
      <c r="P75" s="8" t="s">
        <v>368</v>
      </c>
    </row>
    <row r="76">
      <c r="A76" s="8" t="s">
        <v>388</v>
      </c>
      <c r="B76" s="8">
        <v>2000.0</v>
      </c>
      <c r="C76" s="8" t="s">
        <v>32</v>
      </c>
      <c r="D76" s="8" t="s">
        <v>371</v>
      </c>
      <c r="E76" s="8">
        <v>2100.0</v>
      </c>
      <c r="F76" s="8" t="s">
        <v>34</v>
      </c>
      <c r="G76" s="8" t="s">
        <v>42</v>
      </c>
      <c r="H76" s="8" t="s">
        <v>374</v>
      </c>
      <c r="I76" s="8">
        <v>0.8</v>
      </c>
      <c r="J76" s="8">
        <v>0.0</v>
      </c>
      <c r="K76" s="8">
        <v>12.0</v>
      </c>
      <c r="L76" s="8">
        <v>0.0</v>
      </c>
      <c r="M76" s="8">
        <v>12.0</v>
      </c>
      <c r="N76" s="8">
        <v>-3.218875825</v>
      </c>
      <c r="O76" s="8">
        <v>2.1</v>
      </c>
      <c r="P76" s="8" t="s">
        <v>368</v>
      </c>
    </row>
    <row r="77">
      <c r="A77" s="8" t="s">
        <v>388</v>
      </c>
      <c r="B77" s="8">
        <v>2000.0</v>
      </c>
      <c r="C77" s="8" t="s">
        <v>32</v>
      </c>
      <c r="D77" s="8" t="s">
        <v>371</v>
      </c>
      <c r="E77" s="8">
        <v>2100.0</v>
      </c>
      <c r="F77" s="8" t="s">
        <v>34</v>
      </c>
      <c r="G77" s="8" t="s">
        <v>42</v>
      </c>
      <c r="H77" s="8" t="s">
        <v>374</v>
      </c>
      <c r="I77" s="8">
        <v>1.0</v>
      </c>
      <c r="J77" s="8">
        <v>0.0</v>
      </c>
      <c r="K77" s="8">
        <v>12.0</v>
      </c>
      <c r="L77" s="8">
        <v>0.0</v>
      </c>
      <c r="M77" s="8">
        <v>12.0</v>
      </c>
      <c r="N77" s="8">
        <v>-3.218875825</v>
      </c>
      <c r="O77" s="8">
        <v>3.6</v>
      </c>
      <c r="P77" s="8" t="s">
        <v>368</v>
      </c>
    </row>
    <row r="78">
      <c r="A78" s="8" t="s">
        <v>388</v>
      </c>
      <c r="B78" s="8">
        <v>2000.0</v>
      </c>
      <c r="C78" s="8" t="s">
        <v>32</v>
      </c>
      <c r="D78" s="8" t="s">
        <v>371</v>
      </c>
      <c r="E78" s="8">
        <v>2100.0</v>
      </c>
      <c r="F78" s="8" t="s">
        <v>34</v>
      </c>
      <c r="G78" s="8" t="s">
        <v>42</v>
      </c>
      <c r="H78" s="8" t="s">
        <v>374</v>
      </c>
      <c r="I78" s="8">
        <v>0.95</v>
      </c>
      <c r="J78" s="8">
        <v>0.0</v>
      </c>
      <c r="K78" s="8">
        <v>12.0</v>
      </c>
      <c r="L78" s="8">
        <v>0.0</v>
      </c>
      <c r="M78" s="8">
        <v>12.0</v>
      </c>
      <c r="N78" s="8">
        <v>-3.218875825</v>
      </c>
      <c r="O78" s="8">
        <v>3.6</v>
      </c>
      <c r="P78" s="8" t="s">
        <v>368</v>
      </c>
    </row>
    <row r="79">
      <c r="A79" s="8" t="s">
        <v>388</v>
      </c>
      <c r="B79" s="8">
        <v>2000.0</v>
      </c>
      <c r="C79" s="8" t="s">
        <v>32</v>
      </c>
      <c r="D79" s="8" t="s">
        <v>371</v>
      </c>
      <c r="E79" s="8">
        <v>2100.0</v>
      </c>
      <c r="F79" s="8" t="s">
        <v>34</v>
      </c>
      <c r="G79" s="8" t="s">
        <v>42</v>
      </c>
      <c r="H79" s="8" t="s">
        <v>374</v>
      </c>
      <c r="I79" s="8">
        <v>0.8</v>
      </c>
      <c r="J79" s="8">
        <v>5.0</v>
      </c>
      <c r="K79" s="8">
        <v>12.0</v>
      </c>
      <c r="L79" s="8">
        <v>0.416666667</v>
      </c>
      <c r="M79" s="8">
        <v>12.0</v>
      </c>
      <c r="N79" s="8">
        <v>-0.336472237</v>
      </c>
      <c r="O79" s="8">
        <v>3.6</v>
      </c>
      <c r="P79" s="8" t="s">
        <v>368</v>
      </c>
    </row>
    <row r="80">
      <c r="A80" s="8" t="s">
        <v>388</v>
      </c>
      <c r="B80" s="8">
        <v>2000.0</v>
      </c>
      <c r="C80" s="8" t="s">
        <v>32</v>
      </c>
      <c r="D80" s="8" t="s">
        <v>371</v>
      </c>
      <c r="E80" s="8">
        <v>2100.0</v>
      </c>
      <c r="F80" s="8" t="s">
        <v>34</v>
      </c>
      <c r="G80" s="8" t="s">
        <v>42</v>
      </c>
      <c r="H80" s="8" t="s">
        <v>374</v>
      </c>
      <c r="I80" s="8">
        <v>1.0</v>
      </c>
      <c r="J80" s="8">
        <v>1.0</v>
      </c>
      <c r="K80" s="8">
        <v>12.0</v>
      </c>
      <c r="L80" s="8">
        <v>0.083333333</v>
      </c>
      <c r="M80" s="8">
        <v>12.0</v>
      </c>
      <c r="N80" s="8">
        <v>-2.397895273</v>
      </c>
      <c r="O80" s="8">
        <v>5.1</v>
      </c>
      <c r="P80" s="8" t="s">
        <v>368</v>
      </c>
    </row>
    <row r="81">
      <c r="A81" s="8" t="s">
        <v>388</v>
      </c>
      <c r="B81" s="8">
        <v>2000.0</v>
      </c>
      <c r="C81" s="8" t="s">
        <v>32</v>
      </c>
      <c r="D81" s="8" t="s">
        <v>371</v>
      </c>
      <c r="E81" s="8">
        <v>2100.0</v>
      </c>
      <c r="F81" s="8" t="s">
        <v>34</v>
      </c>
      <c r="G81" s="8" t="s">
        <v>42</v>
      </c>
      <c r="H81" s="8" t="s">
        <v>374</v>
      </c>
      <c r="I81" s="8">
        <v>0.95</v>
      </c>
      <c r="J81" s="8">
        <v>5.0</v>
      </c>
      <c r="K81" s="8">
        <v>12.0</v>
      </c>
      <c r="L81" s="8">
        <v>0.416666667</v>
      </c>
      <c r="M81" s="8">
        <v>12.0</v>
      </c>
      <c r="N81" s="8">
        <v>-0.336472237</v>
      </c>
      <c r="O81" s="8">
        <v>5.1</v>
      </c>
      <c r="P81" s="8" t="s">
        <v>368</v>
      </c>
    </row>
    <row r="82">
      <c r="A82" s="8" t="s">
        <v>388</v>
      </c>
      <c r="B82" s="8">
        <v>2000.0</v>
      </c>
      <c r="C82" s="8" t="s">
        <v>32</v>
      </c>
      <c r="D82" s="8" t="s">
        <v>371</v>
      </c>
      <c r="E82" s="8">
        <v>2100.0</v>
      </c>
      <c r="F82" s="8" t="s">
        <v>34</v>
      </c>
      <c r="G82" s="8" t="s">
        <v>42</v>
      </c>
      <c r="H82" s="8" t="s">
        <v>374</v>
      </c>
      <c r="I82" s="8">
        <v>0.8</v>
      </c>
      <c r="J82" s="8">
        <v>9.0</v>
      </c>
      <c r="K82" s="8">
        <v>12.0</v>
      </c>
      <c r="L82" s="8">
        <v>0.75</v>
      </c>
      <c r="M82" s="8">
        <v>12.0</v>
      </c>
      <c r="N82" s="8">
        <v>1.098612289</v>
      </c>
      <c r="O82" s="8">
        <v>5.1</v>
      </c>
      <c r="P82" s="8" t="s">
        <v>368</v>
      </c>
    </row>
    <row r="83">
      <c r="A83" s="8" t="s">
        <v>389</v>
      </c>
      <c r="B83" s="8">
        <v>2000.0</v>
      </c>
      <c r="C83" s="8" t="s">
        <v>301</v>
      </c>
      <c r="D83" s="8" t="s">
        <v>375</v>
      </c>
      <c r="E83" s="8">
        <v>2085.0</v>
      </c>
      <c r="F83" s="8" t="s">
        <v>41</v>
      </c>
      <c r="G83" s="8" t="s">
        <v>42</v>
      </c>
      <c r="H83" s="8" t="s">
        <v>374</v>
      </c>
      <c r="I83" s="8">
        <v>1.0</v>
      </c>
      <c r="J83" s="8">
        <v>0.0</v>
      </c>
      <c r="K83" s="8">
        <v>23.0</v>
      </c>
      <c r="L83" s="8">
        <v>0.0</v>
      </c>
      <c r="M83" s="8">
        <v>23.0</v>
      </c>
      <c r="N83" s="8">
        <v>-3.850147602</v>
      </c>
      <c r="O83" s="8">
        <v>2.3</v>
      </c>
      <c r="P83" s="8" t="s">
        <v>368</v>
      </c>
    </row>
    <row r="84">
      <c r="A84" s="8" t="s">
        <v>389</v>
      </c>
      <c r="B84" s="8">
        <v>2000.0</v>
      </c>
      <c r="C84" s="8" t="s">
        <v>301</v>
      </c>
      <c r="D84" s="8" t="s">
        <v>375</v>
      </c>
      <c r="E84" s="8">
        <v>2085.0</v>
      </c>
      <c r="F84" s="8" t="s">
        <v>41</v>
      </c>
      <c r="G84" s="8" t="s">
        <v>42</v>
      </c>
      <c r="H84" s="8" t="s">
        <v>374</v>
      </c>
      <c r="I84" s="8">
        <v>0.95</v>
      </c>
      <c r="J84" s="8">
        <v>0.0</v>
      </c>
      <c r="K84" s="8">
        <v>23.0</v>
      </c>
      <c r="L84" s="8">
        <v>0.0</v>
      </c>
      <c r="M84" s="8">
        <v>23.0</v>
      </c>
      <c r="N84" s="8">
        <v>-3.850147602</v>
      </c>
      <c r="O84" s="8">
        <v>2.3</v>
      </c>
      <c r="P84" s="8" t="s">
        <v>368</v>
      </c>
    </row>
    <row r="85">
      <c r="A85" s="8" t="s">
        <v>389</v>
      </c>
      <c r="B85" s="8">
        <v>2000.0</v>
      </c>
      <c r="C85" s="8" t="s">
        <v>301</v>
      </c>
      <c r="D85" s="8" t="s">
        <v>375</v>
      </c>
      <c r="E85" s="8">
        <v>2085.0</v>
      </c>
      <c r="F85" s="8" t="s">
        <v>41</v>
      </c>
      <c r="G85" s="8" t="s">
        <v>42</v>
      </c>
      <c r="H85" s="8" t="s">
        <v>374</v>
      </c>
      <c r="I85" s="8">
        <v>0.8</v>
      </c>
      <c r="J85" s="8">
        <v>0.0</v>
      </c>
      <c r="K85" s="8">
        <v>23.0</v>
      </c>
      <c r="L85" s="8">
        <v>0.0</v>
      </c>
      <c r="M85" s="8">
        <v>23.0</v>
      </c>
      <c r="N85" s="8">
        <v>-3.850147602</v>
      </c>
      <c r="O85" s="8">
        <v>2.3</v>
      </c>
      <c r="P85" s="8" t="s">
        <v>368</v>
      </c>
    </row>
    <row r="86">
      <c r="A86" s="8" t="s">
        <v>389</v>
      </c>
      <c r="B86" s="8">
        <v>2000.0</v>
      </c>
      <c r="C86" s="8" t="s">
        <v>301</v>
      </c>
      <c r="D86" s="8" t="s">
        <v>375</v>
      </c>
      <c r="E86" s="8">
        <v>2085.0</v>
      </c>
      <c r="F86" s="8" t="s">
        <v>41</v>
      </c>
      <c r="G86" s="8" t="s">
        <v>42</v>
      </c>
      <c r="H86" s="8" t="s">
        <v>374</v>
      </c>
      <c r="I86" s="8">
        <v>1.0</v>
      </c>
      <c r="J86" s="8">
        <v>0.0</v>
      </c>
      <c r="K86" s="8">
        <v>23.0</v>
      </c>
      <c r="L86" s="8">
        <v>0.0</v>
      </c>
      <c r="M86" s="8">
        <v>23.0</v>
      </c>
      <c r="N86" s="8">
        <v>-3.850147602</v>
      </c>
      <c r="O86" s="8">
        <v>5.6</v>
      </c>
      <c r="P86" s="8" t="s">
        <v>368</v>
      </c>
    </row>
    <row r="87">
      <c r="A87" s="8" t="s">
        <v>389</v>
      </c>
      <c r="B87" s="8">
        <v>2000.0</v>
      </c>
      <c r="C87" s="8" t="s">
        <v>301</v>
      </c>
      <c r="D87" s="8" t="s">
        <v>375</v>
      </c>
      <c r="E87" s="8">
        <v>2085.0</v>
      </c>
      <c r="F87" s="8" t="s">
        <v>41</v>
      </c>
      <c r="G87" s="8" t="s">
        <v>42</v>
      </c>
      <c r="H87" s="8" t="s">
        <v>374</v>
      </c>
      <c r="I87" s="8">
        <v>0.95</v>
      </c>
      <c r="J87" s="8">
        <v>0.0</v>
      </c>
      <c r="K87" s="8">
        <v>23.0</v>
      </c>
      <c r="L87" s="8">
        <v>0.0</v>
      </c>
      <c r="M87" s="8">
        <v>23.0</v>
      </c>
      <c r="N87" s="8">
        <v>-3.850147602</v>
      </c>
      <c r="O87" s="8">
        <v>5.6</v>
      </c>
      <c r="P87" s="8" t="s">
        <v>368</v>
      </c>
    </row>
    <row r="88">
      <c r="A88" s="8" t="s">
        <v>389</v>
      </c>
      <c r="B88" s="8">
        <v>2000.0</v>
      </c>
      <c r="C88" s="8" t="s">
        <v>301</v>
      </c>
      <c r="D88" s="8" t="s">
        <v>375</v>
      </c>
      <c r="E88" s="8">
        <v>2085.0</v>
      </c>
      <c r="F88" s="8" t="s">
        <v>41</v>
      </c>
      <c r="G88" s="8" t="s">
        <v>42</v>
      </c>
      <c r="H88" s="8" t="s">
        <v>374</v>
      </c>
      <c r="I88" s="8">
        <v>0.8</v>
      </c>
      <c r="J88" s="8">
        <v>2.0</v>
      </c>
      <c r="K88" s="8">
        <v>23.0</v>
      </c>
      <c r="L88" s="8">
        <v>0.086956522</v>
      </c>
      <c r="M88" s="8">
        <v>23.0</v>
      </c>
      <c r="N88" s="8">
        <v>-2.351375257</v>
      </c>
      <c r="O88" s="8">
        <v>5.6</v>
      </c>
      <c r="P88" s="8" t="s">
        <v>368</v>
      </c>
    </row>
    <row r="89">
      <c r="A89" s="8" t="s">
        <v>389</v>
      </c>
      <c r="B89" s="8">
        <v>2000.0</v>
      </c>
      <c r="C89" s="8" t="s">
        <v>301</v>
      </c>
      <c r="D89" s="8" t="s">
        <v>375</v>
      </c>
      <c r="E89" s="8">
        <v>2085.0</v>
      </c>
      <c r="F89" s="8" t="s">
        <v>41</v>
      </c>
      <c r="G89" s="8" t="s">
        <v>42</v>
      </c>
      <c r="H89" s="8" t="s">
        <v>374</v>
      </c>
      <c r="I89" s="8">
        <v>1.0</v>
      </c>
      <c r="J89" s="8">
        <v>0.0</v>
      </c>
      <c r="K89" s="8">
        <v>25.0</v>
      </c>
      <c r="L89" s="8">
        <v>0.0</v>
      </c>
      <c r="M89" s="8">
        <v>25.0</v>
      </c>
      <c r="N89" s="8">
        <v>-3.931825633</v>
      </c>
      <c r="O89" s="8">
        <v>5.6</v>
      </c>
      <c r="P89" s="8" t="s">
        <v>368</v>
      </c>
    </row>
    <row r="90">
      <c r="A90" s="8" t="s">
        <v>389</v>
      </c>
      <c r="B90" s="8">
        <v>2000.0</v>
      </c>
      <c r="C90" s="8" t="s">
        <v>301</v>
      </c>
      <c r="D90" s="8" t="s">
        <v>375</v>
      </c>
      <c r="E90" s="8">
        <v>2085.0</v>
      </c>
      <c r="F90" s="8" t="s">
        <v>41</v>
      </c>
      <c r="G90" s="8" t="s">
        <v>42</v>
      </c>
      <c r="H90" s="8" t="s">
        <v>374</v>
      </c>
      <c r="I90" s="8">
        <v>0.95</v>
      </c>
      <c r="J90" s="8">
        <v>0.0</v>
      </c>
      <c r="K90" s="8">
        <v>25.0</v>
      </c>
      <c r="L90" s="8">
        <v>0.0</v>
      </c>
      <c r="M90" s="8">
        <v>25.0</v>
      </c>
      <c r="N90" s="8">
        <v>-3.931825633</v>
      </c>
      <c r="O90" s="8">
        <v>5.6</v>
      </c>
      <c r="P90" s="8" t="s">
        <v>368</v>
      </c>
    </row>
    <row r="91">
      <c r="A91" s="8" t="s">
        <v>389</v>
      </c>
      <c r="B91" s="8">
        <v>2000.0</v>
      </c>
      <c r="C91" s="8" t="s">
        <v>301</v>
      </c>
      <c r="D91" s="8" t="s">
        <v>375</v>
      </c>
      <c r="E91" s="8">
        <v>2085.0</v>
      </c>
      <c r="F91" s="8" t="s">
        <v>41</v>
      </c>
      <c r="G91" s="8" t="s">
        <v>42</v>
      </c>
      <c r="H91" s="8" t="s">
        <v>374</v>
      </c>
      <c r="I91" s="8">
        <v>0.8</v>
      </c>
      <c r="J91" s="8">
        <v>0.0</v>
      </c>
      <c r="K91" s="8">
        <v>25.0</v>
      </c>
      <c r="L91" s="8">
        <v>0.0</v>
      </c>
      <c r="M91" s="8">
        <v>25.0</v>
      </c>
      <c r="N91" s="8">
        <v>-3.931825633</v>
      </c>
      <c r="O91" s="8">
        <v>5.6</v>
      </c>
      <c r="P91" s="8" t="s">
        <v>368</v>
      </c>
    </row>
    <row r="92">
      <c r="A92" s="8" t="s">
        <v>390</v>
      </c>
      <c r="B92" s="8">
        <v>2001.0</v>
      </c>
      <c r="C92" s="8" t="s">
        <v>365</v>
      </c>
      <c r="D92" s="8" t="s">
        <v>375</v>
      </c>
      <c r="E92" s="8">
        <v>2055.0</v>
      </c>
      <c r="F92" s="8" t="s">
        <v>34</v>
      </c>
      <c r="G92" s="8" t="s">
        <v>42</v>
      </c>
      <c r="H92" s="8" t="s">
        <v>374</v>
      </c>
      <c r="I92" s="8">
        <v>0.8</v>
      </c>
      <c r="J92" s="8">
        <v>0.0</v>
      </c>
      <c r="K92" s="8">
        <v>8.0</v>
      </c>
      <c r="L92" s="8">
        <v>0.0</v>
      </c>
      <c r="M92" s="8">
        <v>8.0</v>
      </c>
      <c r="N92" s="8">
        <v>-2.833213344</v>
      </c>
      <c r="O92" s="8">
        <v>1.65</v>
      </c>
      <c r="P92" s="8" t="s">
        <v>368</v>
      </c>
    </row>
    <row r="93">
      <c r="A93" s="8" t="s">
        <v>390</v>
      </c>
      <c r="B93" s="8">
        <v>2001.0</v>
      </c>
      <c r="C93" s="8" t="s">
        <v>365</v>
      </c>
      <c r="D93" s="8" t="s">
        <v>375</v>
      </c>
      <c r="E93" s="8">
        <v>2055.0</v>
      </c>
      <c r="F93" s="8" t="s">
        <v>34</v>
      </c>
      <c r="G93" s="8" t="s">
        <v>42</v>
      </c>
      <c r="H93" s="8" t="s">
        <v>374</v>
      </c>
      <c r="I93" s="8">
        <v>0.95</v>
      </c>
      <c r="J93" s="8">
        <v>0.0</v>
      </c>
      <c r="K93" s="8">
        <v>8.0</v>
      </c>
      <c r="L93" s="8">
        <v>0.0</v>
      </c>
      <c r="M93" s="8">
        <v>8.0</v>
      </c>
      <c r="N93" s="8">
        <v>-2.833213344</v>
      </c>
      <c r="O93" s="8">
        <v>1.65</v>
      </c>
      <c r="P93" s="8" t="s">
        <v>368</v>
      </c>
    </row>
    <row r="94">
      <c r="A94" s="8" t="s">
        <v>390</v>
      </c>
      <c r="B94" s="8">
        <v>2001.0</v>
      </c>
      <c r="C94" s="8" t="s">
        <v>365</v>
      </c>
      <c r="D94" s="8" t="s">
        <v>375</v>
      </c>
      <c r="E94" s="8">
        <v>2055.0</v>
      </c>
      <c r="F94" s="8" t="s">
        <v>34</v>
      </c>
      <c r="G94" s="8" t="s">
        <v>42</v>
      </c>
      <c r="H94" s="8" t="s">
        <v>374</v>
      </c>
      <c r="I94" s="8">
        <v>1.0</v>
      </c>
      <c r="J94" s="8">
        <v>0.0</v>
      </c>
      <c r="K94" s="8">
        <v>8.0</v>
      </c>
      <c r="L94" s="8">
        <v>0.0</v>
      </c>
      <c r="M94" s="8">
        <v>8.0</v>
      </c>
      <c r="N94" s="8">
        <v>-2.833213344</v>
      </c>
      <c r="O94" s="8">
        <v>1.65</v>
      </c>
      <c r="P94" s="8" t="s">
        <v>368</v>
      </c>
    </row>
    <row r="95">
      <c r="A95" s="8" t="s">
        <v>390</v>
      </c>
      <c r="B95" s="8">
        <v>2001.0</v>
      </c>
      <c r="C95" s="8" t="s">
        <v>365</v>
      </c>
      <c r="D95" s="8" t="s">
        <v>375</v>
      </c>
      <c r="E95" s="8">
        <v>2055.0</v>
      </c>
      <c r="F95" s="8" t="s">
        <v>34</v>
      </c>
      <c r="G95" s="8" t="s">
        <v>42</v>
      </c>
      <c r="H95" s="8" t="s">
        <v>374</v>
      </c>
      <c r="I95" s="8">
        <v>0.8</v>
      </c>
      <c r="J95" s="8">
        <v>0.0</v>
      </c>
      <c r="K95" s="8">
        <v>8.0</v>
      </c>
      <c r="L95" s="8">
        <v>0.0</v>
      </c>
      <c r="M95" s="8">
        <v>8.0</v>
      </c>
      <c r="N95" s="8">
        <v>-2.833213344</v>
      </c>
      <c r="O95" s="8">
        <v>2.35</v>
      </c>
      <c r="P95" s="8" t="s">
        <v>368</v>
      </c>
    </row>
    <row r="96">
      <c r="A96" s="8" t="s">
        <v>390</v>
      </c>
      <c r="B96" s="8">
        <v>2001.0</v>
      </c>
      <c r="C96" s="8" t="s">
        <v>365</v>
      </c>
      <c r="D96" s="8" t="s">
        <v>375</v>
      </c>
      <c r="E96" s="8">
        <v>2055.0</v>
      </c>
      <c r="F96" s="8" t="s">
        <v>34</v>
      </c>
      <c r="G96" s="8" t="s">
        <v>42</v>
      </c>
      <c r="H96" s="8" t="s">
        <v>374</v>
      </c>
      <c r="I96" s="8">
        <v>0.95</v>
      </c>
      <c r="J96" s="8">
        <v>0.0</v>
      </c>
      <c r="K96" s="8">
        <v>8.0</v>
      </c>
      <c r="L96" s="8">
        <v>0.0</v>
      </c>
      <c r="M96" s="8">
        <v>8.0</v>
      </c>
      <c r="N96" s="8">
        <v>-2.833213344</v>
      </c>
      <c r="O96" s="8">
        <v>2.35</v>
      </c>
      <c r="P96" s="8" t="s">
        <v>368</v>
      </c>
    </row>
    <row r="97">
      <c r="A97" s="8" t="s">
        <v>390</v>
      </c>
      <c r="B97" s="8">
        <v>2001.0</v>
      </c>
      <c r="C97" s="8" t="s">
        <v>365</v>
      </c>
      <c r="D97" s="8" t="s">
        <v>375</v>
      </c>
      <c r="E97" s="8">
        <v>2055.0</v>
      </c>
      <c r="F97" s="8" t="s">
        <v>34</v>
      </c>
      <c r="G97" s="8" t="s">
        <v>42</v>
      </c>
      <c r="H97" s="8" t="s">
        <v>374</v>
      </c>
      <c r="I97" s="8">
        <v>1.0</v>
      </c>
      <c r="J97" s="8">
        <v>0.0</v>
      </c>
      <c r="K97" s="8">
        <v>8.0</v>
      </c>
      <c r="L97" s="8">
        <v>0.0</v>
      </c>
      <c r="M97" s="8">
        <v>8.0</v>
      </c>
      <c r="N97" s="8">
        <v>-2.833213344</v>
      </c>
      <c r="O97" s="8">
        <v>2.35</v>
      </c>
      <c r="P97" s="8" t="s">
        <v>368</v>
      </c>
    </row>
    <row r="98">
      <c r="A98" s="8" t="s">
        <v>390</v>
      </c>
      <c r="B98" s="8">
        <v>2001.0</v>
      </c>
      <c r="C98" s="8" t="s">
        <v>365</v>
      </c>
      <c r="D98" s="8" t="s">
        <v>375</v>
      </c>
      <c r="E98" s="8">
        <v>2055.0</v>
      </c>
      <c r="F98" s="8" t="s">
        <v>34</v>
      </c>
      <c r="G98" s="8" t="s">
        <v>42</v>
      </c>
      <c r="H98" s="8" t="s">
        <v>367</v>
      </c>
      <c r="I98" s="8">
        <v>0.8</v>
      </c>
      <c r="J98" s="8">
        <v>1.0</v>
      </c>
      <c r="K98" s="8">
        <v>8.0</v>
      </c>
      <c r="L98" s="8">
        <v>0.125</v>
      </c>
      <c r="M98" s="8">
        <v>8.0</v>
      </c>
      <c r="N98" s="8">
        <v>-1.945910149</v>
      </c>
      <c r="O98" s="8">
        <v>1.65</v>
      </c>
      <c r="P98" s="8" t="s">
        <v>368</v>
      </c>
    </row>
    <row r="99">
      <c r="A99" s="8" t="s">
        <v>390</v>
      </c>
      <c r="B99" s="8">
        <v>2001.0</v>
      </c>
      <c r="C99" s="8" t="s">
        <v>365</v>
      </c>
      <c r="D99" s="8" t="s">
        <v>375</v>
      </c>
      <c r="E99" s="8">
        <v>2055.0</v>
      </c>
      <c r="F99" s="8" t="s">
        <v>34</v>
      </c>
      <c r="G99" s="8" t="s">
        <v>42</v>
      </c>
      <c r="H99" s="8" t="s">
        <v>367</v>
      </c>
      <c r="I99" s="8">
        <v>0.95</v>
      </c>
      <c r="J99" s="8">
        <v>0.0</v>
      </c>
      <c r="K99" s="8">
        <v>8.0</v>
      </c>
      <c r="L99" s="8">
        <v>0.0</v>
      </c>
      <c r="M99" s="8">
        <v>8.0</v>
      </c>
      <c r="N99" s="8">
        <v>-2.833213344</v>
      </c>
      <c r="O99" s="8">
        <v>1.65</v>
      </c>
      <c r="P99" s="8" t="s">
        <v>368</v>
      </c>
    </row>
    <row r="100">
      <c r="A100" s="8" t="s">
        <v>390</v>
      </c>
      <c r="B100" s="8">
        <v>2001.0</v>
      </c>
      <c r="C100" s="8" t="s">
        <v>365</v>
      </c>
      <c r="D100" s="8" t="s">
        <v>375</v>
      </c>
      <c r="E100" s="8">
        <v>2055.0</v>
      </c>
      <c r="F100" s="8" t="s">
        <v>34</v>
      </c>
      <c r="G100" s="8" t="s">
        <v>42</v>
      </c>
      <c r="H100" s="8" t="s">
        <v>367</v>
      </c>
      <c r="I100" s="8">
        <v>1.0</v>
      </c>
      <c r="J100" s="8">
        <v>0.0</v>
      </c>
      <c r="K100" s="8">
        <v>8.0</v>
      </c>
      <c r="L100" s="8">
        <v>0.0</v>
      </c>
      <c r="M100" s="8">
        <v>8.0</v>
      </c>
      <c r="N100" s="8">
        <v>-2.833213344</v>
      </c>
      <c r="O100" s="8">
        <v>1.65</v>
      </c>
      <c r="P100" s="8" t="s">
        <v>368</v>
      </c>
    </row>
    <row r="101">
      <c r="A101" s="8" t="s">
        <v>390</v>
      </c>
      <c r="B101" s="8">
        <v>2001.0</v>
      </c>
      <c r="C101" s="8" t="s">
        <v>365</v>
      </c>
      <c r="D101" s="8" t="s">
        <v>375</v>
      </c>
      <c r="E101" s="8">
        <v>2055.0</v>
      </c>
      <c r="F101" s="8" t="s">
        <v>34</v>
      </c>
      <c r="G101" s="8" t="s">
        <v>42</v>
      </c>
      <c r="H101" s="8" t="s">
        <v>367</v>
      </c>
      <c r="I101" s="8">
        <v>0.8</v>
      </c>
      <c r="J101" s="8">
        <v>1.0</v>
      </c>
      <c r="K101" s="8">
        <v>8.0</v>
      </c>
      <c r="L101" s="8">
        <v>0.125</v>
      </c>
      <c r="M101" s="8">
        <v>8.0</v>
      </c>
      <c r="N101" s="8">
        <v>-1.945910149</v>
      </c>
      <c r="O101" s="8">
        <v>2.35</v>
      </c>
      <c r="P101" s="8" t="s">
        <v>368</v>
      </c>
    </row>
    <row r="102">
      <c r="A102" s="8" t="s">
        <v>390</v>
      </c>
      <c r="B102" s="8">
        <v>2001.0</v>
      </c>
      <c r="C102" s="8" t="s">
        <v>365</v>
      </c>
      <c r="D102" s="8" t="s">
        <v>375</v>
      </c>
      <c r="E102" s="8">
        <v>2055.0</v>
      </c>
      <c r="F102" s="8" t="s">
        <v>34</v>
      </c>
      <c r="G102" s="8" t="s">
        <v>42</v>
      </c>
      <c r="H102" s="8" t="s">
        <v>367</v>
      </c>
      <c r="I102" s="8">
        <v>0.95</v>
      </c>
      <c r="J102" s="8">
        <v>0.0</v>
      </c>
      <c r="K102" s="8">
        <v>8.0</v>
      </c>
      <c r="L102" s="8">
        <v>0.0</v>
      </c>
      <c r="M102" s="8">
        <v>8.0</v>
      </c>
      <c r="N102" s="8">
        <v>-2.833213344</v>
      </c>
      <c r="O102" s="8">
        <v>2.35</v>
      </c>
      <c r="P102" s="8" t="s">
        <v>368</v>
      </c>
    </row>
    <row r="103">
      <c r="A103" s="8" t="s">
        <v>390</v>
      </c>
      <c r="B103" s="8">
        <v>2001.0</v>
      </c>
      <c r="C103" s="8" t="s">
        <v>365</v>
      </c>
      <c r="D103" s="8" t="s">
        <v>375</v>
      </c>
      <c r="E103" s="8">
        <v>2055.0</v>
      </c>
      <c r="F103" s="8" t="s">
        <v>34</v>
      </c>
      <c r="G103" s="8" t="s">
        <v>42</v>
      </c>
      <c r="H103" s="8" t="s">
        <v>367</v>
      </c>
      <c r="I103" s="8">
        <v>1.0</v>
      </c>
      <c r="J103" s="8">
        <v>0.0</v>
      </c>
      <c r="K103" s="8">
        <v>8.0</v>
      </c>
      <c r="L103" s="8">
        <v>0.0</v>
      </c>
      <c r="M103" s="8">
        <v>8.0</v>
      </c>
      <c r="N103" s="8">
        <v>-2.833213344</v>
      </c>
      <c r="O103" s="8">
        <v>2.35</v>
      </c>
      <c r="P103" s="8" t="s">
        <v>368</v>
      </c>
    </row>
    <row r="104">
      <c r="A104" s="8" t="s">
        <v>390</v>
      </c>
      <c r="B104" s="8">
        <v>2001.0</v>
      </c>
      <c r="C104" s="8" t="s">
        <v>365</v>
      </c>
      <c r="D104" s="8" t="s">
        <v>375</v>
      </c>
      <c r="E104" s="8">
        <v>2055.0</v>
      </c>
      <c r="F104" s="8" t="s">
        <v>34</v>
      </c>
      <c r="G104" s="8" t="s">
        <v>42</v>
      </c>
      <c r="H104" s="8" t="s">
        <v>391</v>
      </c>
      <c r="I104" s="8">
        <v>0.8</v>
      </c>
      <c r="J104" s="8">
        <v>1.0</v>
      </c>
      <c r="K104" s="8">
        <v>8.0</v>
      </c>
      <c r="L104" s="8">
        <v>0.125</v>
      </c>
      <c r="M104" s="8">
        <v>8.0</v>
      </c>
      <c r="N104" s="8">
        <v>-1.945910149</v>
      </c>
      <c r="O104" s="8">
        <v>1.65</v>
      </c>
      <c r="P104" s="8" t="s">
        <v>368</v>
      </c>
    </row>
    <row r="105">
      <c r="A105" s="8" t="s">
        <v>390</v>
      </c>
      <c r="B105" s="8">
        <v>2001.0</v>
      </c>
      <c r="C105" s="8" t="s">
        <v>365</v>
      </c>
      <c r="D105" s="8" t="s">
        <v>375</v>
      </c>
      <c r="E105" s="8">
        <v>2055.0</v>
      </c>
      <c r="F105" s="8" t="s">
        <v>34</v>
      </c>
      <c r="G105" s="8" t="s">
        <v>42</v>
      </c>
      <c r="H105" s="8" t="s">
        <v>391</v>
      </c>
      <c r="I105" s="8">
        <v>0.95</v>
      </c>
      <c r="J105" s="8">
        <v>0.0</v>
      </c>
      <c r="K105" s="8">
        <v>8.0</v>
      </c>
      <c r="L105" s="8">
        <v>0.0</v>
      </c>
      <c r="M105" s="8">
        <v>8.0</v>
      </c>
      <c r="N105" s="8">
        <v>-2.833213344</v>
      </c>
      <c r="O105" s="8">
        <v>1.65</v>
      </c>
      <c r="P105" s="8" t="s">
        <v>368</v>
      </c>
    </row>
    <row r="106">
      <c r="A106" s="8" t="s">
        <v>390</v>
      </c>
      <c r="B106" s="8">
        <v>2001.0</v>
      </c>
      <c r="C106" s="8" t="s">
        <v>365</v>
      </c>
      <c r="D106" s="8" t="s">
        <v>375</v>
      </c>
      <c r="E106" s="8">
        <v>2055.0</v>
      </c>
      <c r="F106" s="8" t="s">
        <v>34</v>
      </c>
      <c r="G106" s="8" t="s">
        <v>42</v>
      </c>
      <c r="H106" s="8" t="s">
        <v>391</v>
      </c>
      <c r="I106" s="8">
        <v>1.0</v>
      </c>
      <c r="J106" s="8">
        <v>0.0</v>
      </c>
      <c r="K106" s="8">
        <v>8.0</v>
      </c>
      <c r="L106" s="8">
        <v>0.0</v>
      </c>
      <c r="M106" s="8">
        <v>8.0</v>
      </c>
      <c r="N106" s="8">
        <v>-2.833213344</v>
      </c>
      <c r="O106" s="8">
        <v>1.65</v>
      </c>
      <c r="P106" s="8" t="s">
        <v>368</v>
      </c>
    </row>
    <row r="107">
      <c r="A107" s="8" t="s">
        <v>390</v>
      </c>
      <c r="B107" s="8">
        <v>2001.0</v>
      </c>
      <c r="C107" s="8" t="s">
        <v>365</v>
      </c>
      <c r="D107" s="8" t="s">
        <v>375</v>
      </c>
      <c r="E107" s="8">
        <v>2055.0</v>
      </c>
      <c r="F107" s="8" t="s">
        <v>34</v>
      </c>
      <c r="G107" s="8" t="s">
        <v>42</v>
      </c>
      <c r="H107" s="8" t="s">
        <v>391</v>
      </c>
      <c r="I107" s="8">
        <v>0.8</v>
      </c>
      <c r="J107" s="8">
        <v>0.0</v>
      </c>
      <c r="K107" s="8">
        <v>8.0</v>
      </c>
      <c r="L107" s="8">
        <v>0.0</v>
      </c>
      <c r="M107" s="8">
        <v>8.0</v>
      </c>
      <c r="N107" s="8">
        <v>-2.833213344</v>
      </c>
      <c r="O107" s="8">
        <v>2.35</v>
      </c>
      <c r="P107" s="8" t="s">
        <v>368</v>
      </c>
    </row>
    <row r="108">
      <c r="A108" s="8" t="s">
        <v>390</v>
      </c>
      <c r="B108" s="8">
        <v>2001.0</v>
      </c>
      <c r="C108" s="8" t="s">
        <v>365</v>
      </c>
      <c r="D108" s="8" t="s">
        <v>375</v>
      </c>
      <c r="E108" s="8">
        <v>2055.0</v>
      </c>
      <c r="F108" s="8" t="s">
        <v>34</v>
      </c>
      <c r="G108" s="8" t="s">
        <v>42</v>
      </c>
      <c r="H108" s="8" t="s">
        <v>391</v>
      </c>
      <c r="I108" s="8">
        <v>0.95</v>
      </c>
      <c r="J108" s="8">
        <v>0.0</v>
      </c>
      <c r="K108" s="8">
        <v>8.0</v>
      </c>
      <c r="L108" s="8">
        <v>0.0</v>
      </c>
      <c r="M108" s="8">
        <v>8.0</v>
      </c>
      <c r="N108" s="8">
        <v>-2.833213344</v>
      </c>
      <c r="O108" s="8">
        <v>2.35</v>
      </c>
      <c r="P108" s="8" t="s">
        <v>368</v>
      </c>
    </row>
    <row r="109">
      <c r="A109" s="8" t="s">
        <v>390</v>
      </c>
      <c r="B109" s="8">
        <v>2001.0</v>
      </c>
      <c r="C109" s="8" t="s">
        <v>365</v>
      </c>
      <c r="D109" s="8" t="s">
        <v>375</v>
      </c>
      <c r="E109" s="8">
        <v>2055.0</v>
      </c>
      <c r="F109" s="8" t="s">
        <v>34</v>
      </c>
      <c r="G109" s="8" t="s">
        <v>42</v>
      </c>
      <c r="H109" s="8" t="s">
        <v>391</v>
      </c>
      <c r="I109" s="8">
        <v>1.0</v>
      </c>
      <c r="J109" s="8">
        <v>0.0</v>
      </c>
      <c r="K109" s="8">
        <v>8.0</v>
      </c>
      <c r="L109" s="8">
        <v>0.0</v>
      </c>
      <c r="M109" s="8">
        <v>8.0</v>
      </c>
      <c r="N109" s="8">
        <v>-2.833213344</v>
      </c>
      <c r="O109" s="8">
        <v>2.35</v>
      </c>
      <c r="P109" s="8" t="s">
        <v>368</v>
      </c>
    </row>
    <row r="110">
      <c r="A110" s="8" t="s">
        <v>392</v>
      </c>
      <c r="B110" s="8">
        <v>2001.0</v>
      </c>
      <c r="C110" s="8" t="s">
        <v>32</v>
      </c>
      <c r="D110" s="8" t="s">
        <v>370</v>
      </c>
      <c r="E110" s="8">
        <v>2025.0</v>
      </c>
      <c r="F110" s="8" t="s">
        <v>34</v>
      </c>
      <c r="G110" s="8" t="s">
        <v>42</v>
      </c>
      <c r="H110" s="8" t="s">
        <v>374</v>
      </c>
      <c r="I110" s="8">
        <v>1.0</v>
      </c>
      <c r="J110" s="8">
        <v>0.0</v>
      </c>
      <c r="K110" s="8">
        <v>8.0</v>
      </c>
      <c r="L110" s="8">
        <v>0.0</v>
      </c>
      <c r="M110" s="8">
        <v>8.0</v>
      </c>
      <c r="N110" s="8">
        <v>-2.833213344</v>
      </c>
      <c r="O110" s="8">
        <v>0.8</v>
      </c>
      <c r="P110" s="8" t="s">
        <v>393</v>
      </c>
    </row>
    <row r="111">
      <c r="A111" s="8" t="s">
        <v>392</v>
      </c>
      <c r="B111" s="8">
        <v>2001.0</v>
      </c>
      <c r="C111" s="8" t="s">
        <v>32</v>
      </c>
      <c r="D111" s="8" t="s">
        <v>370</v>
      </c>
      <c r="E111" s="8">
        <v>2025.0</v>
      </c>
      <c r="F111" s="8" t="s">
        <v>34</v>
      </c>
      <c r="G111" s="8" t="s">
        <v>42</v>
      </c>
      <c r="H111" s="8" t="s">
        <v>374</v>
      </c>
      <c r="I111" s="8">
        <v>0.95</v>
      </c>
      <c r="J111" s="8">
        <v>0.0</v>
      </c>
      <c r="K111" s="8">
        <v>8.0</v>
      </c>
      <c r="L111" s="8">
        <v>0.0</v>
      </c>
      <c r="M111" s="8">
        <v>8.0</v>
      </c>
      <c r="N111" s="8">
        <v>-2.833213344</v>
      </c>
      <c r="O111" s="8">
        <v>0.8</v>
      </c>
      <c r="P111" s="8" t="s">
        <v>393</v>
      </c>
    </row>
    <row r="112">
      <c r="A112" s="8" t="s">
        <v>392</v>
      </c>
      <c r="B112" s="8">
        <v>2001.0</v>
      </c>
      <c r="C112" s="8" t="s">
        <v>32</v>
      </c>
      <c r="D112" s="8" t="s">
        <v>370</v>
      </c>
      <c r="E112" s="8">
        <v>2025.0</v>
      </c>
      <c r="F112" s="8" t="s">
        <v>34</v>
      </c>
      <c r="G112" s="8" t="s">
        <v>42</v>
      </c>
      <c r="H112" s="8" t="s">
        <v>374</v>
      </c>
      <c r="I112" s="8">
        <v>0.8</v>
      </c>
      <c r="J112" s="8">
        <v>0.0</v>
      </c>
      <c r="K112" s="8">
        <v>8.0</v>
      </c>
      <c r="L112" s="8">
        <v>0.0</v>
      </c>
      <c r="M112" s="8">
        <v>8.0</v>
      </c>
      <c r="N112" s="8">
        <v>-2.833213344</v>
      </c>
      <c r="O112" s="8">
        <v>0.8</v>
      </c>
      <c r="P112" s="8" t="s">
        <v>393</v>
      </c>
    </row>
    <row r="113">
      <c r="A113" s="8" t="s">
        <v>392</v>
      </c>
      <c r="B113" s="8">
        <v>2001.0</v>
      </c>
      <c r="C113" s="8" t="s">
        <v>32</v>
      </c>
      <c r="D113" s="8" t="s">
        <v>370</v>
      </c>
      <c r="E113" s="8">
        <v>2025.0</v>
      </c>
      <c r="F113" s="8" t="s">
        <v>34</v>
      </c>
      <c r="G113" s="8" t="s">
        <v>42</v>
      </c>
      <c r="H113" s="8" t="s">
        <v>374</v>
      </c>
      <c r="I113" s="8">
        <v>1.0</v>
      </c>
      <c r="J113" s="8">
        <v>0.0</v>
      </c>
      <c r="K113" s="8">
        <v>8.0</v>
      </c>
      <c r="L113" s="8">
        <v>0.0</v>
      </c>
      <c r="M113" s="8">
        <v>8.0</v>
      </c>
      <c r="N113" s="8">
        <v>-2.833213344</v>
      </c>
      <c r="O113" s="8">
        <v>1.55</v>
      </c>
      <c r="P113" s="8" t="s">
        <v>393</v>
      </c>
    </row>
    <row r="114">
      <c r="A114" s="8" t="s">
        <v>392</v>
      </c>
      <c r="B114" s="8">
        <v>2001.0</v>
      </c>
      <c r="C114" s="8" t="s">
        <v>32</v>
      </c>
      <c r="D114" s="8" t="s">
        <v>370</v>
      </c>
      <c r="E114" s="8">
        <v>2025.0</v>
      </c>
      <c r="F114" s="8" t="s">
        <v>34</v>
      </c>
      <c r="G114" s="8" t="s">
        <v>42</v>
      </c>
      <c r="H114" s="8" t="s">
        <v>374</v>
      </c>
      <c r="I114" s="8">
        <v>0.95</v>
      </c>
      <c r="J114" s="8">
        <v>0.0</v>
      </c>
      <c r="K114" s="8">
        <v>8.0</v>
      </c>
      <c r="L114" s="8">
        <v>0.0</v>
      </c>
      <c r="M114" s="8">
        <v>8.0</v>
      </c>
      <c r="N114" s="8">
        <v>-2.833213344</v>
      </c>
      <c r="O114" s="8">
        <v>1.55</v>
      </c>
      <c r="P114" s="8" t="s">
        <v>393</v>
      </c>
    </row>
    <row r="115">
      <c r="A115" s="8" t="s">
        <v>392</v>
      </c>
      <c r="B115" s="8">
        <v>2001.0</v>
      </c>
      <c r="C115" s="8" t="s">
        <v>32</v>
      </c>
      <c r="D115" s="8" t="s">
        <v>370</v>
      </c>
      <c r="E115" s="8">
        <v>2025.0</v>
      </c>
      <c r="F115" s="8" t="s">
        <v>34</v>
      </c>
      <c r="G115" s="8" t="s">
        <v>42</v>
      </c>
      <c r="H115" s="8" t="s">
        <v>374</v>
      </c>
      <c r="I115" s="8">
        <v>0.8</v>
      </c>
      <c r="J115" s="8">
        <v>0.0</v>
      </c>
      <c r="K115" s="8">
        <v>8.0</v>
      </c>
      <c r="L115" s="8">
        <v>0.0</v>
      </c>
      <c r="M115" s="8">
        <v>8.0</v>
      </c>
      <c r="N115" s="8">
        <v>-2.833213344</v>
      </c>
      <c r="O115" s="8">
        <v>1.55</v>
      </c>
      <c r="P115" s="8" t="s">
        <v>393</v>
      </c>
    </row>
    <row r="116">
      <c r="A116" s="8" t="s">
        <v>392</v>
      </c>
      <c r="B116" s="8">
        <v>2001.0</v>
      </c>
      <c r="C116" s="8" t="s">
        <v>32</v>
      </c>
      <c r="D116" s="8" t="s">
        <v>370</v>
      </c>
      <c r="E116" s="8">
        <v>2055.0</v>
      </c>
      <c r="F116" s="8" t="s">
        <v>34</v>
      </c>
      <c r="G116" s="8" t="s">
        <v>42</v>
      </c>
      <c r="H116" s="8" t="s">
        <v>374</v>
      </c>
      <c r="I116" s="8">
        <v>1.0</v>
      </c>
      <c r="J116" s="8">
        <v>0.0</v>
      </c>
      <c r="K116" s="8">
        <v>8.0</v>
      </c>
      <c r="L116" s="8">
        <v>0.0</v>
      </c>
      <c r="M116" s="8">
        <v>8.0</v>
      </c>
      <c r="N116" s="8">
        <v>-2.833213344</v>
      </c>
      <c r="O116" s="8">
        <v>1.1</v>
      </c>
      <c r="P116" s="8" t="s">
        <v>393</v>
      </c>
    </row>
    <row r="117">
      <c r="A117" s="8" t="s">
        <v>392</v>
      </c>
      <c r="B117" s="8">
        <v>2001.0</v>
      </c>
      <c r="C117" s="8" t="s">
        <v>32</v>
      </c>
      <c r="D117" s="8" t="s">
        <v>370</v>
      </c>
      <c r="E117" s="8">
        <v>2055.0</v>
      </c>
      <c r="F117" s="8" t="s">
        <v>34</v>
      </c>
      <c r="G117" s="8" t="s">
        <v>42</v>
      </c>
      <c r="H117" s="8" t="s">
        <v>374</v>
      </c>
      <c r="I117" s="8">
        <v>0.95</v>
      </c>
      <c r="J117" s="8">
        <v>0.0</v>
      </c>
      <c r="K117" s="8">
        <v>8.0</v>
      </c>
      <c r="L117" s="8">
        <v>0.0</v>
      </c>
      <c r="M117" s="8">
        <v>8.0</v>
      </c>
      <c r="N117" s="8">
        <v>-2.833213344</v>
      </c>
      <c r="O117" s="8">
        <v>1.1</v>
      </c>
      <c r="P117" s="8" t="s">
        <v>393</v>
      </c>
    </row>
    <row r="118">
      <c r="A118" s="8" t="s">
        <v>392</v>
      </c>
      <c r="B118" s="8">
        <v>2001.0</v>
      </c>
      <c r="C118" s="8" t="s">
        <v>32</v>
      </c>
      <c r="D118" s="8" t="s">
        <v>370</v>
      </c>
      <c r="E118" s="8">
        <v>2055.0</v>
      </c>
      <c r="F118" s="8" t="s">
        <v>34</v>
      </c>
      <c r="G118" s="8" t="s">
        <v>42</v>
      </c>
      <c r="H118" s="8" t="s">
        <v>374</v>
      </c>
      <c r="I118" s="8">
        <v>0.8</v>
      </c>
      <c r="J118" s="8">
        <v>0.0</v>
      </c>
      <c r="K118" s="8">
        <v>8.0</v>
      </c>
      <c r="L118" s="8">
        <v>0.0</v>
      </c>
      <c r="M118" s="8">
        <v>8.0</v>
      </c>
      <c r="N118" s="8">
        <v>-2.833213344</v>
      </c>
      <c r="O118" s="8">
        <v>1.1</v>
      </c>
      <c r="P118" s="8" t="s">
        <v>393</v>
      </c>
    </row>
    <row r="119">
      <c r="A119" s="8" t="s">
        <v>392</v>
      </c>
      <c r="B119" s="8">
        <v>2001.0</v>
      </c>
      <c r="C119" s="8" t="s">
        <v>32</v>
      </c>
      <c r="D119" s="8" t="s">
        <v>370</v>
      </c>
      <c r="E119" s="8">
        <v>2055.0</v>
      </c>
      <c r="F119" s="8" t="s">
        <v>34</v>
      </c>
      <c r="G119" s="8" t="s">
        <v>42</v>
      </c>
      <c r="H119" s="8" t="s">
        <v>374</v>
      </c>
      <c r="I119" s="8">
        <v>1.0</v>
      </c>
      <c r="J119" s="8">
        <v>0.0</v>
      </c>
      <c r="K119" s="8">
        <v>8.0</v>
      </c>
      <c r="L119" s="8">
        <v>0.0</v>
      </c>
      <c r="M119" s="8">
        <v>8.0</v>
      </c>
      <c r="N119" s="8">
        <v>-2.833213344</v>
      </c>
      <c r="O119" s="8">
        <v>2.45</v>
      </c>
      <c r="P119" s="8" t="s">
        <v>393</v>
      </c>
    </row>
    <row r="120">
      <c r="A120" s="8" t="s">
        <v>392</v>
      </c>
      <c r="B120" s="8">
        <v>2001.0</v>
      </c>
      <c r="C120" s="8" t="s">
        <v>32</v>
      </c>
      <c r="D120" s="8" t="s">
        <v>370</v>
      </c>
      <c r="E120" s="8">
        <v>2055.0</v>
      </c>
      <c r="F120" s="8" t="s">
        <v>34</v>
      </c>
      <c r="G120" s="8" t="s">
        <v>42</v>
      </c>
      <c r="H120" s="8" t="s">
        <v>374</v>
      </c>
      <c r="I120" s="8">
        <v>0.95</v>
      </c>
      <c r="J120" s="8">
        <v>0.0</v>
      </c>
      <c r="K120" s="8">
        <v>8.0</v>
      </c>
      <c r="L120" s="8">
        <v>0.0</v>
      </c>
      <c r="M120" s="8">
        <v>8.0</v>
      </c>
      <c r="N120" s="8">
        <v>-2.833213344</v>
      </c>
      <c r="O120" s="8">
        <v>2.45</v>
      </c>
      <c r="P120" s="8" t="s">
        <v>393</v>
      </c>
    </row>
    <row r="121">
      <c r="A121" s="8" t="s">
        <v>392</v>
      </c>
      <c r="B121" s="8">
        <v>2001.0</v>
      </c>
      <c r="C121" s="8" t="s">
        <v>32</v>
      </c>
      <c r="D121" s="8" t="s">
        <v>370</v>
      </c>
      <c r="E121" s="8">
        <v>2055.0</v>
      </c>
      <c r="F121" s="8" t="s">
        <v>34</v>
      </c>
      <c r="G121" s="8" t="s">
        <v>42</v>
      </c>
      <c r="H121" s="8" t="s">
        <v>374</v>
      </c>
      <c r="I121" s="8">
        <v>0.8</v>
      </c>
      <c r="J121" s="8">
        <v>0.0</v>
      </c>
      <c r="K121" s="8">
        <v>8.0</v>
      </c>
      <c r="L121" s="8">
        <v>0.0</v>
      </c>
      <c r="M121" s="8">
        <v>8.0</v>
      </c>
      <c r="N121" s="8">
        <v>-2.833213344</v>
      </c>
      <c r="O121" s="8">
        <v>2.45</v>
      </c>
      <c r="P121" s="8" t="s">
        <v>393</v>
      </c>
    </row>
    <row r="122">
      <c r="A122" s="8" t="s">
        <v>392</v>
      </c>
      <c r="B122" s="8">
        <v>2001.0</v>
      </c>
      <c r="C122" s="8" t="s">
        <v>32</v>
      </c>
      <c r="D122" s="8" t="s">
        <v>370</v>
      </c>
      <c r="E122" s="8">
        <v>2085.0</v>
      </c>
      <c r="F122" s="8" t="s">
        <v>34</v>
      </c>
      <c r="G122" s="8" t="s">
        <v>42</v>
      </c>
      <c r="H122" s="8" t="s">
        <v>374</v>
      </c>
      <c r="I122" s="8">
        <v>1.0</v>
      </c>
      <c r="J122" s="8">
        <v>0.0</v>
      </c>
      <c r="K122" s="8">
        <v>8.0</v>
      </c>
      <c r="L122" s="8">
        <v>0.0</v>
      </c>
      <c r="M122" s="8">
        <v>8.0</v>
      </c>
      <c r="N122" s="8">
        <v>-2.833213344</v>
      </c>
      <c r="O122" s="8">
        <v>1.35</v>
      </c>
      <c r="P122" s="8" t="s">
        <v>393</v>
      </c>
    </row>
    <row r="123">
      <c r="A123" s="8" t="s">
        <v>392</v>
      </c>
      <c r="B123" s="8">
        <v>2001.0</v>
      </c>
      <c r="C123" s="8" t="s">
        <v>32</v>
      </c>
      <c r="D123" s="8" t="s">
        <v>370</v>
      </c>
      <c r="E123" s="8">
        <v>2085.0</v>
      </c>
      <c r="F123" s="8" t="s">
        <v>34</v>
      </c>
      <c r="G123" s="8" t="s">
        <v>42</v>
      </c>
      <c r="H123" s="8" t="s">
        <v>374</v>
      </c>
      <c r="I123" s="8">
        <v>0.95</v>
      </c>
      <c r="J123" s="8">
        <v>0.0</v>
      </c>
      <c r="K123" s="8">
        <v>8.0</v>
      </c>
      <c r="L123" s="8">
        <v>0.0</v>
      </c>
      <c r="M123" s="8">
        <v>8.0</v>
      </c>
      <c r="N123" s="8">
        <v>-2.833213344</v>
      </c>
      <c r="O123" s="8">
        <v>1.35</v>
      </c>
      <c r="P123" s="8" t="s">
        <v>393</v>
      </c>
    </row>
    <row r="124">
      <c r="A124" s="8" t="s">
        <v>392</v>
      </c>
      <c r="B124" s="8">
        <v>2001.0</v>
      </c>
      <c r="C124" s="8" t="s">
        <v>32</v>
      </c>
      <c r="D124" s="8" t="s">
        <v>370</v>
      </c>
      <c r="E124" s="8">
        <v>2085.0</v>
      </c>
      <c r="F124" s="8" t="s">
        <v>34</v>
      </c>
      <c r="G124" s="8" t="s">
        <v>42</v>
      </c>
      <c r="H124" s="8" t="s">
        <v>374</v>
      </c>
      <c r="I124" s="8">
        <v>0.8</v>
      </c>
      <c r="J124" s="8">
        <v>0.0</v>
      </c>
      <c r="K124" s="8">
        <v>8.0</v>
      </c>
      <c r="L124" s="8">
        <v>0.0</v>
      </c>
      <c r="M124" s="8">
        <v>8.0</v>
      </c>
      <c r="N124" s="8">
        <v>-2.833213344</v>
      </c>
      <c r="O124" s="8">
        <v>1.35</v>
      </c>
      <c r="P124" s="8" t="s">
        <v>393</v>
      </c>
    </row>
    <row r="125">
      <c r="A125" s="8" t="s">
        <v>392</v>
      </c>
      <c r="B125" s="8">
        <v>2001.0</v>
      </c>
      <c r="C125" s="8" t="s">
        <v>32</v>
      </c>
      <c r="D125" s="8" t="s">
        <v>370</v>
      </c>
      <c r="E125" s="8">
        <v>2085.0</v>
      </c>
      <c r="F125" s="8" t="s">
        <v>34</v>
      </c>
      <c r="G125" s="8" t="s">
        <v>42</v>
      </c>
      <c r="H125" s="8" t="s">
        <v>374</v>
      </c>
      <c r="I125" s="8">
        <v>1.0</v>
      </c>
      <c r="J125" s="8">
        <v>0.0</v>
      </c>
      <c r="K125" s="8">
        <v>8.0</v>
      </c>
      <c r="L125" s="8">
        <v>0.0</v>
      </c>
      <c r="M125" s="8">
        <v>8.0</v>
      </c>
      <c r="N125" s="8">
        <v>-2.833213344</v>
      </c>
      <c r="O125" s="8">
        <v>3.2</v>
      </c>
      <c r="P125" s="8" t="s">
        <v>393</v>
      </c>
    </row>
    <row r="126">
      <c r="A126" s="8" t="s">
        <v>392</v>
      </c>
      <c r="B126" s="8">
        <v>2001.0</v>
      </c>
      <c r="C126" s="8" t="s">
        <v>32</v>
      </c>
      <c r="D126" s="8" t="s">
        <v>370</v>
      </c>
      <c r="E126" s="8">
        <v>2085.0</v>
      </c>
      <c r="F126" s="8" t="s">
        <v>34</v>
      </c>
      <c r="G126" s="8" t="s">
        <v>42</v>
      </c>
      <c r="H126" s="8" t="s">
        <v>374</v>
      </c>
      <c r="I126" s="8">
        <v>0.95</v>
      </c>
      <c r="J126" s="8">
        <v>0.0</v>
      </c>
      <c r="K126" s="8">
        <v>8.0</v>
      </c>
      <c r="L126" s="8">
        <v>0.0</v>
      </c>
      <c r="M126" s="8">
        <v>8.0</v>
      </c>
      <c r="N126" s="8">
        <v>-2.833213344</v>
      </c>
      <c r="O126" s="8">
        <v>3.2</v>
      </c>
      <c r="P126" s="8" t="s">
        <v>393</v>
      </c>
    </row>
    <row r="127">
      <c r="A127" s="8" t="s">
        <v>392</v>
      </c>
      <c r="B127" s="8">
        <v>2001.0</v>
      </c>
      <c r="C127" s="8" t="s">
        <v>32</v>
      </c>
      <c r="D127" s="8" t="s">
        <v>370</v>
      </c>
      <c r="E127" s="8">
        <v>2085.0</v>
      </c>
      <c r="F127" s="8" t="s">
        <v>34</v>
      </c>
      <c r="G127" s="8" t="s">
        <v>42</v>
      </c>
      <c r="H127" s="8" t="s">
        <v>374</v>
      </c>
      <c r="I127" s="8">
        <v>0.8</v>
      </c>
      <c r="J127" s="8">
        <v>0.0</v>
      </c>
      <c r="K127" s="8">
        <v>8.0</v>
      </c>
      <c r="L127" s="8">
        <v>0.0</v>
      </c>
      <c r="M127" s="8">
        <v>8.0</v>
      </c>
      <c r="N127" s="8">
        <v>-2.833213344</v>
      </c>
      <c r="O127" s="8">
        <v>3.2</v>
      </c>
      <c r="P127" s="8" t="s">
        <v>393</v>
      </c>
    </row>
    <row r="128">
      <c r="A128" s="8" t="s">
        <v>390</v>
      </c>
      <c r="B128" s="8">
        <v>2002.0</v>
      </c>
      <c r="C128" s="8" t="s">
        <v>365</v>
      </c>
      <c r="D128" s="8" t="s">
        <v>394</v>
      </c>
      <c r="E128" s="8">
        <v>2055.0</v>
      </c>
      <c r="F128" s="8" t="s">
        <v>41</v>
      </c>
      <c r="G128" s="8" t="s">
        <v>42</v>
      </c>
      <c r="H128" s="8" t="s">
        <v>374</v>
      </c>
      <c r="I128" s="8">
        <v>1.0</v>
      </c>
      <c r="J128" s="8">
        <v>0.0</v>
      </c>
      <c r="K128" s="8">
        <v>334.0</v>
      </c>
      <c r="L128" s="8">
        <v>0.0</v>
      </c>
      <c r="M128" s="8">
        <v>334.0</v>
      </c>
      <c r="N128" s="8">
        <v>-6.50578406</v>
      </c>
      <c r="O128" s="8">
        <v>1.65</v>
      </c>
      <c r="P128" s="8" t="s">
        <v>368</v>
      </c>
    </row>
    <row r="129">
      <c r="A129" s="8" t="s">
        <v>390</v>
      </c>
      <c r="B129" s="8">
        <v>2002.0</v>
      </c>
      <c r="C129" s="8" t="s">
        <v>365</v>
      </c>
      <c r="D129" s="8" t="s">
        <v>394</v>
      </c>
      <c r="E129" s="8">
        <v>2055.0</v>
      </c>
      <c r="F129" s="8" t="s">
        <v>41</v>
      </c>
      <c r="G129" s="8" t="s">
        <v>42</v>
      </c>
      <c r="H129" s="8" t="s">
        <v>391</v>
      </c>
      <c r="I129" s="8">
        <v>1.0</v>
      </c>
      <c r="J129" s="8">
        <v>0.0</v>
      </c>
      <c r="K129" s="8">
        <v>334.0</v>
      </c>
      <c r="L129" s="8">
        <v>0.0</v>
      </c>
      <c r="M129" s="8">
        <v>334.0</v>
      </c>
      <c r="N129" s="8">
        <v>-6.50578406</v>
      </c>
      <c r="O129" s="8">
        <v>1.65</v>
      </c>
      <c r="P129" s="8" t="s">
        <v>368</v>
      </c>
    </row>
    <row r="130">
      <c r="A130" s="8" t="s">
        <v>390</v>
      </c>
      <c r="B130" s="8">
        <v>2002.0</v>
      </c>
      <c r="C130" s="8" t="s">
        <v>365</v>
      </c>
      <c r="D130" s="8" t="s">
        <v>394</v>
      </c>
      <c r="E130" s="8">
        <v>2055.0</v>
      </c>
      <c r="F130" s="8" t="s">
        <v>41</v>
      </c>
      <c r="G130" s="8" t="s">
        <v>42</v>
      </c>
      <c r="H130" s="8" t="s">
        <v>367</v>
      </c>
      <c r="I130" s="8">
        <v>1.0</v>
      </c>
      <c r="J130" s="8">
        <v>1.0</v>
      </c>
      <c r="K130" s="8">
        <v>334.0</v>
      </c>
      <c r="L130" s="8">
        <v>0.002994012</v>
      </c>
      <c r="M130" s="8">
        <v>334.0</v>
      </c>
      <c r="N130" s="8">
        <v>-5.80814249</v>
      </c>
      <c r="O130" s="8">
        <v>1.65</v>
      </c>
      <c r="P130" s="8" t="s">
        <v>368</v>
      </c>
    </row>
    <row r="131">
      <c r="A131" s="8" t="s">
        <v>390</v>
      </c>
      <c r="B131" s="8">
        <v>2002.0</v>
      </c>
      <c r="C131" s="8" t="s">
        <v>365</v>
      </c>
      <c r="D131" s="8" t="s">
        <v>394</v>
      </c>
      <c r="E131" s="8">
        <v>2055.0</v>
      </c>
      <c r="F131" s="8" t="s">
        <v>41</v>
      </c>
      <c r="G131" s="8" t="s">
        <v>42</v>
      </c>
      <c r="H131" s="8" t="s">
        <v>374</v>
      </c>
      <c r="I131" s="8">
        <v>0.95</v>
      </c>
      <c r="J131" s="8">
        <v>1.0</v>
      </c>
      <c r="K131" s="8">
        <v>334.0</v>
      </c>
      <c r="L131" s="8">
        <v>0.002994012</v>
      </c>
      <c r="M131" s="8">
        <v>334.0</v>
      </c>
      <c r="N131" s="8">
        <v>-5.80814249</v>
      </c>
      <c r="O131" s="8">
        <v>1.65</v>
      </c>
      <c r="P131" s="8" t="s">
        <v>368</v>
      </c>
    </row>
    <row r="132">
      <c r="A132" s="8" t="s">
        <v>390</v>
      </c>
      <c r="B132" s="8">
        <v>2002.0</v>
      </c>
      <c r="C132" s="8" t="s">
        <v>365</v>
      </c>
      <c r="D132" s="8" t="s">
        <v>394</v>
      </c>
      <c r="E132" s="8">
        <v>2055.0</v>
      </c>
      <c r="F132" s="8" t="s">
        <v>41</v>
      </c>
      <c r="G132" s="8" t="s">
        <v>42</v>
      </c>
      <c r="H132" s="8" t="s">
        <v>391</v>
      </c>
      <c r="I132" s="8">
        <v>0.95</v>
      </c>
      <c r="J132" s="8">
        <v>0.0</v>
      </c>
      <c r="K132" s="8">
        <v>334.0</v>
      </c>
      <c r="L132" s="8">
        <v>0.0</v>
      </c>
      <c r="M132" s="8">
        <v>334.0</v>
      </c>
      <c r="N132" s="8">
        <v>-6.50578406</v>
      </c>
      <c r="O132" s="8">
        <v>1.65</v>
      </c>
      <c r="P132" s="8" t="s">
        <v>368</v>
      </c>
    </row>
    <row r="133">
      <c r="A133" s="8" t="s">
        <v>390</v>
      </c>
      <c r="B133" s="8">
        <v>2002.0</v>
      </c>
      <c r="C133" s="8" t="s">
        <v>365</v>
      </c>
      <c r="D133" s="8" t="s">
        <v>394</v>
      </c>
      <c r="E133" s="8">
        <v>2055.0</v>
      </c>
      <c r="F133" s="8" t="s">
        <v>41</v>
      </c>
      <c r="G133" s="8" t="s">
        <v>42</v>
      </c>
      <c r="H133" s="8" t="s">
        <v>367</v>
      </c>
      <c r="I133" s="8">
        <v>0.95</v>
      </c>
      <c r="J133" s="8">
        <v>3.0</v>
      </c>
      <c r="K133" s="8">
        <v>334.0</v>
      </c>
      <c r="L133" s="8">
        <v>0.008982036</v>
      </c>
      <c r="M133" s="8">
        <v>334.0</v>
      </c>
      <c r="N133" s="8">
        <v>-4.703506087</v>
      </c>
      <c r="O133" s="8">
        <v>1.65</v>
      </c>
      <c r="P133" s="8" t="s">
        <v>368</v>
      </c>
    </row>
    <row r="134">
      <c r="A134" s="8" t="s">
        <v>390</v>
      </c>
      <c r="B134" s="8">
        <v>2002.0</v>
      </c>
      <c r="C134" s="8" t="s">
        <v>365</v>
      </c>
      <c r="D134" s="8" t="s">
        <v>394</v>
      </c>
      <c r="E134" s="8">
        <v>2055.0</v>
      </c>
      <c r="F134" s="8" t="s">
        <v>41</v>
      </c>
      <c r="G134" s="8" t="s">
        <v>42</v>
      </c>
      <c r="H134" s="8" t="s">
        <v>374</v>
      </c>
      <c r="I134" s="8">
        <v>0.9</v>
      </c>
      <c r="J134" s="8">
        <v>3.0</v>
      </c>
      <c r="K134" s="8">
        <v>334.0</v>
      </c>
      <c r="L134" s="8">
        <v>0.008982036</v>
      </c>
      <c r="M134" s="8">
        <v>334.0</v>
      </c>
      <c r="N134" s="8">
        <v>-4.703506087</v>
      </c>
      <c r="O134" s="8">
        <v>1.65</v>
      </c>
      <c r="P134" s="8" t="s">
        <v>368</v>
      </c>
    </row>
    <row r="135">
      <c r="A135" s="8" t="s">
        <v>390</v>
      </c>
      <c r="B135" s="8">
        <v>2002.0</v>
      </c>
      <c r="C135" s="8" t="s">
        <v>365</v>
      </c>
      <c r="D135" s="8" t="s">
        <v>394</v>
      </c>
      <c r="E135" s="8">
        <v>2055.0</v>
      </c>
      <c r="F135" s="8" t="s">
        <v>41</v>
      </c>
      <c r="G135" s="8" t="s">
        <v>42</v>
      </c>
      <c r="H135" s="8" t="s">
        <v>391</v>
      </c>
      <c r="I135" s="8">
        <v>0.9</v>
      </c>
      <c r="J135" s="8">
        <v>1.0</v>
      </c>
      <c r="K135" s="8">
        <v>334.0</v>
      </c>
      <c r="L135" s="8">
        <v>0.002994012</v>
      </c>
      <c r="M135" s="8">
        <v>334.0</v>
      </c>
      <c r="N135" s="8">
        <v>-5.80814249</v>
      </c>
      <c r="O135" s="8">
        <v>1.65</v>
      </c>
      <c r="P135" s="8" t="s">
        <v>368</v>
      </c>
    </row>
    <row r="136">
      <c r="A136" s="8" t="s">
        <v>390</v>
      </c>
      <c r="B136" s="8">
        <v>2002.0</v>
      </c>
      <c r="C136" s="8" t="s">
        <v>365</v>
      </c>
      <c r="D136" s="8" t="s">
        <v>394</v>
      </c>
      <c r="E136" s="8">
        <v>2055.0</v>
      </c>
      <c r="F136" s="8" t="s">
        <v>41</v>
      </c>
      <c r="G136" s="8" t="s">
        <v>42</v>
      </c>
      <c r="H136" s="8" t="s">
        <v>367</v>
      </c>
      <c r="I136" s="8">
        <v>0.9</v>
      </c>
      <c r="J136" s="8">
        <v>6.0</v>
      </c>
      <c r="K136" s="8">
        <v>334.0</v>
      </c>
      <c r="L136" s="8">
        <v>0.017964072</v>
      </c>
      <c r="M136" s="8">
        <v>334.0</v>
      </c>
      <c r="N136" s="8">
        <v>-4.001254139</v>
      </c>
      <c r="O136" s="8">
        <v>1.65</v>
      </c>
      <c r="P136" s="8" t="s">
        <v>368</v>
      </c>
    </row>
    <row r="137">
      <c r="A137" s="8" t="s">
        <v>390</v>
      </c>
      <c r="B137" s="8">
        <v>2002.0</v>
      </c>
      <c r="C137" s="8" t="s">
        <v>365</v>
      </c>
      <c r="D137" s="8" t="s">
        <v>394</v>
      </c>
      <c r="E137" s="8">
        <v>2055.0</v>
      </c>
      <c r="F137" s="8" t="s">
        <v>41</v>
      </c>
      <c r="G137" s="8" t="s">
        <v>42</v>
      </c>
      <c r="H137" s="8" t="s">
        <v>374</v>
      </c>
      <c r="I137" s="8">
        <v>1.0</v>
      </c>
      <c r="J137" s="8">
        <v>0.0</v>
      </c>
      <c r="K137" s="8">
        <v>334.0</v>
      </c>
      <c r="L137" s="8">
        <v>0.0</v>
      </c>
      <c r="M137" s="8">
        <v>334.0</v>
      </c>
      <c r="N137" s="8">
        <v>-6.50578406</v>
      </c>
      <c r="O137" s="8">
        <v>2.35</v>
      </c>
      <c r="P137" s="8" t="s">
        <v>368</v>
      </c>
    </row>
    <row r="138">
      <c r="A138" s="8" t="s">
        <v>390</v>
      </c>
      <c r="B138" s="8">
        <v>2002.0</v>
      </c>
      <c r="C138" s="8" t="s">
        <v>365</v>
      </c>
      <c r="D138" s="8" t="s">
        <v>394</v>
      </c>
      <c r="E138" s="8">
        <v>2055.0</v>
      </c>
      <c r="F138" s="8" t="s">
        <v>41</v>
      </c>
      <c r="G138" s="8" t="s">
        <v>42</v>
      </c>
      <c r="H138" s="8" t="s">
        <v>391</v>
      </c>
      <c r="I138" s="8">
        <v>1.0</v>
      </c>
      <c r="J138" s="8">
        <v>0.0</v>
      </c>
      <c r="K138" s="8">
        <v>334.0</v>
      </c>
      <c r="L138" s="8">
        <v>0.0</v>
      </c>
      <c r="M138" s="8">
        <v>334.0</v>
      </c>
      <c r="N138" s="8">
        <v>-6.50578406</v>
      </c>
      <c r="O138" s="8">
        <v>2.35</v>
      </c>
      <c r="P138" s="8" t="s">
        <v>368</v>
      </c>
    </row>
    <row r="139">
      <c r="A139" s="8" t="s">
        <v>390</v>
      </c>
      <c r="B139" s="8">
        <v>2002.0</v>
      </c>
      <c r="C139" s="8" t="s">
        <v>365</v>
      </c>
      <c r="D139" s="8" t="s">
        <v>394</v>
      </c>
      <c r="E139" s="8">
        <v>2055.0</v>
      </c>
      <c r="F139" s="8" t="s">
        <v>41</v>
      </c>
      <c r="G139" s="8" t="s">
        <v>42</v>
      </c>
      <c r="H139" s="8" t="s">
        <v>367</v>
      </c>
      <c r="I139" s="8">
        <v>1.0</v>
      </c>
      <c r="J139" s="8">
        <v>1.0</v>
      </c>
      <c r="K139" s="8">
        <v>334.0</v>
      </c>
      <c r="L139" s="8">
        <v>0.002994012</v>
      </c>
      <c r="M139" s="8">
        <v>334.0</v>
      </c>
      <c r="N139" s="8">
        <v>-5.80814249</v>
      </c>
      <c r="O139" s="8">
        <v>2.35</v>
      </c>
      <c r="P139" s="8" t="s">
        <v>368</v>
      </c>
    </row>
    <row r="140">
      <c r="A140" s="8" t="s">
        <v>390</v>
      </c>
      <c r="B140" s="8">
        <v>2002.0</v>
      </c>
      <c r="C140" s="8" t="s">
        <v>365</v>
      </c>
      <c r="D140" s="8" t="s">
        <v>394</v>
      </c>
      <c r="E140" s="8">
        <v>2055.0</v>
      </c>
      <c r="F140" s="8" t="s">
        <v>41</v>
      </c>
      <c r="G140" s="8" t="s">
        <v>42</v>
      </c>
      <c r="H140" s="8" t="s">
        <v>374</v>
      </c>
      <c r="I140" s="8">
        <v>0.95</v>
      </c>
      <c r="J140" s="8">
        <v>4.0</v>
      </c>
      <c r="K140" s="8">
        <v>334.0</v>
      </c>
      <c r="L140" s="8">
        <v>0.011976048</v>
      </c>
      <c r="M140" s="8">
        <v>334.0</v>
      </c>
      <c r="N140" s="8">
        <v>-4.412798293</v>
      </c>
      <c r="O140" s="8">
        <v>2.35</v>
      </c>
      <c r="P140" s="8" t="s">
        <v>368</v>
      </c>
    </row>
    <row r="141">
      <c r="A141" s="8" t="s">
        <v>390</v>
      </c>
      <c r="B141" s="8">
        <v>2002.0</v>
      </c>
      <c r="C141" s="8" t="s">
        <v>365</v>
      </c>
      <c r="D141" s="8" t="s">
        <v>394</v>
      </c>
      <c r="E141" s="8">
        <v>2055.0</v>
      </c>
      <c r="F141" s="8" t="s">
        <v>41</v>
      </c>
      <c r="G141" s="8" t="s">
        <v>42</v>
      </c>
      <c r="H141" s="8" t="s">
        <v>391</v>
      </c>
      <c r="I141" s="8">
        <v>0.95</v>
      </c>
      <c r="J141" s="8">
        <v>3.0</v>
      </c>
      <c r="K141" s="8">
        <v>334.0</v>
      </c>
      <c r="L141" s="8">
        <v>0.008982036</v>
      </c>
      <c r="M141" s="8">
        <v>334.0</v>
      </c>
      <c r="N141" s="8">
        <v>-4.703506087</v>
      </c>
      <c r="O141" s="8">
        <v>2.35</v>
      </c>
      <c r="P141" s="8" t="s">
        <v>368</v>
      </c>
    </row>
    <row r="142">
      <c r="A142" s="8" t="s">
        <v>390</v>
      </c>
      <c r="B142" s="8">
        <v>2002.0</v>
      </c>
      <c r="C142" s="8" t="s">
        <v>365</v>
      </c>
      <c r="D142" s="8" t="s">
        <v>394</v>
      </c>
      <c r="E142" s="8">
        <v>2055.0</v>
      </c>
      <c r="F142" s="8" t="s">
        <v>41</v>
      </c>
      <c r="G142" s="8" t="s">
        <v>42</v>
      </c>
      <c r="H142" s="8" t="s">
        <v>367</v>
      </c>
      <c r="I142" s="8">
        <v>0.95</v>
      </c>
      <c r="J142" s="8">
        <v>6.0</v>
      </c>
      <c r="K142" s="8">
        <v>334.0</v>
      </c>
      <c r="L142" s="8">
        <v>0.017964072</v>
      </c>
      <c r="M142" s="8">
        <v>334.0</v>
      </c>
      <c r="N142" s="8">
        <v>-4.001254139</v>
      </c>
      <c r="O142" s="8">
        <v>2.35</v>
      </c>
      <c r="P142" s="8" t="s">
        <v>368</v>
      </c>
    </row>
    <row r="143">
      <c r="A143" s="8" t="s">
        <v>390</v>
      </c>
      <c r="B143" s="8">
        <v>2002.0</v>
      </c>
      <c r="C143" s="8" t="s">
        <v>365</v>
      </c>
      <c r="D143" s="8" t="s">
        <v>394</v>
      </c>
      <c r="E143" s="8">
        <v>2055.0</v>
      </c>
      <c r="F143" s="8" t="s">
        <v>41</v>
      </c>
      <c r="G143" s="8" t="s">
        <v>42</v>
      </c>
      <c r="H143" s="8" t="s">
        <v>374</v>
      </c>
      <c r="I143" s="8">
        <v>0.9</v>
      </c>
      <c r="J143" s="8">
        <v>5.0</v>
      </c>
      <c r="K143" s="8">
        <v>334.0</v>
      </c>
      <c r="L143" s="8">
        <v>0.01497006</v>
      </c>
      <c r="M143" s="8">
        <v>334.0</v>
      </c>
      <c r="N143" s="8">
        <v>-4.186619838</v>
      </c>
      <c r="O143" s="8">
        <v>2.35</v>
      </c>
      <c r="P143" s="8" t="s">
        <v>368</v>
      </c>
    </row>
    <row r="144">
      <c r="A144" s="8" t="s">
        <v>390</v>
      </c>
      <c r="B144" s="8">
        <v>2002.0</v>
      </c>
      <c r="C144" s="8" t="s">
        <v>365</v>
      </c>
      <c r="D144" s="8" t="s">
        <v>394</v>
      </c>
      <c r="E144" s="8">
        <v>2055.0</v>
      </c>
      <c r="F144" s="8" t="s">
        <v>41</v>
      </c>
      <c r="G144" s="8" t="s">
        <v>42</v>
      </c>
      <c r="H144" s="8" t="s">
        <v>391</v>
      </c>
      <c r="I144" s="8">
        <v>0.9</v>
      </c>
      <c r="J144" s="8">
        <v>6.0</v>
      </c>
      <c r="K144" s="8">
        <v>334.0</v>
      </c>
      <c r="L144" s="8">
        <v>0.017964072</v>
      </c>
      <c r="M144" s="8">
        <v>334.0</v>
      </c>
      <c r="N144" s="8">
        <v>-4.001254139</v>
      </c>
      <c r="O144" s="8">
        <v>2.35</v>
      </c>
      <c r="P144" s="8" t="s">
        <v>368</v>
      </c>
    </row>
    <row r="145">
      <c r="A145" s="8" t="s">
        <v>390</v>
      </c>
      <c r="B145" s="8">
        <v>2002.0</v>
      </c>
      <c r="C145" s="8" t="s">
        <v>365</v>
      </c>
      <c r="D145" s="8" t="s">
        <v>394</v>
      </c>
      <c r="E145" s="8">
        <v>2055.0</v>
      </c>
      <c r="F145" s="8" t="s">
        <v>41</v>
      </c>
      <c r="G145" s="8" t="s">
        <v>42</v>
      </c>
      <c r="H145" s="8" t="s">
        <v>367</v>
      </c>
      <c r="I145" s="8">
        <v>0.9</v>
      </c>
      <c r="J145" s="8">
        <v>13.0</v>
      </c>
      <c r="K145" s="8">
        <v>334.0</v>
      </c>
      <c r="L145" s="8">
        <v>0.038922156</v>
      </c>
      <c r="M145" s="8">
        <v>334.0</v>
      </c>
      <c r="N145" s="8">
        <v>-3.206491766</v>
      </c>
      <c r="O145" s="8">
        <v>2.35</v>
      </c>
      <c r="P145" s="8" t="s">
        <v>368</v>
      </c>
    </row>
    <row r="146">
      <c r="A146" s="8" t="s">
        <v>395</v>
      </c>
      <c r="B146" s="8">
        <v>2002.0</v>
      </c>
      <c r="C146" s="8" t="s">
        <v>373</v>
      </c>
      <c r="D146" s="8" t="s">
        <v>370</v>
      </c>
      <c r="E146" s="8">
        <v>2050.0</v>
      </c>
      <c r="F146" s="8" t="s">
        <v>41</v>
      </c>
      <c r="G146" s="8" t="s">
        <v>42</v>
      </c>
      <c r="H146" s="8" t="s">
        <v>374</v>
      </c>
      <c r="I146" s="8">
        <v>0.8</v>
      </c>
      <c r="J146" s="8">
        <v>0.0</v>
      </c>
      <c r="K146" s="8">
        <v>24.0</v>
      </c>
      <c r="L146" s="8">
        <v>0.0</v>
      </c>
      <c r="M146" s="8">
        <v>24.0</v>
      </c>
      <c r="N146" s="8">
        <v>-3.891820298</v>
      </c>
      <c r="O146" s="8">
        <v>1.2</v>
      </c>
      <c r="P146" s="8" t="s">
        <v>368</v>
      </c>
    </row>
    <row r="147">
      <c r="A147" s="8" t="s">
        <v>395</v>
      </c>
      <c r="B147" s="8">
        <v>2002.0</v>
      </c>
      <c r="C147" s="8" t="s">
        <v>373</v>
      </c>
      <c r="D147" s="8" t="s">
        <v>370</v>
      </c>
      <c r="E147" s="8">
        <v>2050.0</v>
      </c>
      <c r="F147" s="8" t="s">
        <v>41</v>
      </c>
      <c r="G147" s="8" t="s">
        <v>42</v>
      </c>
      <c r="H147" s="8" t="s">
        <v>374</v>
      </c>
      <c r="I147" s="8">
        <v>0.95</v>
      </c>
      <c r="J147" s="8">
        <v>0.0</v>
      </c>
      <c r="K147" s="8">
        <v>24.0</v>
      </c>
      <c r="L147" s="8">
        <v>0.0</v>
      </c>
      <c r="M147" s="8">
        <v>24.0</v>
      </c>
      <c r="N147" s="8">
        <v>-3.891820298</v>
      </c>
      <c r="O147" s="8">
        <v>1.2</v>
      </c>
      <c r="P147" s="8" t="s">
        <v>368</v>
      </c>
    </row>
    <row r="148">
      <c r="A148" s="8" t="s">
        <v>395</v>
      </c>
      <c r="B148" s="8">
        <v>2002.0</v>
      </c>
      <c r="C148" s="8" t="s">
        <v>373</v>
      </c>
      <c r="D148" s="8" t="s">
        <v>370</v>
      </c>
      <c r="E148" s="8">
        <v>2050.0</v>
      </c>
      <c r="F148" s="8" t="s">
        <v>41</v>
      </c>
      <c r="G148" s="8" t="s">
        <v>42</v>
      </c>
      <c r="H148" s="8" t="s">
        <v>374</v>
      </c>
      <c r="I148" s="8">
        <v>1.0</v>
      </c>
      <c r="J148" s="8">
        <v>0.0</v>
      </c>
      <c r="K148" s="8">
        <v>24.0</v>
      </c>
      <c r="L148" s="8">
        <v>0.0</v>
      </c>
      <c r="M148" s="8">
        <v>24.0</v>
      </c>
      <c r="N148" s="8">
        <v>-3.891820298</v>
      </c>
      <c r="O148" s="8">
        <v>1.2</v>
      </c>
      <c r="P148" s="8" t="s">
        <v>368</v>
      </c>
    </row>
    <row r="149">
      <c r="A149" s="8" t="s">
        <v>395</v>
      </c>
      <c r="B149" s="8">
        <v>2002.0</v>
      </c>
      <c r="C149" s="8" t="s">
        <v>373</v>
      </c>
      <c r="D149" s="8" t="s">
        <v>370</v>
      </c>
      <c r="E149" s="8">
        <v>2050.0</v>
      </c>
      <c r="F149" s="8" t="s">
        <v>41</v>
      </c>
      <c r="G149" s="8" t="s">
        <v>42</v>
      </c>
      <c r="H149" s="8" t="s">
        <v>374</v>
      </c>
      <c r="I149" s="8">
        <v>0.8</v>
      </c>
      <c r="J149" s="8">
        <v>1.0</v>
      </c>
      <c r="K149" s="8">
        <v>24.0</v>
      </c>
      <c r="L149" s="8">
        <v>0.041666667</v>
      </c>
      <c r="M149" s="8">
        <v>24.0</v>
      </c>
      <c r="N149" s="8">
        <v>-3.135494216</v>
      </c>
      <c r="O149" s="8">
        <v>1.8</v>
      </c>
      <c r="P149" s="8" t="s">
        <v>368</v>
      </c>
    </row>
    <row r="150">
      <c r="A150" s="8" t="s">
        <v>395</v>
      </c>
      <c r="B150" s="8">
        <v>2002.0</v>
      </c>
      <c r="C150" s="8" t="s">
        <v>373</v>
      </c>
      <c r="D150" s="8" t="s">
        <v>370</v>
      </c>
      <c r="E150" s="8">
        <v>2050.0</v>
      </c>
      <c r="F150" s="8" t="s">
        <v>41</v>
      </c>
      <c r="G150" s="8" t="s">
        <v>42</v>
      </c>
      <c r="H150" s="8" t="s">
        <v>374</v>
      </c>
      <c r="I150" s="8">
        <v>0.95</v>
      </c>
      <c r="J150" s="8">
        <v>0.0</v>
      </c>
      <c r="K150" s="8">
        <v>24.0</v>
      </c>
      <c r="L150" s="8">
        <v>0.0</v>
      </c>
      <c r="M150" s="8">
        <v>24.0</v>
      </c>
      <c r="N150" s="8">
        <v>-3.891820298</v>
      </c>
      <c r="O150" s="8">
        <v>1.8</v>
      </c>
      <c r="P150" s="8" t="s">
        <v>368</v>
      </c>
    </row>
    <row r="151">
      <c r="A151" s="8" t="s">
        <v>395</v>
      </c>
      <c r="B151" s="8">
        <v>2002.0</v>
      </c>
      <c r="C151" s="8" t="s">
        <v>373</v>
      </c>
      <c r="D151" s="8" t="s">
        <v>370</v>
      </c>
      <c r="E151" s="8">
        <v>2050.0</v>
      </c>
      <c r="F151" s="8" t="s">
        <v>41</v>
      </c>
      <c r="G151" s="8" t="s">
        <v>42</v>
      </c>
      <c r="H151" s="8" t="s">
        <v>374</v>
      </c>
      <c r="I151" s="8">
        <v>1.0</v>
      </c>
      <c r="J151" s="8">
        <v>0.0</v>
      </c>
      <c r="K151" s="8">
        <v>24.0</v>
      </c>
      <c r="L151" s="8">
        <v>0.0</v>
      </c>
      <c r="M151" s="8">
        <v>24.0</v>
      </c>
      <c r="N151" s="8">
        <v>-3.891820298</v>
      </c>
      <c r="O151" s="8">
        <v>1.8</v>
      </c>
      <c r="P151" s="8" t="s">
        <v>368</v>
      </c>
    </row>
    <row r="152">
      <c r="A152" s="8" t="s">
        <v>395</v>
      </c>
      <c r="B152" s="8">
        <v>2002.0</v>
      </c>
      <c r="C152" s="8" t="s">
        <v>373</v>
      </c>
      <c r="D152" s="8" t="s">
        <v>370</v>
      </c>
      <c r="E152" s="8">
        <v>2050.0</v>
      </c>
      <c r="F152" s="8" t="s">
        <v>41</v>
      </c>
      <c r="G152" s="8" t="s">
        <v>42</v>
      </c>
      <c r="H152" s="8" t="s">
        <v>374</v>
      </c>
      <c r="I152" s="8">
        <v>0.8</v>
      </c>
      <c r="J152" s="8">
        <v>1.0</v>
      </c>
      <c r="K152" s="8">
        <v>24.0</v>
      </c>
      <c r="L152" s="8">
        <v>0.041666667</v>
      </c>
      <c r="M152" s="8">
        <v>24.0</v>
      </c>
      <c r="N152" s="8">
        <v>-3.135494216</v>
      </c>
      <c r="O152" s="8">
        <v>2.1</v>
      </c>
      <c r="P152" s="8" t="s">
        <v>368</v>
      </c>
    </row>
    <row r="153">
      <c r="A153" s="8" t="s">
        <v>395</v>
      </c>
      <c r="B153" s="8">
        <v>2002.0</v>
      </c>
      <c r="C153" s="8" t="s">
        <v>373</v>
      </c>
      <c r="D153" s="8" t="s">
        <v>370</v>
      </c>
      <c r="E153" s="8">
        <v>2050.0</v>
      </c>
      <c r="F153" s="8" t="s">
        <v>41</v>
      </c>
      <c r="G153" s="8" t="s">
        <v>42</v>
      </c>
      <c r="H153" s="8" t="s">
        <v>374</v>
      </c>
      <c r="I153" s="8">
        <v>0.95</v>
      </c>
      <c r="J153" s="8">
        <v>0.0</v>
      </c>
      <c r="K153" s="8">
        <v>24.0</v>
      </c>
      <c r="L153" s="8">
        <v>0.0</v>
      </c>
      <c r="M153" s="8">
        <v>24.0</v>
      </c>
      <c r="N153" s="8">
        <v>-3.891820298</v>
      </c>
      <c r="O153" s="8">
        <v>2.1</v>
      </c>
      <c r="P153" s="8" t="s">
        <v>368</v>
      </c>
    </row>
    <row r="154">
      <c r="A154" s="8" t="s">
        <v>395</v>
      </c>
      <c r="B154" s="8">
        <v>2002.0</v>
      </c>
      <c r="C154" s="8" t="s">
        <v>373</v>
      </c>
      <c r="D154" s="8" t="s">
        <v>370</v>
      </c>
      <c r="E154" s="8">
        <v>2050.0</v>
      </c>
      <c r="F154" s="8" t="s">
        <v>41</v>
      </c>
      <c r="G154" s="8" t="s">
        <v>42</v>
      </c>
      <c r="H154" s="8" t="s">
        <v>374</v>
      </c>
      <c r="I154" s="8">
        <v>1.0</v>
      </c>
      <c r="J154" s="8">
        <v>0.0</v>
      </c>
      <c r="K154" s="8">
        <v>24.0</v>
      </c>
      <c r="L154" s="8">
        <v>0.0</v>
      </c>
      <c r="M154" s="8">
        <v>24.0</v>
      </c>
      <c r="N154" s="8">
        <v>-3.891820298</v>
      </c>
      <c r="O154" s="8">
        <v>2.1</v>
      </c>
      <c r="P154" s="8" t="s">
        <v>368</v>
      </c>
    </row>
    <row r="155">
      <c r="A155" s="8" t="s">
        <v>395</v>
      </c>
      <c r="B155" s="8">
        <v>2002.0</v>
      </c>
      <c r="C155" s="8" t="s">
        <v>373</v>
      </c>
      <c r="D155" s="8" t="s">
        <v>370</v>
      </c>
      <c r="E155" s="8">
        <v>2050.0</v>
      </c>
      <c r="F155" s="8" t="s">
        <v>41</v>
      </c>
      <c r="G155" s="8" t="s">
        <v>42</v>
      </c>
      <c r="H155" s="8" t="s">
        <v>374</v>
      </c>
      <c r="I155" s="8">
        <v>0.8</v>
      </c>
      <c r="J155" s="8">
        <v>2.0</v>
      </c>
      <c r="K155" s="8">
        <v>24.0</v>
      </c>
      <c r="L155" s="8">
        <v>0.083333333</v>
      </c>
      <c r="M155" s="8">
        <v>24.0</v>
      </c>
      <c r="N155" s="8">
        <v>-2.397895273</v>
      </c>
      <c r="O155" s="8">
        <v>2.9</v>
      </c>
      <c r="P155" s="8" t="s">
        <v>368</v>
      </c>
    </row>
    <row r="156">
      <c r="A156" s="8" t="s">
        <v>395</v>
      </c>
      <c r="B156" s="8">
        <v>2002.0</v>
      </c>
      <c r="C156" s="8" t="s">
        <v>373</v>
      </c>
      <c r="D156" s="8" t="s">
        <v>370</v>
      </c>
      <c r="E156" s="8">
        <v>2050.0</v>
      </c>
      <c r="F156" s="8" t="s">
        <v>41</v>
      </c>
      <c r="G156" s="8" t="s">
        <v>42</v>
      </c>
      <c r="H156" s="8" t="s">
        <v>374</v>
      </c>
      <c r="I156" s="8">
        <v>0.95</v>
      </c>
      <c r="J156" s="8">
        <v>1.0</v>
      </c>
      <c r="K156" s="8">
        <v>24.0</v>
      </c>
      <c r="L156" s="8">
        <v>0.041666667</v>
      </c>
      <c r="M156" s="8">
        <v>24.0</v>
      </c>
      <c r="N156" s="8">
        <v>-3.135494216</v>
      </c>
      <c r="O156" s="8">
        <v>2.9</v>
      </c>
      <c r="P156" s="8" t="s">
        <v>368</v>
      </c>
    </row>
    <row r="157">
      <c r="A157" s="8" t="s">
        <v>395</v>
      </c>
      <c r="B157" s="8">
        <v>2002.0</v>
      </c>
      <c r="C157" s="8" t="s">
        <v>373</v>
      </c>
      <c r="D157" s="8" t="s">
        <v>370</v>
      </c>
      <c r="E157" s="8">
        <v>2050.0</v>
      </c>
      <c r="F157" s="8" t="s">
        <v>41</v>
      </c>
      <c r="G157" s="8" t="s">
        <v>42</v>
      </c>
      <c r="H157" s="8" t="s">
        <v>374</v>
      </c>
      <c r="I157" s="8">
        <v>1.0</v>
      </c>
      <c r="J157" s="8">
        <v>0.0</v>
      </c>
      <c r="K157" s="8">
        <v>24.0</v>
      </c>
      <c r="L157" s="8">
        <v>0.0</v>
      </c>
      <c r="M157" s="8">
        <v>24.0</v>
      </c>
      <c r="N157" s="8">
        <v>-3.891820298</v>
      </c>
      <c r="O157" s="8">
        <v>2.9</v>
      </c>
      <c r="P157" s="8" t="s">
        <v>368</v>
      </c>
    </row>
    <row r="158">
      <c r="A158" s="8" t="s">
        <v>396</v>
      </c>
      <c r="B158" s="8">
        <v>2002.0</v>
      </c>
      <c r="C158" s="8" t="s">
        <v>39</v>
      </c>
      <c r="D158" s="8" t="s">
        <v>371</v>
      </c>
      <c r="E158" s="8">
        <v>2050.0</v>
      </c>
      <c r="F158" s="8" t="s">
        <v>41</v>
      </c>
      <c r="G158" s="8" t="s">
        <v>42</v>
      </c>
      <c r="H158" s="8" t="s">
        <v>367</v>
      </c>
      <c r="I158" s="8">
        <v>1.0</v>
      </c>
      <c r="J158" s="8">
        <v>115.0</v>
      </c>
      <c r="K158" s="8">
        <v>330.0</v>
      </c>
      <c r="L158" s="8">
        <v>0.348484848</v>
      </c>
      <c r="M158" s="8">
        <v>330.0</v>
      </c>
      <c r="N158" s="8">
        <v>-0.6257059</v>
      </c>
      <c r="O158" s="8">
        <v>2.35</v>
      </c>
      <c r="P158" s="8" t="s">
        <v>368</v>
      </c>
    </row>
    <row r="159">
      <c r="A159" s="8" t="s">
        <v>397</v>
      </c>
      <c r="B159" s="8">
        <v>2002.0</v>
      </c>
      <c r="C159" s="8" t="s">
        <v>39</v>
      </c>
      <c r="D159" s="8" t="s">
        <v>398</v>
      </c>
      <c r="E159" s="8">
        <v>2050.0</v>
      </c>
      <c r="F159" s="8" t="s">
        <v>34</v>
      </c>
      <c r="G159" s="8" t="s">
        <v>42</v>
      </c>
      <c r="H159" s="8" t="s">
        <v>374</v>
      </c>
      <c r="I159" s="8">
        <v>1.0</v>
      </c>
      <c r="J159" s="8">
        <v>4.0</v>
      </c>
      <c r="K159" s="8">
        <v>179.0</v>
      </c>
      <c r="L159" s="8">
        <v>0.022346369</v>
      </c>
      <c r="M159" s="8">
        <v>179.0</v>
      </c>
      <c r="N159" s="8">
        <v>-3.778491613</v>
      </c>
      <c r="O159" s="8">
        <v>2.35</v>
      </c>
      <c r="P159" s="8" t="s">
        <v>368</v>
      </c>
    </row>
    <row r="160">
      <c r="A160" s="8" t="s">
        <v>397</v>
      </c>
      <c r="B160" s="8">
        <v>2002.0</v>
      </c>
      <c r="C160" s="8" t="s">
        <v>39</v>
      </c>
      <c r="D160" s="8" t="s">
        <v>398</v>
      </c>
      <c r="E160" s="8">
        <v>2050.0</v>
      </c>
      <c r="F160" s="8" t="s">
        <v>34</v>
      </c>
      <c r="G160" s="8" t="s">
        <v>42</v>
      </c>
      <c r="H160" s="8" t="s">
        <v>374</v>
      </c>
      <c r="I160" s="8">
        <v>0.8</v>
      </c>
      <c r="J160" s="8">
        <v>46.0</v>
      </c>
      <c r="K160" s="8">
        <v>179.0</v>
      </c>
      <c r="L160" s="8">
        <v>0.25698324</v>
      </c>
      <c r="M160" s="8">
        <v>179.0</v>
      </c>
      <c r="N160" s="8">
        <v>-1.061707732</v>
      </c>
      <c r="O160" s="8">
        <v>2.35</v>
      </c>
      <c r="P160" s="8" t="s">
        <v>368</v>
      </c>
    </row>
    <row r="161">
      <c r="A161" s="8" t="s">
        <v>399</v>
      </c>
      <c r="B161" s="8">
        <v>2002.0</v>
      </c>
      <c r="C161" s="8" t="s">
        <v>32</v>
      </c>
      <c r="D161" s="8" t="s">
        <v>370</v>
      </c>
      <c r="E161" s="8">
        <v>2085.0</v>
      </c>
      <c r="F161" s="8" t="s">
        <v>34</v>
      </c>
      <c r="G161" s="8" t="s">
        <v>42</v>
      </c>
      <c r="H161" s="8" t="s">
        <v>374</v>
      </c>
      <c r="I161" s="8">
        <v>1.0</v>
      </c>
      <c r="J161" s="8">
        <v>0.0</v>
      </c>
      <c r="K161" s="8">
        <v>35.0</v>
      </c>
      <c r="L161" s="8">
        <v>0.0</v>
      </c>
      <c r="M161" s="8">
        <v>35.0</v>
      </c>
      <c r="N161" s="8">
        <v>-4.262679877</v>
      </c>
      <c r="O161" s="8">
        <v>2.81</v>
      </c>
      <c r="P161" s="8" t="s">
        <v>368</v>
      </c>
    </row>
    <row r="162">
      <c r="A162" s="8" t="s">
        <v>399</v>
      </c>
      <c r="B162" s="8">
        <v>2002.0</v>
      </c>
      <c r="C162" s="8" t="s">
        <v>32</v>
      </c>
      <c r="D162" s="8" t="s">
        <v>370</v>
      </c>
      <c r="E162" s="8">
        <v>2085.0</v>
      </c>
      <c r="F162" s="8" t="s">
        <v>34</v>
      </c>
      <c r="G162" s="8" t="s">
        <v>42</v>
      </c>
      <c r="H162" s="8" t="s">
        <v>374</v>
      </c>
      <c r="I162" s="8">
        <v>0.95</v>
      </c>
      <c r="J162" s="8">
        <v>0.0</v>
      </c>
      <c r="K162" s="8">
        <v>35.0</v>
      </c>
      <c r="L162" s="8">
        <v>0.0</v>
      </c>
      <c r="M162" s="8">
        <v>35.0</v>
      </c>
      <c r="N162" s="8">
        <v>-4.262679877</v>
      </c>
      <c r="O162" s="8">
        <v>2.81</v>
      </c>
      <c r="P162" s="8" t="s">
        <v>368</v>
      </c>
    </row>
    <row r="163">
      <c r="A163" s="8" t="s">
        <v>399</v>
      </c>
      <c r="B163" s="8">
        <v>2002.0</v>
      </c>
      <c r="C163" s="8" t="s">
        <v>32</v>
      </c>
      <c r="D163" s="8" t="s">
        <v>370</v>
      </c>
      <c r="E163" s="8">
        <v>2085.0</v>
      </c>
      <c r="F163" s="8" t="s">
        <v>34</v>
      </c>
      <c r="G163" s="8" t="s">
        <v>42</v>
      </c>
      <c r="H163" s="8" t="s">
        <v>374</v>
      </c>
      <c r="I163" s="8">
        <v>0.8</v>
      </c>
      <c r="J163" s="8">
        <v>0.0</v>
      </c>
      <c r="K163" s="8">
        <v>35.0</v>
      </c>
      <c r="L163" s="8">
        <v>0.0</v>
      </c>
      <c r="M163" s="8">
        <v>35.0</v>
      </c>
      <c r="N163" s="8">
        <v>-4.262679877</v>
      </c>
      <c r="O163" s="8">
        <v>2.81</v>
      </c>
      <c r="P163" s="8" t="s">
        <v>368</v>
      </c>
    </row>
    <row r="164">
      <c r="A164" s="8" t="s">
        <v>399</v>
      </c>
      <c r="B164" s="8">
        <v>2002.0</v>
      </c>
      <c r="C164" s="8" t="s">
        <v>32</v>
      </c>
      <c r="D164" s="8" t="s">
        <v>370</v>
      </c>
      <c r="E164" s="8">
        <v>2085.0</v>
      </c>
      <c r="F164" s="8" t="s">
        <v>34</v>
      </c>
      <c r="G164" s="8" t="s">
        <v>42</v>
      </c>
      <c r="H164" s="8" t="s">
        <v>367</v>
      </c>
      <c r="I164" s="8">
        <v>1.0</v>
      </c>
      <c r="J164" s="8">
        <v>0.0</v>
      </c>
      <c r="K164" s="8">
        <v>35.0</v>
      </c>
      <c r="L164" s="8">
        <v>0.0</v>
      </c>
      <c r="M164" s="8">
        <v>35.0</v>
      </c>
      <c r="N164" s="8">
        <v>-4.262679877</v>
      </c>
      <c r="O164" s="8">
        <v>2.81</v>
      </c>
      <c r="P164" s="8" t="s">
        <v>368</v>
      </c>
    </row>
    <row r="165">
      <c r="A165" s="8" t="s">
        <v>399</v>
      </c>
      <c r="B165" s="8">
        <v>2002.0</v>
      </c>
      <c r="C165" s="8" t="s">
        <v>32</v>
      </c>
      <c r="D165" s="8" t="s">
        <v>370</v>
      </c>
      <c r="E165" s="8">
        <v>2085.0</v>
      </c>
      <c r="F165" s="8" t="s">
        <v>34</v>
      </c>
      <c r="G165" s="8" t="s">
        <v>42</v>
      </c>
      <c r="H165" s="8" t="s">
        <v>367</v>
      </c>
      <c r="I165" s="8">
        <v>0.95</v>
      </c>
      <c r="J165" s="8">
        <v>0.0</v>
      </c>
      <c r="K165" s="8">
        <v>35.0</v>
      </c>
      <c r="L165" s="8">
        <v>0.0</v>
      </c>
      <c r="M165" s="8">
        <v>35.0</v>
      </c>
      <c r="N165" s="8">
        <v>-4.262679877</v>
      </c>
      <c r="O165" s="8">
        <v>2.81</v>
      </c>
      <c r="P165" s="8" t="s">
        <v>368</v>
      </c>
    </row>
    <row r="166">
      <c r="A166" s="8" t="s">
        <v>399</v>
      </c>
      <c r="B166" s="8">
        <v>2002.0</v>
      </c>
      <c r="C166" s="8" t="s">
        <v>32</v>
      </c>
      <c r="D166" s="8" t="s">
        <v>370</v>
      </c>
      <c r="E166" s="8">
        <v>2085.0</v>
      </c>
      <c r="F166" s="8" t="s">
        <v>34</v>
      </c>
      <c r="G166" s="8" t="s">
        <v>42</v>
      </c>
      <c r="H166" s="8" t="s">
        <v>367</v>
      </c>
      <c r="I166" s="8">
        <v>0.8</v>
      </c>
      <c r="J166" s="8">
        <v>0.0</v>
      </c>
      <c r="K166" s="8">
        <v>35.0</v>
      </c>
      <c r="L166" s="8">
        <v>0.0</v>
      </c>
      <c r="M166" s="8">
        <v>35.0</v>
      </c>
      <c r="N166" s="8">
        <v>-4.262679877</v>
      </c>
      <c r="O166" s="8">
        <v>2.81</v>
      </c>
      <c r="P166" s="8" t="s">
        <v>368</v>
      </c>
    </row>
    <row r="167">
      <c r="A167" s="8" t="s">
        <v>400</v>
      </c>
      <c r="B167" s="8">
        <v>2003.0</v>
      </c>
      <c r="C167" s="8" t="s">
        <v>373</v>
      </c>
      <c r="D167" s="8" t="s">
        <v>401</v>
      </c>
      <c r="E167" s="8">
        <v>2100.0</v>
      </c>
      <c r="F167" s="8" t="s">
        <v>41</v>
      </c>
      <c r="G167" s="8" t="s">
        <v>42</v>
      </c>
      <c r="H167" s="8" t="s">
        <v>374</v>
      </c>
      <c r="I167" s="8">
        <v>1.0</v>
      </c>
      <c r="J167" s="8">
        <v>1.0</v>
      </c>
      <c r="K167" s="8">
        <v>65.0</v>
      </c>
      <c r="L167" s="8">
        <v>0.015384615</v>
      </c>
      <c r="M167" s="8">
        <v>65.0</v>
      </c>
      <c r="N167" s="8">
        <v>-4.158883083</v>
      </c>
      <c r="O167" s="8">
        <v>1.6</v>
      </c>
      <c r="P167" s="8" t="s">
        <v>368</v>
      </c>
    </row>
    <row r="168">
      <c r="A168" s="8" t="s">
        <v>400</v>
      </c>
      <c r="B168" s="8">
        <v>2003.0</v>
      </c>
      <c r="C168" s="8" t="s">
        <v>373</v>
      </c>
      <c r="D168" s="8" t="s">
        <v>401</v>
      </c>
      <c r="E168" s="8">
        <v>2100.0</v>
      </c>
      <c r="F168" s="8" t="s">
        <v>41</v>
      </c>
      <c r="G168" s="8" t="s">
        <v>42</v>
      </c>
      <c r="H168" s="8" t="s">
        <v>374</v>
      </c>
      <c r="I168" s="8">
        <v>1.0</v>
      </c>
      <c r="J168" s="8">
        <v>30.0</v>
      </c>
      <c r="K168" s="8">
        <v>65.0</v>
      </c>
      <c r="L168" s="8">
        <v>0.461538462</v>
      </c>
      <c r="M168" s="8">
        <v>65.0</v>
      </c>
      <c r="N168" s="8">
        <v>-0.15415068</v>
      </c>
      <c r="O168" s="8">
        <v>4.1</v>
      </c>
      <c r="P168" s="8" t="s">
        <v>368</v>
      </c>
    </row>
    <row r="169">
      <c r="A169" s="8" t="s">
        <v>400</v>
      </c>
      <c r="B169" s="8">
        <v>2003.0</v>
      </c>
      <c r="C169" s="8" t="s">
        <v>373</v>
      </c>
      <c r="D169" s="8" t="s">
        <v>401</v>
      </c>
      <c r="E169" s="8">
        <v>2100.0</v>
      </c>
      <c r="F169" s="8" t="s">
        <v>41</v>
      </c>
      <c r="G169" s="8" t="s">
        <v>42</v>
      </c>
      <c r="H169" s="8" t="s">
        <v>374</v>
      </c>
      <c r="I169" s="8">
        <v>1.0</v>
      </c>
      <c r="J169" s="8">
        <v>57.0</v>
      </c>
      <c r="K169" s="8">
        <v>65.0</v>
      </c>
      <c r="L169" s="8">
        <v>0.876923077</v>
      </c>
      <c r="M169" s="8">
        <v>65.0</v>
      </c>
      <c r="N169" s="8">
        <v>1.963609726</v>
      </c>
      <c r="O169" s="8">
        <v>5.6</v>
      </c>
      <c r="P169" s="8" t="s">
        <v>368</v>
      </c>
    </row>
    <row r="170">
      <c r="A170" s="8" t="s">
        <v>400</v>
      </c>
      <c r="B170" s="8">
        <v>2003.0</v>
      </c>
      <c r="C170" s="8" t="s">
        <v>373</v>
      </c>
      <c r="D170" s="8" t="s">
        <v>401</v>
      </c>
      <c r="E170" s="8">
        <v>2100.0</v>
      </c>
      <c r="F170" s="8" t="s">
        <v>41</v>
      </c>
      <c r="G170" s="8" t="s">
        <v>42</v>
      </c>
      <c r="H170" s="8" t="s">
        <v>374</v>
      </c>
      <c r="I170" s="8">
        <v>1.0</v>
      </c>
      <c r="J170" s="8">
        <v>65.0</v>
      </c>
      <c r="K170" s="8">
        <v>65.0</v>
      </c>
      <c r="L170" s="8">
        <v>1.0</v>
      </c>
      <c r="M170" s="8">
        <v>65.0</v>
      </c>
      <c r="N170" s="8">
        <v>4.875197323</v>
      </c>
      <c r="O170" s="8">
        <v>7.6</v>
      </c>
      <c r="P170" s="8" t="s">
        <v>368</v>
      </c>
    </row>
    <row r="171">
      <c r="A171" s="8" t="s">
        <v>396</v>
      </c>
      <c r="B171" s="8">
        <v>2003.0</v>
      </c>
      <c r="C171" s="8" t="s">
        <v>39</v>
      </c>
      <c r="D171" s="8" t="s">
        <v>371</v>
      </c>
      <c r="E171" s="8">
        <v>2050.0</v>
      </c>
      <c r="F171" s="8" t="s">
        <v>41</v>
      </c>
      <c r="G171" s="8" t="s">
        <v>42</v>
      </c>
      <c r="H171" s="8" t="s">
        <v>374</v>
      </c>
      <c r="I171" s="8">
        <v>1.0</v>
      </c>
      <c r="J171" s="8">
        <v>5.0</v>
      </c>
      <c r="K171" s="8">
        <v>28.0</v>
      </c>
      <c r="L171" s="8">
        <v>0.178571429</v>
      </c>
      <c r="M171" s="8">
        <v>28.0</v>
      </c>
      <c r="N171" s="8">
        <v>-1.526056303</v>
      </c>
      <c r="O171" s="8">
        <v>2.35</v>
      </c>
      <c r="P171" s="8" t="s">
        <v>368</v>
      </c>
    </row>
    <row r="172">
      <c r="A172" s="8" t="s">
        <v>396</v>
      </c>
      <c r="B172" s="8">
        <v>2003.0</v>
      </c>
      <c r="C172" s="8" t="s">
        <v>39</v>
      </c>
      <c r="D172" s="8" t="s">
        <v>371</v>
      </c>
      <c r="E172" s="8">
        <v>2050.0</v>
      </c>
      <c r="F172" s="8" t="s">
        <v>41</v>
      </c>
      <c r="G172" s="8" t="s">
        <v>42</v>
      </c>
      <c r="H172" s="8" t="s">
        <v>374</v>
      </c>
      <c r="I172" s="8">
        <v>1.0</v>
      </c>
      <c r="J172" s="8">
        <v>5.0</v>
      </c>
      <c r="K172" s="8">
        <v>28.0</v>
      </c>
      <c r="L172" s="8">
        <v>0.178571429</v>
      </c>
      <c r="M172" s="8">
        <v>28.0</v>
      </c>
      <c r="N172" s="8">
        <v>-1.526056303</v>
      </c>
      <c r="O172" s="8">
        <v>2.35</v>
      </c>
      <c r="P172" s="8" t="s">
        <v>368</v>
      </c>
    </row>
    <row r="173">
      <c r="A173" s="8" t="s">
        <v>396</v>
      </c>
      <c r="B173" s="8">
        <v>2003.0</v>
      </c>
      <c r="C173" s="8" t="s">
        <v>39</v>
      </c>
      <c r="D173" s="8" t="s">
        <v>371</v>
      </c>
      <c r="E173" s="8">
        <v>2050.0</v>
      </c>
      <c r="F173" s="8" t="s">
        <v>41</v>
      </c>
      <c r="G173" s="8" t="s">
        <v>42</v>
      </c>
      <c r="H173" s="8" t="s">
        <v>374</v>
      </c>
      <c r="I173" s="8">
        <v>0.95</v>
      </c>
      <c r="J173" s="8">
        <v>10.0</v>
      </c>
      <c r="K173" s="8">
        <v>28.0</v>
      </c>
      <c r="L173" s="8">
        <v>0.357142857</v>
      </c>
      <c r="M173" s="8">
        <v>28.0</v>
      </c>
      <c r="N173" s="8">
        <v>-0.587786665</v>
      </c>
      <c r="O173" s="8">
        <v>2.35</v>
      </c>
      <c r="P173" s="8" t="s">
        <v>368</v>
      </c>
    </row>
    <row r="174">
      <c r="A174" s="8" t="s">
        <v>396</v>
      </c>
      <c r="B174" s="8">
        <v>2003.0</v>
      </c>
      <c r="C174" s="8" t="s">
        <v>39</v>
      </c>
      <c r="D174" s="8" t="s">
        <v>371</v>
      </c>
      <c r="E174" s="8">
        <v>2050.0</v>
      </c>
      <c r="F174" s="8" t="s">
        <v>41</v>
      </c>
      <c r="G174" s="8" t="s">
        <v>42</v>
      </c>
      <c r="H174" s="8" t="s">
        <v>374</v>
      </c>
      <c r="I174" s="8">
        <v>0.95</v>
      </c>
      <c r="J174" s="8">
        <v>8.0</v>
      </c>
      <c r="K174" s="8">
        <v>28.0</v>
      </c>
      <c r="L174" s="8">
        <v>0.285714286</v>
      </c>
      <c r="M174" s="8">
        <v>28.0</v>
      </c>
      <c r="N174" s="8">
        <v>-0.916290732</v>
      </c>
      <c r="O174" s="8">
        <v>2.35</v>
      </c>
      <c r="P174" s="8" t="s">
        <v>368</v>
      </c>
    </row>
    <row r="175">
      <c r="A175" s="8" t="s">
        <v>402</v>
      </c>
      <c r="B175" s="8">
        <v>2003.0</v>
      </c>
      <c r="C175" s="8" t="s">
        <v>403</v>
      </c>
      <c r="D175" s="8" t="s">
        <v>371</v>
      </c>
      <c r="E175" s="8">
        <v>2055.0</v>
      </c>
      <c r="F175" s="8" t="s">
        <v>41</v>
      </c>
      <c r="G175" s="8" t="s">
        <v>42</v>
      </c>
      <c r="H175" s="8" t="s">
        <v>374</v>
      </c>
      <c r="I175" s="8">
        <v>1.0</v>
      </c>
      <c r="J175" s="8">
        <v>18.0</v>
      </c>
      <c r="K175" s="8">
        <v>162.0</v>
      </c>
      <c r="L175" s="8">
        <v>0.111111111</v>
      </c>
      <c r="M175" s="8">
        <v>162.0</v>
      </c>
      <c r="N175" s="8">
        <v>-2.079441542</v>
      </c>
      <c r="O175" s="8">
        <v>1.65</v>
      </c>
      <c r="P175" s="8" t="s">
        <v>368</v>
      </c>
    </row>
    <row r="176">
      <c r="A176" s="8" t="s">
        <v>402</v>
      </c>
      <c r="B176" s="8">
        <v>2003.0</v>
      </c>
      <c r="C176" s="8" t="s">
        <v>403</v>
      </c>
      <c r="D176" s="8" t="s">
        <v>371</v>
      </c>
      <c r="E176" s="8">
        <v>2055.0</v>
      </c>
      <c r="F176" s="8" t="s">
        <v>41</v>
      </c>
      <c r="G176" s="8" t="s">
        <v>42</v>
      </c>
      <c r="H176" s="8" t="s">
        <v>374</v>
      </c>
      <c r="I176" s="8">
        <v>0.9</v>
      </c>
      <c r="J176" s="8">
        <v>91.0</v>
      </c>
      <c r="K176" s="8">
        <v>162.0</v>
      </c>
      <c r="L176" s="8">
        <v>0.561728395</v>
      </c>
      <c r="M176" s="8">
        <v>162.0</v>
      </c>
      <c r="N176" s="8">
        <v>0.248179629</v>
      </c>
      <c r="O176" s="8">
        <v>1.65</v>
      </c>
      <c r="P176" s="8" t="s">
        <v>368</v>
      </c>
    </row>
    <row r="177">
      <c r="A177" s="8" t="s">
        <v>402</v>
      </c>
      <c r="B177" s="8">
        <v>2003.0</v>
      </c>
      <c r="C177" s="8" t="s">
        <v>403</v>
      </c>
      <c r="D177" s="8" t="s">
        <v>371</v>
      </c>
      <c r="E177" s="8">
        <v>2055.0</v>
      </c>
      <c r="F177" s="8" t="s">
        <v>41</v>
      </c>
      <c r="G177" s="8" t="s">
        <v>42</v>
      </c>
      <c r="H177" s="8" t="s">
        <v>374</v>
      </c>
      <c r="I177" s="8">
        <v>1.0</v>
      </c>
      <c r="J177" s="8">
        <v>56.0</v>
      </c>
      <c r="K177" s="8">
        <v>162.0</v>
      </c>
      <c r="L177" s="8">
        <v>0.345679012</v>
      </c>
      <c r="M177" s="8">
        <v>162.0</v>
      </c>
      <c r="N177" s="8">
        <v>-0.638087403</v>
      </c>
      <c r="O177" s="8">
        <v>2.35</v>
      </c>
      <c r="P177" s="8" t="s">
        <v>368</v>
      </c>
    </row>
    <row r="178">
      <c r="A178" s="8" t="s">
        <v>402</v>
      </c>
      <c r="B178" s="8">
        <v>2003.0</v>
      </c>
      <c r="C178" s="8" t="s">
        <v>403</v>
      </c>
      <c r="D178" s="8" t="s">
        <v>371</v>
      </c>
      <c r="E178" s="8">
        <v>2055.0</v>
      </c>
      <c r="F178" s="8" t="s">
        <v>41</v>
      </c>
      <c r="G178" s="8" t="s">
        <v>42</v>
      </c>
      <c r="H178" s="8" t="s">
        <v>374</v>
      </c>
      <c r="I178" s="8">
        <v>0.9</v>
      </c>
      <c r="J178" s="8">
        <v>123.0</v>
      </c>
      <c r="K178" s="8">
        <v>162.0</v>
      </c>
      <c r="L178" s="8">
        <v>0.759259259</v>
      </c>
      <c r="M178" s="8">
        <v>162.0</v>
      </c>
      <c r="N178" s="8">
        <v>1.148622709</v>
      </c>
      <c r="O178" s="8">
        <v>2.35</v>
      </c>
      <c r="P178" s="8" t="s">
        <v>368</v>
      </c>
    </row>
    <row r="179">
      <c r="A179" s="8" t="s">
        <v>390</v>
      </c>
      <c r="B179" s="8">
        <v>2003.0</v>
      </c>
      <c r="C179" s="8" t="s">
        <v>365</v>
      </c>
      <c r="D179" s="8" t="s">
        <v>375</v>
      </c>
      <c r="E179" s="8">
        <v>2055.0</v>
      </c>
      <c r="F179" s="8" t="s">
        <v>41</v>
      </c>
      <c r="G179" s="8" t="s">
        <v>42</v>
      </c>
      <c r="H179" s="8" t="s">
        <v>367</v>
      </c>
      <c r="I179" s="8">
        <v>1.0</v>
      </c>
      <c r="J179" s="8">
        <v>0.0</v>
      </c>
      <c r="K179" s="8">
        <v>45.0</v>
      </c>
      <c r="L179" s="8">
        <v>0.0</v>
      </c>
      <c r="M179" s="8">
        <v>45.0</v>
      </c>
      <c r="N179" s="8">
        <v>-4.510859507</v>
      </c>
      <c r="O179" s="8">
        <v>2.35</v>
      </c>
      <c r="P179" s="8" t="s">
        <v>368</v>
      </c>
    </row>
    <row r="180">
      <c r="A180" s="8" t="s">
        <v>390</v>
      </c>
      <c r="B180" s="8">
        <v>2003.0</v>
      </c>
      <c r="C180" s="8" t="s">
        <v>365</v>
      </c>
      <c r="D180" s="8" t="s">
        <v>375</v>
      </c>
      <c r="E180" s="8">
        <v>2055.0</v>
      </c>
      <c r="F180" s="8" t="s">
        <v>41</v>
      </c>
      <c r="G180" s="8" t="s">
        <v>42</v>
      </c>
      <c r="H180" s="8" t="s">
        <v>367</v>
      </c>
      <c r="I180" s="8">
        <v>0.8</v>
      </c>
      <c r="J180" s="8">
        <v>2.0</v>
      </c>
      <c r="K180" s="8">
        <v>45.0</v>
      </c>
      <c r="L180" s="8">
        <v>0.044444444</v>
      </c>
      <c r="M180" s="8">
        <v>45.0</v>
      </c>
      <c r="N180" s="8">
        <v>-3.068052935</v>
      </c>
      <c r="O180" s="8">
        <v>2.35</v>
      </c>
      <c r="P180" s="8" t="s">
        <v>368</v>
      </c>
    </row>
    <row r="181">
      <c r="A181" s="8" t="s">
        <v>390</v>
      </c>
      <c r="B181" s="8">
        <v>2003.0</v>
      </c>
      <c r="C181" s="8" t="s">
        <v>365</v>
      </c>
      <c r="D181" s="8" t="s">
        <v>375</v>
      </c>
      <c r="E181" s="8">
        <v>2055.0</v>
      </c>
      <c r="F181" s="8" t="s">
        <v>41</v>
      </c>
      <c r="G181" s="8" t="s">
        <v>42</v>
      </c>
      <c r="H181" s="8" t="s">
        <v>391</v>
      </c>
      <c r="I181" s="8">
        <v>0.8</v>
      </c>
      <c r="J181" s="8">
        <v>1.0</v>
      </c>
      <c r="K181" s="8">
        <v>45.0</v>
      </c>
      <c r="L181" s="8">
        <v>0.022222222</v>
      </c>
      <c r="M181" s="8">
        <v>45.0</v>
      </c>
      <c r="N181" s="8">
        <v>-3.784189634</v>
      </c>
      <c r="O181" s="8">
        <v>2.35</v>
      </c>
      <c r="P181" s="8" t="s">
        <v>368</v>
      </c>
    </row>
    <row r="182">
      <c r="A182" s="8" t="s">
        <v>390</v>
      </c>
      <c r="B182" s="8">
        <v>2003.0</v>
      </c>
      <c r="C182" s="8" t="s">
        <v>365</v>
      </c>
      <c r="D182" s="8" t="s">
        <v>375</v>
      </c>
      <c r="E182" s="8">
        <v>2055.0</v>
      </c>
      <c r="F182" s="8" t="s">
        <v>41</v>
      </c>
      <c r="G182" s="8" t="s">
        <v>42</v>
      </c>
      <c r="H182" s="8" t="s">
        <v>374</v>
      </c>
      <c r="I182" s="8">
        <v>0.9</v>
      </c>
      <c r="J182" s="8">
        <v>1.0</v>
      </c>
      <c r="K182" s="8">
        <v>45.0</v>
      </c>
      <c r="L182" s="8">
        <v>0.022222222</v>
      </c>
      <c r="M182" s="8">
        <v>45.0</v>
      </c>
      <c r="N182" s="8">
        <v>-3.784189634</v>
      </c>
      <c r="O182" s="8">
        <v>2.35</v>
      </c>
      <c r="P182" s="8" t="s">
        <v>368</v>
      </c>
    </row>
    <row r="183">
      <c r="A183" s="8" t="s">
        <v>390</v>
      </c>
      <c r="B183" s="8">
        <v>2003.0</v>
      </c>
      <c r="C183" s="8" t="s">
        <v>365</v>
      </c>
      <c r="D183" s="8" t="s">
        <v>375</v>
      </c>
      <c r="E183" s="8">
        <v>2055.0</v>
      </c>
      <c r="F183" s="8" t="s">
        <v>41</v>
      </c>
      <c r="G183" s="8" t="s">
        <v>42</v>
      </c>
      <c r="H183" s="8" t="s">
        <v>374</v>
      </c>
      <c r="I183" s="8">
        <v>0.8</v>
      </c>
      <c r="J183" s="8">
        <v>3.0</v>
      </c>
      <c r="K183" s="8">
        <v>45.0</v>
      </c>
      <c r="L183" s="8">
        <v>0.066666667</v>
      </c>
      <c r="M183" s="8">
        <v>45.0</v>
      </c>
      <c r="N183" s="8">
        <v>-2.63905733</v>
      </c>
      <c r="O183" s="8">
        <v>2.35</v>
      </c>
      <c r="P183" s="8" t="s">
        <v>368</v>
      </c>
    </row>
    <row r="184">
      <c r="A184" s="8" t="s">
        <v>404</v>
      </c>
      <c r="B184" s="8">
        <v>2003.0</v>
      </c>
      <c r="C184" s="8" t="s">
        <v>32</v>
      </c>
      <c r="D184" s="8" t="s">
        <v>371</v>
      </c>
      <c r="E184" s="8">
        <v>2050.0</v>
      </c>
      <c r="F184" s="8" t="s">
        <v>34</v>
      </c>
      <c r="G184" s="8" t="s">
        <v>42</v>
      </c>
      <c r="H184" s="8" t="s">
        <v>374</v>
      </c>
      <c r="I184" s="8">
        <v>0.9</v>
      </c>
      <c r="J184" s="8">
        <v>7.0</v>
      </c>
      <c r="K184" s="8">
        <v>85.0</v>
      </c>
      <c r="L184" s="8">
        <v>0.082352941</v>
      </c>
      <c r="M184" s="8">
        <v>85.0</v>
      </c>
      <c r="N184" s="8">
        <v>-2.410798678</v>
      </c>
      <c r="O184" s="8">
        <v>1.1</v>
      </c>
      <c r="P184" s="8" t="s">
        <v>405</v>
      </c>
    </row>
    <row r="185">
      <c r="A185" s="8" t="s">
        <v>404</v>
      </c>
      <c r="B185" s="8">
        <v>2003.0</v>
      </c>
      <c r="C185" s="8" t="s">
        <v>32</v>
      </c>
      <c r="D185" s="8" t="s">
        <v>371</v>
      </c>
      <c r="E185" s="8">
        <v>2050.0</v>
      </c>
      <c r="F185" s="8" t="s">
        <v>34</v>
      </c>
      <c r="G185" s="8" t="s">
        <v>42</v>
      </c>
      <c r="H185" s="8" t="s">
        <v>374</v>
      </c>
      <c r="I185" s="8">
        <v>0.8</v>
      </c>
      <c r="J185" s="8">
        <v>8.0</v>
      </c>
      <c r="K185" s="8">
        <v>85.0</v>
      </c>
      <c r="L185" s="8">
        <v>0.094117647</v>
      </c>
      <c r="M185" s="8">
        <v>85.0</v>
      </c>
      <c r="N185" s="8">
        <v>-2.26436388</v>
      </c>
      <c r="O185" s="8">
        <v>1.1</v>
      </c>
      <c r="P185" s="8" t="s">
        <v>405</v>
      </c>
    </row>
    <row r="186">
      <c r="A186" s="8" t="s">
        <v>404</v>
      </c>
      <c r="B186" s="8">
        <v>2003.0</v>
      </c>
      <c r="C186" s="8" t="s">
        <v>32</v>
      </c>
      <c r="D186" s="8" t="s">
        <v>371</v>
      </c>
      <c r="E186" s="8">
        <v>2050.0</v>
      </c>
      <c r="F186" s="8" t="s">
        <v>34</v>
      </c>
      <c r="G186" s="8" t="s">
        <v>42</v>
      </c>
      <c r="H186" s="8" t="s">
        <v>374</v>
      </c>
      <c r="I186" s="8">
        <v>0.9</v>
      </c>
      <c r="J186" s="8">
        <v>39.0</v>
      </c>
      <c r="K186" s="8">
        <v>85.0</v>
      </c>
      <c r="L186" s="8">
        <v>0.458823529</v>
      </c>
      <c r="M186" s="8">
        <v>85.0</v>
      </c>
      <c r="N186" s="8">
        <v>-0.16507975</v>
      </c>
      <c r="O186" s="8">
        <v>2.3</v>
      </c>
      <c r="P186" s="8" t="s">
        <v>405</v>
      </c>
    </row>
    <row r="187">
      <c r="A187" s="8" t="s">
        <v>404</v>
      </c>
      <c r="B187" s="8">
        <v>2003.0</v>
      </c>
      <c r="C187" s="8" t="s">
        <v>32</v>
      </c>
      <c r="D187" s="8" t="s">
        <v>371</v>
      </c>
      <c r="E187" s="8">
        <v>2050.0</v>
      </c>
      <c r="F187" s="8" t="s">
        <v>34</v>
      </c>
      <c r="G187" s="8" t="s">
        <v>42</v>
      </c>
      <c r="H187" s="8" t="s">
        <v>374</v>
      </c>
      <c r="I187" s="8">
        <v>0.8</v>
      </c>
      <c r="J187" s="8">
        <v>45.0</v>
      </c>
      <c r="K187" s="8">
        <v>85.0</v>
      </c>
      <c r="L187" s="8">
        <v>0.529411765</v>
      </c>
      <c r="M187" s="8">
        <v>85.0</v>
      </c>
      <c r="N187" s="8">
        <v>0.117783036</v>
      </c>
      <c r="O187" s="8">
        <v>2.3</v>
      </c>
      <c r="P187" s="8" t="s">
        <v>405</v>
      </c>
    </row>
    <row r="188">
      <c r="A188" s="8" t="s">
        <v>406</v>
      </c>
      <c r="B188" s="8">
        <v>2003.0</v>
      </c>
      <c r="C188" s="8" t="s">
        <v>32</v>
      </c>
      <c r="D188" s="8" t="s">
        <v>371</v>
      </c>
      <c r="E188" s="8">
        <v>2055.0</v>
      </c>
      <c r="F188" s="8" t="s">
        <v>34</v>
      </c>
      <c r="G188" s="8" t="s">
        <v>42</v>
      </c>
      <c r="H188" s="8" t="s">
        <v>374</v>
      </c>
      <c r="I188" s="8">
        <v>1.0</v>
      </c>
      <c r="J188" s="8">
        <v>2.0</v>
      </c>
      <c r="K188" s="8">
        <v>36.0</v>
      </c>
      <c r="L188" s="8">
        <v>0.055555556</v>
      </c>
      <c r="M188" s="8">
        <v>36.0</v>
      </c>
      <c r="N188" s="8">
        <v>-2.833213344</v>
      </c>
      <c r="O188" s="8">
        <v>2.45</v>
      </c>
      <c r="P188" s="8" t="s">
        <v>393</v>
      </c>
    </row>
    <row r="189">
      <c r="A189" s="8" t="s">
        <v>406</v>
      </c>
      <c r="B189" s="8">
        <v>2003.0</v>
      </c>
      <c r="C189" s="8" t="s">
        <v>32</v>
      </c>
      <c r="D189" s="8" t="s">
        <v>377</v>
      </c>
      <c r="E189" s="8">
        <v>2055.0</v>
      </c>
      <c r="F189" s="8" t="s">
        <v>34</v>
      </c>
      <c r="G189" s="8" t="s">
        <v>42</v>
      </c>
      <c r="H189" s="8" t="s">
        <v>374</v>
      </c>
      <c r="I189" s="8">
        <v>1.0</v>
      </c>
      <c r="J189" s="8">
        <v>0.0</v>
      </c>
      <c r="K189" s="8">
        <v>2.0</v>
      </c>
      <c r="L189" s="8">
        <v>0.0</v>
      </c>
      <c r="M189" s="8">
        <v>2.0</v>
      </c>
      <c r="N189" s="8">
        <v>-1.609437912</v>
      </c>
      <c r="O189" s="8">
        <v>2.45</v>
      </c>
      <c r="P189" s="8" t="s">
        <v>393</v>
      </c>
    </row>
    <row r="190">
      <c r="A190" s="8" t="s">
        <v>406</v>
      </c>
      <c r="B190" s="8">
        <v>2003.0</v>
      </c>
      <c r="C190" s="8" t="s">
        <v>32</v>
      </c>
      <c r="D190" s="8" t="s">
        <v>370</v>
      </c>
      <c r="E190" s="8">
        <v>2055.0</v>
      </c>
      <c r="F190" s="8" t="s">
        <v>34</v>
      </c>
      <c r="G190" s="8" t="s">
        <v>42</v>
      </c>
      <c r="H190" s="8" t="s">
        <v>374</v>
      </c>
      <c r="I190" s="8">
        <v>1.0</v>
      </c>
      <c r="J190" s="8">
        <v>0.0</v>
      </c>
      <c r="K190" s="8">
        <v>4.0</v>
      </c>
      <c r="L190" s="8">
        <v>0.0</v>
      </c>
      <c r="M190" s="8">
        <v>4.0</v>
      </c>
      <c r="N190" s="8">
        <v>-2.197224577</v>
      </c>
      <c r="O190" s="8">
        <v>2.45</v>
      </c>
      <c r="P190" s="8" t="s">
        <v>393</v>
      </c>
    </row>
    <row r="191">
      <c r="A191" s="8" t="s">
        <v>406</v>
      </c>
      <c r="B191" s="8">
        <v>2003.0</v>
      </c>
      <c r="C191" s="8" t="s">
        <v>32</v>
      </c>
      <c r="D191" s="8" t="s">
        <v>375</v>
      </c>
      <c r="E191" s="8">
        <v>2055.0</v>
      </c>
      <c r="F191" s="8" t="s">
        <v>34</v>
      </c>
      <c r="G191" s="8" t="s">
        <v>42</v>
      </c>
      <c r="H191" s="8" t="s">
        <v>374</v>
      </c>
      <c r="I191" s="8">
        <v>1.0</v>
      </c>
      <c r="J191" s="8">
        <v>0.0</v>
      </c>
      <c r="K191" s="8">
        <v>8.0</v>
      </c>
      <c r="L191" s="8">
        <v>0.0</v>
      </c>
      <c r="M191" s="8">
        <v>8.0</v>
      </c>
      <c r="N191" s="8">
        <v>-2.833213344</v>
      </c>
      <c r="O191" s="8">
        <v>2.45</v>
      </c>
      <c r="P191" s="8" t="s">
        <v>393</v>
      </c>
    </row>
    <row r="192">
      <c r="A192" s="8" t="s">
        <v>407</v>
      </c>
      <c r="B192" s="8">
        <v>2003.0</v>
      </c>
      <c r="C192" s="8" t="s">
        <v>32</v>
      </c>
      <c r="D192" s="8" t="s">
        <v>375</v>
      </c>
      <c r="E192" s="8">
        <v>2025.0</v>
      </c>
      <c r="F192" s="8" t="s">
        <v>34</v>
      </c>
      <c r="G192" s="8" t="s">
        <v>42</v>
      </c>
      <c r="H192" s="8" t="s">
        <v>374</v>
      </c>
      <c r="I192" s="8">
        <v>1.0</v>
      </c>
      <c r="J192" s="8">
        <v>0.0</v>
      </c>
      <c r="K192" s="8">
        <v>8.0</v>
      </c>
      <c r="L192" s="8">
        <v>0.0</v>
      </c>
      <c r="M192" s="8">
        <v>8.0</v>
      </c>
      <c r="N192" s="8">
        <v>-2.833213344</v>
      </c>
      <c r="O192" s="8">
        <v>0.8</v>
      </c>
      <c r="P192" s="8" t="s">
        <v>393</v>
      </c>
    </row>
    <row r="193">
      <c r="A193" s="8" t="s">
        <v>407</v>
      </c>
      <c r="B193" s="8">
        <v>2003.0</v>
      </c>
      <c r="C193" s="8" t="s">
        <v>32</v>
      </c>
      <c r="D193" s="8" t="s">
        <v>375</v>
      </c>
      <c r="E193" s="8">
        <v>2025.0</v>
      </c>
      <c r="F193" s="8" t="s">
        <v>34</v>
      </c>
      <c r="G193" s="8" t="s">
        <v>42</v>
      </c>
      <c r="H193" s="8" t="s">
        <v>374</v>
      </c>
      <c r="I193" s="8">
        <v>0.95</v>
      </c>
      <c r="J193" s="8">
        <v>0.0</v>
      </c>
      <c r="K193" s="8">
        <v>8.0</v>
      </c>
      <c r="L193" s="8">
        <v>0.0</v>
      </c>
      <c r="M193" s="8">
        <v>8.0</v>
      </c>
      <c r="N193" s="8">
        <v>-2.833213344</v>
      </c>
      <c r="O193" s="8">
        <v>0.8</v>
      </c>
      <c r="P193" s="8" t="s">
        <v>393</v>
      </c>
    </row>
    <row r="194">
      <c r="A194" s="8" t="s">
        <v>407</v>
      </c>
      <c r="B194" s="8">
        <v>2003.0</v>
      </c>
      <c r="C194" s="8" t="s">
        <v>32</v>
      </c>
      <c r="D194" s="8" t="s">
        <v>375</v>
      </c>
      <c r="E194" s="8">
        <v>2025.0</v>
      </c>
      <c r="F194" s="8" t="s">
        <v>34</v>
      </c>
      <c r="G194" s="8" t="s">
        <v>42</v>
      </c>
      <c r="H194" s="8" t="s">
        <v>374</v>
      </c>
      <c r="I194" s="8">
        <v>0.8</v>
      </c>
      <c r="J194" s="8">
        <v>0.0</v>
      </c>
      <c r="K194" s="8">
        <v>8.0</v>
      </c>
      <c r="L194" s="8">
        <v>0.0</v>
      </c>
      <c r="M194" s="8">
        <v>8.0</v>
      </c>
      <c r="N194" s="8">
        <v>-2.833213344</v>
      </c>
      <c r="O194" s="8">
        <v>0.8</v>
      </c>
      <c r="P194" s="8" t="s">
        <v>393</v>
      </c>
    </row>
    <row r="195">
      <c r="A195" s="8" t="s">
        <v>407</v>
      </c>
      <c r="B195" s="8">
        <v>2003.0</v>
      </c>
      <c r="C195" s="8" t="s">
        <v>32</v>
      </c>
      <c r="D195" s="8" t="s">
        <v>375</v>
      </c>
      <c r="E195" s="8">
        <v>2055.0</v>
      </c>
      <c r="F195" s="8" t="s">
        <v>34</v>
      </c>
      <c r="G195" s="8" t="s">
        <v>42</v>
      </c>
      <c r="H195" s="8" t="s">
        <v>374</v>
      </c>
      <c r="I195" s="8">
        <v>1.0</v>
      </c>
      <c r="J195" s="8">
        <v>0.0</v>
      </c>
      <c r="K195" s="8">
        <v>8.0</v>
      </c>
      <c r="L195" s="8">
        <v>0.0</v>
      </c>
      <c r="M195" s="8">
        <v>8.0</v>
      </c>
      <c r="N195" s="8">
        <v>-2.833213344</v>
      </c>
      <c r="O195" s="8">
        <v>1.1</v>
      </c>
      <c r="P195" s="8" t="s">
        <v>393</v>
      </c>
    </row>
    <row r="196">
      <c r="A196" s="8" t="s">
        <v>407</v>
      </c>
      <c r="B196" s="8">
        <v>2003.0</v>
      </c>
      <c r="C196" s="8" t="s">
        <v>32</v>
      </c>
      <c r="D196" s="8" t="s">
        <v>375</v>
      </c>
      <c r="E196" s="8">
        <v>2055.0</v>
      </c>
      <c r="F196" s="8" t="s">
        <v>34</v>
      </c>
      <c r="G196" s="8" t="s">
        <v>42</v>
      </c>
      <c r="H196" s="8" t="s">
        <v>374</v>
      </c>
      <c r="I196" s="8">
        <v>0.95</v>
      </c>
      <c r="J196" s="8">
        <v>0.0</v>
      </c>
      <c r="K196" s="8">
        <v>8.0</v>
      </c>
      <c r="L196" s="8">
        <v>0.0</v>
      </c>
      <c r="M196" s="8">
        <v>8.0</v>
      </c>
      <c r="N196" s="8">
        <v>-2.833213344</v>
      </c>
      <c r="O196" s="8">
        <v>1.1</v>
      </c>
      <c r="P196" s="8" t="s">
        <v>393</v>
      </c>
    </row>
    <row r="197">
      <c r="A197" s="8" t="s">
        <v>407</v>
      </c>
      <c r="B197" s="8">
        <v>2003.0</v>
      </c>
      <c r="C197" s="8" t="s">
        <v>32</v>
      </c>
      <c r="D197" s="8" t="s">
        <v>375</v>
      </c>
      <c r="E197" s="8">
        <v>2055.0</v>
      </c>
      <c r="F197" s="8" t="s">
        <v>34</v>
      </c>
      <c r="G197" s="8" t="s">
        <v>42</v>
      </c>
      <c r="H197" s="8" t="s">
        <v>374</v>
      </c>
      <c r="I197" s="8">
        <v>0.8</v>
      </c>
      <c r="J197" s="8">
        <v>0.0</v>
      </c>
      <c r="K197" s="8">
        <v>8.0</v>
      </c>
      <c r="L197" s="8">
        <v>0.0</v>
      </c>
      <c r="M197" s="8">
        <v>8.0</v>
      </c>
      <c r="N197" s="8">
        <v>-2.833213344</v>
      </c>
      <c r="O197" s="8">
        <v>1.1</v>
      </c>
      <c r="P197" s="8" t="s">
        <v>393</v>
      </c>
    </row>
    <row r="198">
      <c r="A198" s="8" t="s">
        <v>407</v>
      </c>
      <c r="B198" s="8">
        <v>2003.0</v>
      </c>
      <c r="C198" s="8" t="s">
        <v>32</v>
      </c>
      <c r="D198" s="8" t="s">
        <v>375</v>
      </c>
      <c r="E198" s="8">
        <v>2025.0</v>
      </c>
      <c r="F198" s="8" t="s">
        <v>34</v>
      </c>
      <c r="G198" s="8" t="s">
        <v>42</v>
      </c>
      <c r="H198" s="8" t="s">
        <v>374</v>
      </c>
      <c r="I198" s="8">
        <v>1.0</v>
      </c>
      <c r="J198" s="8">
        <v>0.0</v>
      </c>
      <c r="K198" s="8">
        <v>8.0</v>
      </c>
      <c r="L198" s="8">
        <v>0.0</v>
      </c>
      <c r="M198" s="8">
        <v>8.0</v>
      </c>
      <c r="N198" s="8">
        <v>-2.833213344</v>
      </c>
      <c r="O198" s="8">
        <v>1.55</v>
      </c>
      <c r="P198" s="8" t="s">
        <v>393</v>
      </c>
    </row>
    <row r="199">
      <c r="A199" s="8" t="s">
        <v>407</v>
      </c>
      <c r="B199" s="8">
        <v>2003.0</v>
      </c>
      <c r="C199" s="8" t="s">
        <v>32</v>
      </c>
      <c r="D199" s="8" t="s">
        <v>375</v>
      </c>
      <c r="E199" s="8">
        <v>2025.0</v>
      </c>
      <c r="F199" s="8" t="s">
        <v>34</v>
      </c>
      <c r="G199" s="8" t="s">
        <v>42</v>
      </c>
      <c r="H199" s="8" t="s">
        <v>374</v>
      </c>
      <c r="I199" s="8">
        <v>0.95</v>
      </c>
      <c r="J199" s="8">
        <v>0.0</v>
      </c>
      <c r="K199" s="8">
        <v>8.0</v>
      </c>
      <c r="L199" s="8">
        <v>0.0</v>
      </c>
      <c r="M199" s="8">
        <v>8.0</v>
      </c>
      <c r="N199" s="8">
        <v>-2.833213344</v>
      </c>
      <c r="O199" s="8">
        <v>1.55</v>
      </c>
      <c r="P199" s="8" t="s">
        <v>393</v>
      </c>
    </row>
    <row r="200">
      <c r="A200" s="8" t="s">
        <v>407</v>
      </c>
      <c r="B200" s="8">
        <v>2003.0</v>
      </c>
      <c r="C200" s="8" t="s">
        <v>32</v>
      </c>
      <c r="D200" s="8" t="s">
        <v>375</v>
      </c>
      <c r="E200" s="8">
        <v>2025.0</v>
      </c>
      <c r="F200" s="8" t="s">
        <v>34</v>
      </c>
      <c r="G200" s="8" t="s">
        <v>42</v>
      </c>
      <c r="H200" s="8" t="s">
        <v>374</v>
      </c>
      <c r="I200" s="8">
        <v>0.8</v>
      </c>
      <c r="J200" s="8">
        <v>1.0</v>
      </c>
      <c r="K200" s="8">
        <v>8.0</v>
      </c>
      <c r="L200" s="8">
        <v>0.125</v>
      </c>
      <c r="M200" s="8">
        <v>8.0</v>
      </c>
      <c r="N200" s="8">
        <v>-1.945910149</v>
      </c>
      <c r="O200" s="8">
        <v>1.55</v>
      </c>
      <c r="P200" s="8" t="s">
        <v>393</v>
      </c>
    </row>
    <row r="201">
      <c r="A201" s="8" t="s">
        <v>407</v>
      </c>
      <c r="B201" s="8">
        <v>2003.0</v>
      </c>
      <c r="C201" s="8" t="s">
        <v>32</v>
      </c>
      <c r="D201" s="8" t="s">
        <v>375</v>
      </c>
      <c r="E201" s="8">
        <v>2055.0</v>
      </c>
      <c r="F201" s="8" t="s">
        <v>34</v>
      </c>
      <c r="G201" s="8" t="s">
        <v>42</v>
      </c>
      <c r="H201" s="8" t="s">
        <v>374</v>
      </c>
      <c r="I201" s="8">
        <v>1.0</v>
      </c>
      <c r="J201" s="8">
        <v>0.0</v>
      </c>
      <c r="K201" s="8">
        <v>8.0</v>
      </c>
      <c r="L201" s="8">
        <v>0.0</v>
      </c>
      <c r="M201" s="8">
        <v>8.0</v>
      </c>
      <c r="N201" s="8">
        <v>-2.833213344</v>
      </c>
      <c r="O201" s="8">
        <v>2.45</v>
      </c>
      <c r="P201" s="8" t="s">
        <v>393</v>
      </c>
    </row>
    <row r="202">
      <c r="A202" s="8" t="s">
        <v>407</v>
      </c>
      <c r="B202" s="8">
        <v>2003.0</v>
      </c>
      <c r="C202" s="8" t="s">
        <v>32</v>
      </c>
      <c r="D202" s="8" t="s">
        <v>375</v>
      </c>
      <c r="E202" s="8">
        <v>2055.0</v>
      </c>
      <c r="F202" s="8" t="s">
        <v>34</v>
      </c>
      <c r="G202" s="8" t="s">
        <v>42</v>
      </c>
      <c r="H202" s="8" t="s">
        <v>374</v>
      </c>
      <c r="I202" s="8">
        <v>0.95</v>
      </c>
      <c r="J202" s="8">
        <v>1.0</v>
      </c>
      <c r="K202" s="8">
        <v>8.0</v>
      </c>
      <c r="L202" s="8">
        <v>0.125</v>
      </c>
      <c r="M202" s="8">
        <v>8.0</v>
      </c>
      <c r="N202" s="8">
        <v>-1.945910149</v>
      </c>
      <c r="O202" s="8">
        <v>2.45</v>
      </c>
      <c r="P202" s="8" t="s">
        <v>393</v>
      </c>
    </row>
    <row r="203">
      <c r="A203" s="8" t="s">
        <v>407</v>
      </c>
      <c r="B203" s="8">
        <v>2003.0</v>
      </c>
      <c r="C203" s="8" t="s">
        <v>32</v>
      </c>
      <c r="D203" s="8" t="s">
        <v>375</v>
      </c>
      <c r="E203" s="8">
        <v>2055.0</v>
      </c>
      <c r="F203" s="8" t="s">
        <v>34</v>
      </c>
      <c r="G203" s="8" t="s">
        <v>42</v>
      </c>
      <c r="H203" s="8" t="s">
        <v>374</v>
      </c>
      <c r="I203" s="8">
        <v>0.8</v>
      </c>
      <c r="J203" s="8">
        <v>1.0</v>
      </c>
      <c r="K203" s="8">
        <v>8.0</v>
      </c>
      <c r="L203" s="8">
        <v>0.125</v>
      </c>
      <c r="M203" s="8">
        <v>8.0</v>
      </c>
      <c r="N203" s="8">
        <v>-1.945910149</v>
      </c>
      <c r="O203" s="8">
        <v>2.45</v>
      </c>
      <c r="P203" s="8" t="s">
        <v>393</v>
      </c>
    </row>
    <row r="204">
      <c r="A204" s="8" t="s">
        <v>408</v>
      </c>
      <c r="B204" s="8">
        <v>2003.0</v>
      </c>
      <c r="C204" s="8" t="s">
        <v>365</v>
      </c>
      <c r="D204" s="8" t="s">
        <v>381</v>
      </c>
      <c r="E204" s="8">
        <v>2100.0</v>
      </c>
      <c r="F204" s="8" t="s">
        <v>34</v>
      </c>
      <c r="G204" s="8" t="s">
        <v>382</v>
      </c>
      <c r="H204" s="8" t="s">
        <v>374</v>
      </c>
      <c r="I204" s="8">
        <v>1.0</v>
      </c>
      <c r="J204" s="8">
        <v>0.0</v>
      </c>
      <c r="K204" s="8">
        <v>57.0</v>
      </c>
      <c r="L204" s="8">
        <v>0.0</v>
      </c>
      <c r="M204" s="8">
        <v>57.0</v>
      </c>
      <c r="N204" s="8">
        <v>-4.744932128</v>
      </c>
      <c r="O204" s="8">
        <v>3.0</v>
      </c>
      <c r="P204" s="8" t="s">
        <v>368</v>
      </c>
    </row>
    <row r="205">
      <c r="A205" s="8" t="s">
        <v>408</v>
      </c>
      <c r="B205" s="8">
        <v>2003.0</v>
      </c>
      <c r="C205" s="8" t="s">
        <v>365</v>
      </c>
      <c r="D205" s="8" t="s">
        <v>381</v>
      </c>
      <c r="E205" s="8">
        <v>2100.0</v>
      </c>
      <c r="F205" s="8" t="s">
        <v>34</v>
      </c>
      <c r="G205" s="8" t="s">
        <v>382</v>
      </c>
      <c r="H205" s="8" t="s">
        <v>374</v>
      </c>
      <c r="I205" s="8">
        <v>0.95</v>
      </c>
      <c r="J205" s="8">
        <v>0.0</v>
      </c>
      <c r="K205" s="8">
        <v>57.0</v>
      </c>
      <c r="L205" s="8">
        <v>0.0</v>
      </c>
      <c r="M205" s="8">
        <v>57.0</v>
      </c>
      <c r="N205" s="8">
        <v>-4.744932128</v>
      </c>
      <c r="O205" s="8">
        <v>3.0</v>
      </c>
      <c r="P205" s="8" t="s">
        <v>368</v>
      </c>
    </row>
    <row r="206">
      <c r="A206" s="8" t="s">
        <v>408</v>
      </c>
      <c r="B206" s="8">
        <v>2003.0</v>
      </c>
      <c r="C206" s="8" t="s">
        <v>365</v>
      </c>
      <c r="D206" s="8" t="s">
        <v>381</v>
      </c>
      <c r="E206" s="8">
        <v>2100.0</v>
      </c>
      <c r="F206" s="8" t="s">
        <v>34</v>
      </c>
      <c r="G206" s="8" t="s">
        <v>382</v>
      </c>
      <c r="H206" s="8" t="s">
        <v>374</v>
      </c>
      <c r="I206" s="8">
        <v>0.8</v>
      </c>
      <c r="J206" s="8">
        <v>0.0</v>
      </c>
      <c r="K206" s="8">
        <v>57.0</v>
      </c>
      <c r="L206" s="8">
        <v>0.0</v>
      </c>
      <c r="M206" s="8">
        <v>57.0</v>
      </c>
      <c r="N206" s="8">
        <v>-4.744932128</v>
      </c>
      <c r="O206" s="8">
        <v>3.0</v>
      </c>
      <c r="P206" s="8" t="s">
        <v>368</v>
      </c>
    </row>
    <row r="207">
      <c r="A207" s="8" t="s">
        <v>409</v>
      </c>
      <c r="B207" s="8">
        <v>2003.0</v>
      </c>
      <c r="C207" s="8" t="s">
        <v>373</v>
      </c>
      <c r="D207" s="8" t="s">
        <v>371</v>
      </c>
      <c r="E207" s="8">
        <v>2100.0</v>
      </c>
      <c r="F207" s="8" t="s">
        <v>41</v>
      </c>
      <c r="G207" s="8" t="s">
        <v>119</v>
      </c>
      <c r="H207" s="8" t="s">
        <v>374</v>
      </c>
      <c r="I207" s="8">
        <v>1.0</v>
      </c>
      <c r="J207" s="8">
        <v>312.0</v>
      </c>
      <c r="K207" s="8">
        <v>613.0</v>
      </c>
      <c r="L207" s="8">
        <v>0.508972268</v>
      </c>
      <c r="M207" s="8">
        <v>6.0</v>
      </c>
      <c r="N207" s="8">
        <v>0.035892923</v>
      </c>
      <c r="O207" s="8">
        <v>3.6</v>
      </c>
      <c r="P207" s="8" t="s">
        <v>410</v>
      </c>
    </row>
    <row r="208">
      <c r="A208" s="8" t="s">
        <v>411</v>
      </c>
      <c r="B208" s="8">
        <v>2004.0</v>
      </c>
      <c r="C208" s="8" t="s">
        <v>365</v>
      </c>
      <c r="D208" s="8" t="s">
        <v>366</v>
      </c>
      <c r="E208" s="8">
        <v>2050.0</v>
      </c>
      <c r="F208" s="8" t="s">
        <v>41</v>
      </c>
      <c r="G208" s="8" t="s">
        <v>119</v>
      </c>
      <c r="H208" s="8" t="s">
        <v>374</v>
      </c>
      <c r="I208" s="8">
        <v>1.0</v>
      </c>
      <c r="J208" s="8">
        <v>5.0</v>
      </c>
      <c r="K208" s="8">
        <v>96.0</v>
      </c>
      <c r="L208" s="8">
        <v>0.05</v>
      </c>
      <c r="M208" s="8">
        <v>96.0</v>
      </c>
      <c r="N208" s="8">
        <v>-2.901421594</v>
      </c>
      <c r="O208" s="8">
        <v>1.65</v>
      </c>
      <c r="P208" s="8" t="s">
        <v>368</v>
      </c>
    </row>
    <row r="209">
      <c r="A209" s="8" t="s">
        <v>411</v>
      </c>
      <c r="B209" s="8">
        <v>2004.0</v>
      </c>
      <c r="C209" s="8" t="s">
        <v>365</v>
      </c>
      <c r="D209" s="8" t="s">
        <v>366</v>
      </c>
      <c r="E209" s="8">
        <v>2050.0</v>
      </c>
      <c r="F209" s="8" t="s">
        <v>41</v>
      </c>
      <c r="G209" s="8" t="s">
        <v>119</v>
      </c>
      <c r="H209" s="8" t="s">
        <v>374</v>
      </c>
      <c r="I209" s="8">
        <v>1.0</v>
      </c>
      <c r="J209" s="8">
        <v>7.0</v>
      </c>
      <c r="K209" s="8">
        <v>96.0</v>
      </c>
      <c r="L209" s="8">
        <v>0.07</v>
      </c>
      <c r="M209" s="8">
        <v>96.0</v>
      </c>
      <c r="N209" s="8">
        <v>-2.542726221</v>
      </c>
      <c r="O209" s="8">
        <v>2.35</v>
      </c>
      <c r="P209" s="8" t="s">
        <v>368</v>
      </c>
    </row>
    <row r="210">
      <c r="A210" s="8" t="s">
        <v>411</v>
      </c>
      <c r="B210" s="8">
        <v>2004.0</v>
      </c>
      <c r="C210" s="8" t="s">
        <v>365</v>
      </c>
      <c r="D210" s="8" t="s">
        <v>366</v>
      </c>
      <c r="E210" s="8">
        <v>2050.0</v>
      </c>
      <c r="F210" s="8" t="s">
        <v>41</v>
      </c>
      <c r="G210" s="8" t="s">
        <v>119</v>
      </c>
      <c r="H210" s="8" t="s">
        <v>367</v>
      </c>
      <c r="I210" s="8">
        <v>1.0</v>
      </c>
      <c r="J210" s="8">
        <v>17.0</v>
      </c>
      <c r="K210" s="8">
        <v>96.0</v>
      </c>
      <c r="L210" s="8">
        <v>0.18</v>
      </c>
      <c r="M210" s="8">
        <v>96.0</v>
      </c>
      <c r="N210" s="8">
        <v>-1.536234508</v>
      </c>
      <c r="O210" s="8">
        <v>1.65</v>
      </c>
      <c r="P210" s="8" t="s">
        <v>368</v>
      </c>
    </row>
    <row r="211">
      <c r="A211" s="8" t="s">
        <v>411</v>
      </c>
      <c r="B211" s="8">
        <v>2004.0</v>
      </c>
      <c r="C211" s="8" t="s">
        <v>365</v>
      </c>
      <c r="D211" s="8" t="s">
        <v>366</v>
      </c>
      <c r="E211" s="8">
        <v>2050.0</v>
      </c>
      <c r="F211" s="8" t="s">
        <v>41</v>
      </c>
      <c r="G211" s="8" t="s">
        <v>119</v>
      </c>
      <c r="H211" s="8" t="s">
        <v>367</v>
      </c>
      <c r="I211" s="8">
        <v>1.0</v>
      </c>
      <c r="J211" s="8">
        <v>19.0</v>
      </c>
      <c r="K211" s="8">
        <v>96.0</v>
      </c>
      <c r="L211" s="8">
        <v>0.2</v>
      </c>
      <c r="M211" s="8">
        <v>96.0</v>
      </c>
      <c r="N211" s="8">
        <v>-1.399366443</v>
      </c>
      <c r="O211" s="8">
        <v>2.35</v>
      </c>
      <c r="P211" s="8" t="s">
        <v>368</v>
      </c>
    </row>
    <row r="212">
      <c r="A212" s="8" t="s">
        <v>411</v>
      </c>
      <c r="B212" s="8">
        <v>2004.0</v>
      </c>
      <c r="C212" s="8" t="s">
        <v>373</v>
      </c>
      <c r="D212" s="8" t="s">
        <v>366</v>
      </c>
      <c r="E212" s="8">
        <v>2050.0</v>
      </c>
      <c r="F212" s="8" t="s">
        <v>41</v>
      </c>
      <c r="G212" s="8" t="s">
        <v>119</v>
      </c>
      <c r="H212" s="8" t="s">
        <v>374</v>
      </c>
      <c r="I212" s="8">
        <v>1.0</v>
      </c>
      <c r="J212" s="8">
        <v>2.0</v>
      </c>
      <c r="K212" s="8">
        <v>11.0</v>
      </c>
      <c r="L212" s="8">
        <v>0.15</v>
      </c>
      <c r="M212" s="8">
        <v>11.0</v>
      </c>
      <c r="N212" s="8">
        <v>-1.504077397</v>
      </c>
      <c r="O212" s="8">
        <v>1.6</v>
      </c>
      <c r="P212" s="8" t="s">
        <v>71</v>
      </c>
    </row>
    <row r="213">
      <c r="A213" s="8" t="s">
        <v>411</v>
      </c>
      <c r="B213" s="8">
        <v>2004.0</v>
      </c>
      <c r="C213" s="8" t="s">
        <v>373</v>
      </c>
      <c r="D213" s="8" t="s">
        <v>366</v>
      </c>
      <c r="E213" s="8">
        <v>2050.0</v>
      </c>
      <c r="F213" s="8" t="s">
        <v>41</v>
      </c>
      <c r="G213" s="8" t="s">
        <v>119</v>
      </c>
      <c r="H213" s="8" t="s">
        <v>374</v>
      </c>
      <c r="I213" s="8">
        <v>1.0</v>
      </c>
      <c r="J213" s="8">
        <v>9.0</v>
      </c>
      <c r="K213" s="8">
        <v>11.0</v>
      </c>
      <c r="L213" s="8">
        <v>0.8</v>
      </c>
      <c r="M213" s="8">
        <v>11.0</v>
      </c>
      <c r="N213" s="8">
        <v>1.504077397</v>
      </c>
      <c r="O213" s="8">
        <v>4.1</v>
      </c>
      <c r="P213" s="8" t="s">
        <v>71</v>
      </c>
    </row>
    <row r="214">
      <c r="A214" s="8" t="s">
        <v>411</v>
      </c>
      <c r="B214" s="8">
        <v>2004.0</v>
      </c>
      <c r="C214" s="8" t="s">
        <v>39</v>
      </c>
      <c r="D214" s="8" t="s">
        <v>366</v>
      </c>
      <c r="E214" s="8">
        <v>2050.0</v>
      </c>
      <c r="F214" s="8" t="s">
        <v>41</v>
      </c>
      <c r="G214" s="8" t="s">
        <v>119</v>
      </c>
      <c r="H214" s="8" t="s">
        <v>374</v>
      </c>
      <c r="I214" s="8">
        <v>1.0</v>
      </c>
      <c r="J214" s="8">
        <v>2.0</v>
      </c>
      <c r="K214" s="8">
        <v>5.0</v>
      </c>
      <c r="L214" s="8">
        <v>0.46</v>
      </c>
      <c r="M214" s="8">
        <v>5.0</v>
      </c>
      <c r="N214" s="8">
        <v>-0.405465108</v>
      </c>
      <c r="O214" s="8">
        <v>2.3</v>
      </c>
      <c r="P214" s="8" t="s">
        <v>368</v>
      </c>
    </row>
    <row r="215">
      <c r="A215" s="8" t="s">
        <v>411</v>
      </c>
      <c r="B215" s="8">
        <v>2004.0</v>
      </c>
      <c r="C215" s="8" t="s">
        <v>39</v>
      </c>
      <c r="D215" s="8" t="s">
        <v>366</v>
      </c>
      <c r="E215" s="8">
        <v>2050.0</v>
      </c>
      <c r="F215" s="8" t="s">
        <v>41</v>
      </c>
      <c r="G215" s="8" t="s">
        <v>119</v>
      </c>
      <c r="H215" s="8" t="s">
        <v>367</v>
      </c>
      <c r="I215" s="8">
        <v>1.0</v>
      </c>
      <c r="J215" s="8">
        <v>3.0</v>
      </c>
      <c r="K215" s="8">
        <v>5.0</v>
      </c>
      <c r="L215" s="8">
        <v>0.59</v>
      </c>
      <c r="M215" s="8">
        <v>5.0</v>
      </c>
      <c r="N215" s="8">
        <v>0.405465108</v>
      </c>
      <c r="O215" s="8">
        <v>2.3</v>
      </c>
      <c r="P215" s="8" t="s">
        <v>368</v>
      </c>
    </row>
    <row r="216">
      <c r="A216" s="8" t="s">
        <v>411</v>
      </c>
      <c r="B216" s="8">
        <v>2004.0</v>
      </c>
      <c r="C216" s="8" t="s">
        <v>365</v>
      </c>
      <c r="D216" s="8" t="s">
        <v>412</v>
      </c>
      <c r="E216" s="8">
        <v>2050.0</v>
      </c>
      <c r="F216" s="8" t="s">
        <v>41</v>
      </c>
      <c r="G216" s="8" t="s">
        <v>119</v>
      </c>
      <c r="H216" s="8" t="s">
        <v>374</v>
      </c>
      <c r="I216" s="8">
        <v>1.0</v>
      </c>
      <c r="J216" s="8">
        <v>6.0</v>
      </c>
      <c r="K216" s="8">
        <v>186.0</v>
      </c>
      <c r="L216" s="8">
        <v>0.03</v>
      </c>
      <c r="M216" s="8">
        <v>186.0</v>
      </c>
      <c r="N216" s="8">
        <v>-3.401197382</v>
      </c>
      <c r="O216" s="8">
        <v>1.65</v>
      </c>
      <c r="P216" s="8" t="s">
        <v>368</v>
      </c>
    </row>
    <row r="217">
      <c r="A217" s="8" t="s">
        <v>411</v>
      </c>
      <c r="B217" s="8">
        <v>2004.0</v>
      </c>
      <c r="C217" s="8" t="s">
        <v>365</v>
      </c>
      <c r="D217" s="8" t="s">
        <v>412</v>
      </c>
      <c r="E217" s="8">
        <v>2050.0</v>
      </c>
      <c r="F217" s="8" t="s">
        <v>41</v>
      </c>
      <c r="G217" s="8" t="s">
        <v>119</v>
      </c>
      <c r="H217" s="8" t="s">
        <v>374</v>
      </c>
      <c r="I217" s="8">
        <v>1.0</v>
      </c>
      <c r="J217" s="8">
        <v>7.0</v>
      </c>
      <c r="K217" s="8">
        <v>186.0</v>
      </c>
      <c r="L217" s="8">
        <v>0.04</v>
      </c>
      <c r="M217" s="8">
        <v>186.0</v>
      </c>
      <c r="N217" s="8">
        <v>-3.241475657</v>
      </c>
      <c r="O217" s="8">
        <v>2.35</v>
      </c>
      <c r="P217" s="8" t="s">
        <v>368</v>
      </c>
    </row>
    <row r="218">
      <c r="A218" s="8" t="s">
        <v>411</v>
      </c>
      <c r="B218" s="8">
        <v>2004.0</v>
      </c>
      <c r="C218" s="8" t="s">
        <v>365</v>
      </c>
      <c r="D218" s="8" t="s">
        <v>412</v>
      </c>
      <c r="E218" s="8">
        <v>2050.0</v>
      </c>
      <c r="F218" s="8" t="s">
        <v>41</v>
      </c>
      <c r="G218" s="8" t="s">
        <v>119</v>
      </c>
      <c r="H218" s="8" t="s">
        <v>367</v>
      </c>
      <c r="I218" s="8">
        <v>1.0</v>
      </c>
      <c r="J218" s="8">
        <v>15.0</v>
      </c>
      <c r="K218" s="8">
        <v>186.0</v>
      </c>
      <c r="L218" s="8">
        <v>0.08</v>
      </c>
      <c r="M218" s="8">
        <v>186.0</v>
      </c>
      <c r="N218" s="8">
        <v>-2.433613355</v>
      </c>
      <c r="O218" s="8">
        <v>1.65</v>
      </c>
      <c r="P218" s="8" t="s">
        <v>368</v>
      </c>
    </row>
    <row r="219">
      <c r="A219" s="8" t="s">
        <v>411</v>
      </c>
      <c r="B219" s="8">
        <v>2004.0</v>
      </c>
      <c r="C219" s="8" t="s">
        <v>365</v>
      </c>
      <c r="D219" s="8" t="s">
        <v>412</v>
      </c>
      <c r="E219" s="8">
        <v>2050.0</v>
      </c>
      <c r="F219" s="8" t="s">
        <v>41</v>
      </c>
      <c r="G219" s="8" t="s">
        <v>119</v>
      </c>
      <c r="H219" s="8" t="s">
        <v>367</v>
      </c>
      <c r="I219" s="8">
        <v>1.0</v>
      </c>
      <c r="J219" s="8">
        <v>15.0</v>
      </c>
      <c r="K219" s="8">
        <v>186.0</v>
      </c>
      <c r="L219" s="8">
        <v>0.08</v>
      </c>
      <c r="M219" s="8">
        <v>186.0</v>
      </c>
      <c r="N219" s="8">
        <v>-2.433613355</v>
      </c>
      <c r="O219" s="8">
        <v>2.35</v>
      </c>
      <c r="P219" s="8" t="s">
        <v>368</v>
      </c>
    </row>
    <row r="220">
      <c r="A220" s="8" t="s">
        <v>411</v>
      </c>
      <c r="B220" s="8">
        <v>2004.0</v>
      </c>
      <c r="C220" s="8" t="s">
        <v>32</v>
      </c>
      <c r="D220" s="8" t="s">
        <v>412</v>
      </c>
      <c r="E220" s="8">
        <v>2085.0</v>
      </c>
      <c r="F220" s="8" t="s">
        <v>41</v>
      </c>
      <c r="G220" s="8" t="s">
        <v>119</v>
      </c>
      <c r="H220" s="8" t="s">
        <v>374</v>
      </c>
      <c r="I220" s="8">
        <v>1.0</v>
      </c>
      <c r="J220" s="8">
        <v>2.0</v>
      </c>
      <c r="K220" s="8">
        <v>34.0</v>
      </c>
      <c r="L220" s="8">
        <v>0.06</v>
      </c>
      <c r="M220" s="8">
        <v>34.0</v>
      </c>
      <c r="N220" s="8">
        <v>-2.772588722</v>
      </c>
      <c r="O220" s="8">
        <v>3.3</v>
      </c>
      <c r="P220" s="8" t="s">
        <v>368</v>
      </c>
    </row>
    <row r="221">
      <c r="A221" s="8" t="s">
        <v>411</v>
      </c>
      <c r="B221" s="8">
        <v>2004.0</v>
      </c>
      <c r="C221" s="8" t="s">
        <v>32</v>
      </c>
      <c r="D221" s="8" t="s">
        <v>412</v>
      </c>
      <c r="E221" s="8">
        <v>2085.0</v>
      </c>
      <c r="F221" s="8" t="s">
        <v>41</v>
      </c>
      <c r="G221" s="8" t="s">
        <v>119</v>
      </c>
      <c r="H221" s="8" t="s">
        <v>367</v>
      </c>
      <c r="I221" s="8">
        <v>1.0</v>
      </c>
      <c r="J221" s="8">
        <v>13.0</v>
      </c>
      <c r="K221" s="8">
        <v>34.0</v>
      </c>
      <c r="L221" s="8">
        <v>0.38</v>
      </c>
      <c r="M221" s="8">
        <v>34.0</v>
      </c>
      <c r="N221" s="8">
        <v>-0.47957308</v>
      </c>
      <c r="O221" s="8">
        <v>3.3</v>
      </c>
      <c r="P221" s="8" t="s">
        <v>368</v>
      </c>
    </row>
    <row r="222">
      <c r="A222" s="8" t="s">
        <v>411</v>
      </c>
      <c r="B222" s="8">
        <v>2004.0</v>
      </c>
      <c r="C222" s="8" t="s">
        <v>373</v>
      </c>
      <c r="D222" s="8" t="s">
        <v>412</v>
      </c>
      <c r="E222" s="8">
        <v>2050.0</v>
      </c>
      <c r="F222" s="8" t="s">
        <v>41</v>
      </c>
      <c r="G222" s="8" t="s">
        <v>119</v>
      </c>
      <c r="H222" s="8" t="s">
        <v>374</v>
      </c>
      <c r="I222" s="8">
        <v>1.0</v>
      </c>
      <c r="J222" s="8">
        <v>1.0</v>
      </c>
      <c r="K222" s="8">
        <v>13.0</v>
      </c>
      <c r="L222" s="8">
        <v>0.1</v>
      </c>
      <c r="M222" s="8">
        <v>13.0</v>
      </c>
      <c r="N222" s="8">
        <v>-2.48490665</v>
      </c>
      <c r="O222" s="8">
        <v>1.6</v>
      </c>
      <c r="P222" s="8" t="s">
        <v>71</v>
      </c>
    </row>
    <row r="223">
      <c r="A223" s="8" t="s">
        <v>411</v>
      </c>
      <c r="B223" s="8">
        <v>2004.0</v>
      </c>
      <c r="C223" s="8" t="s">
        <v>373</v>
      </c>
      <c r="D223" s="8" t="s">
        <v>412</v>
      </c>
      <c r="E223" s="8">
        <v>2050.0</v>
      </c>
      <c r="F223" s="8" t="s">
        <v>41</v>
      </c>
      <c r="G223" s="8" t="s">
        <v>119</v>
      </c>
      <c r="H223" s="8" t="s">
        <v>374</v>
      </c>
      <c r="I223" s="8">
        <v>1.0</v>
      </c>
      <c r="J223" s="8">
        <v>9.0</v>
      </c>
      <c r="K223" s="8">
        <v>13.0</v>
      </c>
      <c r="L223" s="8">
        <v>0.72</v>
      </c>
      <c r="M223" s="8">
        <v>13.0</v>
      </c>
      <c r="N223" s="8">
        <v>0.810930216</v>
      </c>
      <c r="O223" s="8">
        <v>4.1</v>
      </c>
      <c r="P223" s="8" t="s">
        <v>71</v>
      </c>
    </row>
    <row r="224">
      <c r="A224" s="8" t="s">
        <v>411</v>
      </c>
      <c r="B224" s="8">
        <v>2004.0</v>
      </c>
      <c r="C224" s="8" t="s">
        <v>39</v>
      </c>
      <c r="D224" s="8" t="s">
        <v>412</v>
      </c>
      <c r="E224" s="8">
        <v>2050.0</v>
      </c>
      <c r="F224" s="8" t="s">
        <v>41</v>
      </c>
      <c r="G224" s="8" t="s">
        <v>119</v>
      </c>
      <c r="H224" s="8" t="s">
        <v>374</v>
      </c>
      <c r="I224" s="8">
        <v>1.0</v>
      </c>
      <c r="J224" s="8">
        <v>2.0</v>
      </c>
      <c r="K224" s="8">
        <v>5.0</v>
      </c>
      <c r="L224" s="8">
        <v>0.32</v>
      </c>
      <c r="M224" s="8">
        <v>5.0</v>
      </c>
      <c r="N224" s="8">
        <v>-0.405465108</v>
      </c>
      <c r="O224" s="8">
        <v>2.3</v>
      </c>
      <c r="P224" s="8" t="s">
        <v>368</v>
      </c>
    </row>
    <row r="225">
      <c r="A225" s="8" t="s">
        <v>411</v>
      </c>
      <c r="B225" s="8">
        <v>2004.0</v>
      </c>
      <c r="C225" s="8" t="s">
        <v>39</v>
      </c>
      <c r="D225" s="8" t="s">
        <v>412</v>
      </c>
      <c r="E225" s="8">
        <v>2050.0</v>
      </c>
      <c r="F225" s="8" t="s">
        <v>41</v>
      </c>
      <c r="G225" s="8" t="s">
        <v>119</v>
      </c>
      <c r="H225" s="8" t="s">
        <v>367</v>
      </c>
      <c r="I225" s="8">
        <v>1.0</v>
      </c>
      <c r="J225" s="8">
        <v>2.0</v>
      </c>
      <c r="K225" s="8">
        <v>5.0</v>
      </c>
      <c r="L225" s="8">
        <v>0.4</v>
      </c>
      <c r="M225" s="8">
        <v>5.0</v>
      </c>
      <c r="N225" s="8">
        <v>-0.405465108</v>
      </c>
      <c r="O225" s="8">
        <v>2.3</v>
      </c>
      <c r="P225" s="8" t="s">
        <v>368</v>
      </c>
    </row>
    <row r="226">
      <c r="A226" s="8" t="s">
        <v>411</v>
      </c>
      <c r="B226" s="8">
        <v>2004.0</v>
      </c>
      <c r="C226" s="8" t="s">
        <v>373</v>
      </c>
      <c r="D226" s="8" t="s">
        <v>377</v>
      </c>
      <c r="E226" s="8">
        <v>2050.0</v>
      </c>
      <c r="F226" s="8" t="s">
        <v>41</v>
      </c>
      <c r="G226" s="8" t="s">
        <v>119</v>
      </c>
      <c r="H226" s="8" t="s">
        <v>374</v>
      </c>
      <c r="I226" s="8">
        <v>1.0</v>
      </c>
      <c r="J226" s="8">
        <v>4.0</v>
      </c>
      <c r="K226" s="8">
        <v>23.0</v>
      </c>
      <c r="L226" s="8">
        <v>0.18</v>
      </c>
      <c r="M226" s="8">
        <v>23.0</v>
      </c>
      <c r="N226" s="8">
        <v>-1.558144618</v>
      </c>
      <c r="O226" s="8">
        <v>1.6</v>
      </c>
      <c r="P226" s="8" t="s">
        <v>71</v>
      </c>
    </row>
    <row r="227">
      <c r="A227" s="8" t="s">
        <v>411</v>
      </c>
      <c r="B227" s="8">
        <v>2004.0</v>
      </c>
      <c r="C227" s="8" t="s">
        <v>373</v>
      </c>
      <c r="D227" s="8" t="s">
        <v>377</v>
      </c>
      <c r="E227" s="8">
        <v>2050.0</v>
      </c>
      <c r="F227" s="8" t="s">
        <v>41</v>
      </c>
      <c r="G227" s="8" t="s">
        <v>119</v>
      </c>
      <c r="H227" s="8" t="s">
        <v>374</v>
      </c>
      <c r="I227" s="8">
        <v>1.0</v>
      </c>
      <c r="J227" s="8">
        <v>15.0</v>
      </c>
      <c r="K227" s="8">
        <v>23.0</v>
      </c>
      <c r="L227" s="8">
        <v>0.67</v>
      </c>
      <c r="M227" s="8">
        <v>23.0</v>
      </c>
      <c r="N227" s="8">
        <v>0.628608659</v>
      </c>
      <c r="O227" s="8">
        <v>4.1</v>
      </c>
      <c r="P227" s="8" t="s">
        <v>71</v>
      </c>
    </row>
    <row r="228">
      <c r="A228" s="8" t="s">
        <v>411</v>
      </c>
      <c r="B228" s="8">
        <v>2004.0</v>
      </c>
      <c r="C228" s="8" t="s">
        <v>373</v>
      </c>
      <c r="D228" s="8" t="s">
        <v>376</v>
      </c>
      <c r="E228" s="8">
        <v>2050.0</v>
      </c>
      <c r="F228" s="8" t="s">
        <v>41</v>
      </c>
      <c r="G228" s="8" t="s">
        <v>119</v>
      </c>
      <c r="H228" s="8" t="s">
        <v>374</v>
      </c>
      <c r="I228" s="8">
        <v>1.0</v>
      </c>
      <c r="J228" s="8">
        <v>3.0</v>
      </c>
      <c r="K228" s="8">
        <v>18.0</v>
      </c>
      <c r="L228" s="8">
        <v>0.14</v>
      </c>
      <c r="M228" s="8">
        <v>18.0</v>
      </c>
      <c r="N228" s="8">
        <v>-1.609437912</v>
      </c>
      <c r="O228" s="8">
        <v>1.6</v>
      </c>
      <c r="P228" s="8" t="s">
        <v>71</v>
      </c>
    </row>
    <row r="229">
      <c r="A229" s="8" t="s">
        <v>411</v>
      </c>
      <c r="B229" s="8">
        <v>2004.0</v>
      </c>
      <c r="C229" s="8" t="s">
        <v>373</v>
      </c>
      <c r="D229" s="8" t="s">
        <v>376</v>
      </c>
      <c r="E229" s="8">
        <v>2050.0</v>
      </c>
      <c r="F229" s="8" t="s">
        <v>41</v>
      </c>
      <c r="G229" s="8" t="s">
        <v>119</v>
      </c>
      <c r="H229" s="8" t="s">
        <v>374</v>
      </c>
      <c r="I229" s="8">
        <v>1.0</v>
      </c>
      <c r="J229" s="8">
        <v>12.0</v>
      </c>
      <c r="K229" s="8">
        <v>18.0</v>
      </c>
      <c r="L229" s="8">
        <v>0.64</v>
      </c>
      <c r="M229" s="8">
        <v>18.0</v>
      </c>
      <c r="N229" s="8">
        <v>0.693147181</v>
      </c>
      <c r="O229" s="8">
        <v>4.1</v>
      </c>
      <c r="P229" s="8" t="s">
        <v>71</v>
      </c>
    </row>
    <row r="230">
      <c r="A230" s="8" t="s">
        <v>411</v>
      </c>
      <c r="B230" s="8">
        <v>2004.0</v>
      </c>
      <c r="C230" s="8" t="s">
        <v>39</v>
      </c>
      <c r="D230" s="8" t="s">
        <v>376</v>
      </c>
      <c r="E230" s="8">
        <v>2050.0</v>
      </c>
      <c r="F230" s="8" t="s">
        <v>41</v>
      </c>
      <c r="G230" s="8" t="s">
        <v>119</v>
      </c>
      <c r="H230" s="8" t="s">
        <v>374</v>
      </c>
      <c r="I230" s="8">
        <v>1.0</v>
      </c>
      <c r="J230" s="8">
        <v>7.0</v>
      </c>
      <c r="K230" s="8">
        <v>26.0</v>
      </c>
      <c r="L230" s="8">
        <v>0.27</v>
      </c>
      <c r="M230" s="8">
        <v>26.0</v>
      </c>
      <c r="N230" s="8">
        <v>-0.99852883</v>
      </c>
      <c r="O230" s="8">
        <v>2.3</v>
      </c>
      <c r="P230" s="8" t="s">
        <v>368</v>
      </c>
    </row>
    <row r="231">
      <c r="A231" s="8" t="s">
        <v>411</v>
      </c>
      <c r="B231" s="8">
        <v>2004.0</v>
      </c>
      <c r="C231" s="8" t="s">
        <v>39</v>
      </c>
      <c r="D231" s="8" t="s">
        <v>376</v>
      </c>
      <c r="E231" s="8">
        <v>2050.0</v>
      </c>
      <c r="F231" s="8" t="s">
        <v>41</v>
      </c>
      <c r="G231" s="8" t="s">
        <v>119</v>
      </c>
      <c r="H231" s="8" t="s">
        <v>367</v>
      </c>
      <c r="I231" s="8">
        <v>1.0</v>
      </c>
      <c r="J231" s="8">
        <v>12.0</v>
      </c>
      <c r="K231" s="8">
        <v>26.0</v>
      </c>
      <c r="L231" s="8">
        <v>0.45</v>
      </c>
      <c r="M231" s="8">
        <v>26.0</v>
      </c>
      <c r="N231" s="8">
        <v>-0.15415068</v>
      </c>
      <c r="O231" s="8">
        <v>2.3</v>
      </c>
      <c r="P231" s="8" t="s">
        <v>368</v>
      </c>
    </row>
    <row r="232">
      <c r="A232" s="8" t="s">
        <v>411</v>
      </c>
      <c r="B232" s="8">
        <v>2004.0</v>
      </c>
      <c r="C232" s="8" t="s">
        <v>365</v>
      </c>
      <c r="D232" s="8" t="s">
        <v>370</v>
      </c>
      <c r="E232" s="8">
        <v>2050.0</v>
      </c>
      <c r="F232" s="8" t="s">
        <v>41</v>
      </c>
      <c r="G232" s="8" t="s">
        <v>119</v>
      </c>
      <c r="H232" s="8" t="s">
        <v>374</v>
      </c>
      <c r="I232" s="8">
        <v>1.0</v>
      </c>
      <c r="J232" s="8">
        <v>2.0</v>
      </c>
      <c r="K232" s="8">
        <v>41.0</v>
      </c>
      <c r="L232" s="8">
        <v>0.04</v>
      </c>
      <c r="M232" s="8">
        <v>41.0</v>
      </c>
      <c r="N232" s="8">
        <v>-2.970414466</v>
      </c>
      <c r="O232" s="8">
        <v>1.65</v>
      </c>
      <c r="P232" s="8" t="s">
        <v>368</v>
      </c>
    </row>
    <row r="233">
      <c r="A233" s="8" t="s">
        <v>411</v>
      </c>
      <c r="B233" s="8">
        <v>2004.0</v>
      </c>
      <c r="C233" s="8" t="s">
        <v>365</v>
      </c>
      <c r="D233" s="8" t="s">
        <v>370</v>
      </c>
      <c r="E233" s="8">
        <v>2050.0</v>
      </c>
      <c r="F233" s="8" t="s">
        <v>41</v>
      </c>
      <c r="G233" s="8" t="s">
        <v>119</v>
      </c>
      <c r="H233" s="8" t="s">
        <v>374</v>
      </c>
      <c r="I233" s="8">
        <v>1.0</v>
      </c>
      <c r="J233" s="8">
        <v>2.0</v>
      </c>
      <c r="K233" s="8">
        <v>41.0</v>
      </c>
      <c r="L233" s="8">
        <v>0.05</v>
      </c>
      <c r="M233" s="8">
        <v>41.0</v>
      </c>
      <c r="N233" s="8">
        <v>-2.970414466</v>
      </c>
      <c r="O233" s="8">
        <v>2.35</v>
      </c>
      <c r="P233" s="8" t="s">
        <v>368</v>
      </c>
    </row>
    <row r="234">
      <c r="A234" s="8" t="s">
        <v>411</v>
      </c>
      <c r="B234" s="8">
        <v>2004.0</v>
      </c>
      <c r="C234" s="8" t="s">
        <v>365</v>
      </c>
      <c r="D234" s="8" t="s">
        <v>370</v>
      </c>
      <c r="E234" s="8">
        <v>2050.0</v>
      </c>
      <c r="F234" s="8" t="s">
        <v>41</v>
      </c>
      <c r="G234" s="8" t="s">
        <v>119</v>
      </c>
      <c r="H234" s="8" t="s">
        <v>367</v>
      </c>
      <c r="I234" s="8">
        <v>1.0</v>
      </c>
      <c r="J234" s="8">
        <v>5.0</v>
      </c>
      <c r="K234" s="8">
        <v>41.0</v>
      </c>
      <c r="L234" s="8">
        <v>0.11</v>
      </c>
      <c r="M234" s="8">
        <v>41.0</v>
      </c>
      <c r="N234" s="8">
        <v>-1.974081026</v>
      </c>
      <c r="O234" s="8">
        <v>1.65</v>
      </c>
      <c r="P234" s="8" t="s">
        <v>368</v>
      </c>
    </row>
    <row r="235">
      <c r="A235" s="8" t="s">
        <v>411</v>
      </c>
      <c r="B235" s="8">
        <v>2004.0</v>
      </c>
      <c r="C235" s="8" t="s">
        <v>365</v>
      </c>
      <c r="D235" s="8" t="s">
        <v>370</v>
      </c>
      <c r="E235" s="8">
        <v>2050.0</v>
      </c>
      <c r="F235" s="8" t="s">
        <v>41</v>
      </c>
      <c r="G235" s="8" t="s">
        <v>119</v>
      </c>
      <c r="H235" s="8" t="s">
        <v>367</v>
      </c>
      <c r="I235" s="8">
        <v>1.0</v>
      </c>
      <c r="J235" s="8">
        <v>6.0</v>
      </c>
      <c r="K235" s="8">
        <v>41.0</v>
      </c>
      <c r="L235" s="8">
        <v>0.15</v>
      </c>
      <c r="M235" s="8">
        <v>41.0</v>
      </c>
      <c r="N235" s="8">
        <v>-1.763588592</v>
      </c>
      <c r="O235" s="8">
        <v>2.35</v>
      </c>
      <c r="P235" s="8" t="s">
        <v>368</v>
      </c>
    </row>
    <row r="236">
      <c r="A236" s="8" t="s">
        <v>411</v>
      </c>
      <c r="B236" s="8">
        <v>2004.0</v>
      </c>
      <c r="C236" s="8" t="s">
        <v>39</v>
      </c>
      <c r="D236" s="8" t="s">
        <v>370</v>
      </c>
      <c r="E236" s="8">
        <v>2050.0</v>
      </c>
      <c r="F236" s="8" t="s">
        <v>41</v>
      </c>
      <c r="G236" s="8" t="s">
        <v>119</v>
      </c>
      <c r="H236" s="8" t="s">
        <v>374</v>
      </c>
      <c r="I236" s="8">
        <v>1.0</v>
      </c>
      <c r="J236" s="8">
        <v>3.0</v>
      </c>
      <c r="K236" s="8">
        <v>14.0</v>
      </c>
      <c r="L236" s="8">
        <v>0.19</v>
      </c>
      <c r="M236" s="8">
        <v>14.0</v>
      </c>
      <c r="N236" s="8">
        <v>-1.299282984</v>
      </c>
      <c r="O236" s="8">
        <v>2.3</v>
      </c>
      <c r="P236" s="8" t="s">
        <v>368</v>
      </c>
    </row>
    <row r="237">
      <c r="A237" s="8" t="s">
        <v>411</v>
      </c>
      <c r="B237" s="8">
        <v>2004.0</v>
      </c>
      <c r="C237" s="8" t="s">
        <v>39</v>
      </c>
      <c r="D237" s="8" t="s">
        <v>370</v>
      </c>
      <c r="E237" s="8">
        <v>2050.0</v>
      </c>
      <c r="F237" s="8" t="s">
        <v>41</v>
      </c>
      <c r="G237" s="8" t="s">
        <v>119</v>
      </c>
      <c r="H237" s="8" t="s">
        <v>367</v>
      </c>
      <c r="I237" s="8">
        <v>1.0</v>
      </c>
      <c r="J237" s="8">
        <v>11.0</v>
      </c>
      <c r="K237" s="8">
        <v>14.0</v>
      </c>
      <c r="L237" s="8">
        <v>0.77</v>
      </c>
      <c r="M237" s="8">
        <v>14.0</v>
      </c>
      <c r="N237" s="8">
        <v>1.299282984</v>
      </c>
      <c r="O237" s="8">
        <v>2.3</v>
      </c>
      <c r="P237" s="8" t="s">
        <v>368</v>
      </c>
    </row>
    <row r="238">
      <c r="A238" s="8" t="s">
        <v>411</v>
      </c>
      <c r="B238" s="8">
        <v>2004.0</v>
      </c>
      <c r="C238" s="8" t="s">
        <v>373</v>
      </c>
      <c r="D238" s="8" t="s">
        <v>370</v>
      </c>
      <c r="E238" s="8">
        <v>2050.0</v>
      </c>
      <c r="F238" s="8" t="s">
        <v>41</v>
      </c>
      <c r="G238" s="8" t="s">
        <v>119</v>
      </c>
      <c r="H238" s="8" t="s">
        <v>374</v>
      </c>
      <c r="I238" s="8">
        <v>1.0</v>
      </c>
      <c r="J238" s="8">
        <v>2.0</v>
      </c>
      <c r="K238" s="8">
        <v>24.0</v>
      </c>
      <c r="L238" s="8">
        <v>0.07</v>
      </c>
      <c r="M238" s="8">
        <v>24.0</v>
      </c>
      <c r="N238" s="8">
        <v>-2.397895273</v>
      </c>
      <c r="O238" s="8">
        <v>1.2</v>
      </c>
      <c r="P238" s="8" t="s">
        <v>368</v>
      </c>
    </row>
    <row r="239">
      <c r="A239" s="8" t="s">
        <v>411</v>
      </c>
      <c r="B239" s="8">
        <v>2004.0</v>
      </c>
      <c r="C239" s="8" t="s">
        <v>373</v>
      </c>
      <c r="D239" s="8" t="s">
        <v>370</v>
      </c>
      <c r="E239" s="8">
        <v>2050.0</v>
      </c>
      <c r="F239" s="8" t="s">
        <v>41</v>
      </c>
      <c r="G239" s="8" t="s">
        <v>119</v>
      </c>
      <c r="H239" s="8" t="s">
        <v>374</v>
      </c>
      <c r="I239" s="8">
        <v>1.0</v>
      </c>
      <c r="J239" s="8">
        <v>4.0</v>
      </c>
      <c r="K239" s="8">
        <v>24.0</v>
      </c>
      <c r="L239" s="8">
        <v>0.16</v>
      </c>
      <c r="M239" s="8">
        <v>24.0</v>
      </c>
      <c r="N239" s="8">
        <v>-1.609437912</v>
      </c>
      <c r="O239" s="8">
        <v>2.1</v>
      </c>
      <c r="P239" s="8" t="s">
        <v>368</v>
      </c>
    </row>
    <row r="240">
      <c r="A240" s="8" t="s">
        <v>411</v>
      </c>
      <c r="B240" s="8">
        <v>2004.0</v>
      </c>
      <c r="C240" s="8" t="s">
        <v>373</v>
      </c>
      <c r="D240" s="8" t="s">
        <v>370</v>
      </c>
      <c r="E240" s="8">
        <v>2050.0</v>
      </c>
      <c r="F240" s="8" t="s">
        <v>41</v>
      </c>
      <c r="G240" s="8" t="s">
        <v>119</v>
      </c>
      <c r="H240" s="8" t="s">
        <v>374</v>
      </c>
      <c r="I240" s="8">
        <v>1.0</v>
      </c>
      <c r="J240" s="8">
        <v>6.0</v>
      </c>
      <c r="K240" s="8">
        <v>24.0</v>
      </c>
      <c r="L240" s="8">
        <v>0.26</v>
      </c>
      <c r="M240" s="8">
        <v>24.0</v>
      </c>
      <c r="N240" s="8">
        <v>-1.098612289</v>
      </c>
      <c r="O240" s="8">
        <v>2.9</v>
      </c>
      <c r="P240" s="8" t="s">
        <v>368</v>
      </c>
    </row>
    <row r="241">
      <c r="A241" s="8" t="s">
        <v>411</v>
      </c>
      <c r="B241" s="8">
        <v>2004.0</v>
      </c>
      <c r="C241" s="8" t="s">
        <v>373</v>
      </c>
      <c r="D241" s="8" t="s">
        <v>370</v>
      </c>
      <c r="E241" s="8">
        <v>2050.0</v>
      </c>
      <c r="F241" s="8" t="s">
        <v>41</v>
      </c>
      <c r="G241" s="8" t="s">
        <v>119</v>
      </c>
      <c r="H241" s="8" t="s">
        <v>367</v>
      </c>
      <c r="I241" s="8">
        <v>1.0</v>
      </c>
      <c r="J241" s="8">
        <v>3.0</v>
      </c>
      <c r="K241" s="8">
        <v>24.0</v>
      </c>
      <c r="L241" s="8">
        <v>0.12</v>
      </c>
      <c r="M241" s="8">
        <v>24.0</v>
      </c>
      <c r="N241" s="8">
        <v>-1.945910149</v>
      </c>
      <c r="O241" s="8">
        <v>1.2</v>
      </c>
      <c r="P241" s="8" t="s">
        <v>368</v>
      </c>
    </row>
    <row r="242">
      <c r="A242" s="8" t="s">
        <v>411</v>
      </c>
      <c r="B242" s="8">
        <v>2004.0</v>
      </c>
      <c r="C242" s="8" t="s">
        <v>373</v>
      </c>
      <c r="D242" s="8" t="s">
        <v>370</v>
      </c>
      <c r="E242" s="8">
        <v>2050.0</v>
      </c>
      <c r="F242" s="8" t="s">
        <v>41</v>
      </c>
      <c r="G242" s="8" t="s">
        <v>119</v>
      </c>
      <c r="H242" s="8" t="s">
        <v>367</v>
      </c>
      <c r="I242" s="8">
        <v>1.0</v>
      </c>
      <c r="J242" s="8">
        <v>6.0</v>
      </c>
      <c r="K242" s="8">
        <v>24.0</v>
      </c>
      <c r="L242" s="8">
        <v>0.23</v>
      </c>
      <c r="M242" s="8">
        <v>24.0</v>
      </c>
      <c r="N242" s="8">
        <v>-1.098612289</v>
      </c>
      <c r="O242" s="8">
        <v>2.1</v>
      </c>
      <c r="P242" s="8" t="s">
        <v>368</v>
      </c>
    </row>
    <row r="243">
      <c r="A243" s="8" t="s">
        <v>411</v>
      </c>
      <c r="B243" s="8">
        <v>2004.0</v>
      </c>
      <c r="C243" s="8" t="s">
        <v>373</v>
      </c>
      <c r="D243" s="8" t="s">
        <v>370</v>
      </c>
      <c r="E243" s="8">
        <v>2050.0</v>
      </c>
      <c r="F243" s="8" t="s">
        <v>41</v>
      </c>
      <c r="G243" s="8" t="s">
        <v>119</v>
      </c>
      <c r="H243" s="8" t="s">
        <v>367</v>
      </c>
      <c r="I243" s="8">
        <v>1.0</v>
      </c>
      <c r="J243" s="8">
        <v>9.0</v>
      </c>
      <c r="K243" s="8">
        <v>24.0</v>
      </c>
      <c r="L243" s="8">
        <v>0.36</v>
      </c>
      <c r="M243" s="8">
        <v>24.0</v>
      </c>
      <c r="N243" s="8">
        <v>-0.510825624</v>
      </c>
      <c r="O243" s="8">
        <v>2.9</v>
      </c>
      <c r="P243" s="8" t="s">
        <v>368</v>
      </c>
    </row>
    <row r="244">
      <c r="A244" s="8" t="s">
        <v>411</v>
      </c>
      <c r="B244" s="8">
        <v>2004.0</v>
      </c>
      <c r="C244" s="8" t="s">
        <v>403</v>
      </c>
      <c r="D244" s="8" t="s">
        <v>371</v>
      </c>
      <c r="E244" s="8">
        <v>2095.0</v>
      </c>
      <c r="F244" s="8" t="s">
        <v>41</v>
      </c>
      <c r="G244" s="8" t="s">
        <v>119</v>
      </c>
      <c r="H244" s="8" t="s">
        <v>374</v>
      </c>
      <c r="I244" s="8">
        <v>1.0</v>
      </c>
      <c r="J244" s="8">
        <v>7.0</v>
      </c>
      <c r="K244" s="8">
        <v>9.0</v>
      </c>
      <c r="L244" s="8">
        <v>0.79</v>
      </c>
      <c r="M244" s="8">
        <v>9.0</v>
      </c>
      <c r="N244" s="8">
        <v>1.252762968</v>
      </c>
      <c r="O244" s="8">
        <v>2.88</v>
      </c>
      <c r="P244" s="8" t="s">
        <v>368</v>
      </c>
    </row>
    <row r="245">
      <c r="A245" s="8" t="s">
        <v>411</v>
      </c>
      <c r="B245" s="8">
        <v>2004.0</v>
      </c>
      <c r="C245" s="8" t="s">
        <v>403</v>
      </c>
      <c r="D245" s="8" t="s">
        <v>371</v>
      </c>
      <c r="E245" s="8">
        <v>2095.0</v>
      </c>
      <c r="F245" s="8" t="s">
        <v>41</v>
      </c>
      <c r="G245" s="8" t="s">
        <v>119</v>
      </c>
      <c r="H245" s="8" t="s">
        <v>367</v>
      </c>
      <c r="I245" s="8">
        <v>1.0</v>
      </c>
      <c r="J245" s="8">
        <v>9.0</v>
      </c>
      <c r="K245" s="8">
        <v>9.0</v>
      </c>
      <c r="L245" s="8">
        <v>0.99</v>
      </c>
      <c r="M245" s="8">
        <v>9.0</v>
      </c>
      <c r="N245" s="8">
        <v>2.944438979</v>
      </c>
      <c r="O245" s="8">
        <v>2.88</v>
      </c>
      <c r="P245" s="8" t="s">
        <v>368</v>
      </c>
    </row>
    <row r="246">
      <c r="A246" s="8" t="s">
        <v>411</v>
      </c>
      <c r="B246" s="8">
        <v>2004.0</v>
      </c>
      <c r="C246" s="8" t="s">
        <v>32</v>
      </c>
      <c r="D246" s="8" t="s">
        <v>371</v>
      </c>
      <c r="E246" s="8">
        <v>2050.0</v>
      </c>
      <c r="F246" s="8" t="s">
        <v>41</v>
      </c>
      <c r="G246" s="8" t="s">
        <v>119</v>
      </c>
      <c r="H246" s="8" t="s">
        <v>374</v>
      </c>
      <c r="I246" s="8">
        <v>1.0</v>
      </c>
      <c r="J246" s="8">
        <v>10.0</v>
      </c>
      <c r="K246" s="8">
        <v>192.0</v>
      </c>
      <c r="L246" s="8">
        <v>0.05</v>
      </c>
      <c r="M246" s="8">
        <v>192.0</v>
      </c>
      <c r="N246" s="8">
        <v>-2.901421594</v>
      </c>
      <c r="O246" s="8">
        <v>2.0</v>
      </c>
      <c r="P246" s="8" t="s">
        <v>368</v>
      </c>
    </row>
    <row r="247">
      <c r="A247" s="8" t="s">
        <v>411</v>
      </c>
      <c r="B247" s="8">
        <v>2004.0</v>
      </c>
      <c r="C247" s="8" t="s">
        <v>32</v>
      </c>
      <c r="D247" s="8" t="s">
        <v>371</v>
      </c>
      <c r="E247" s="8">
        <v>2050.0</v>
      </c>
      <c r="F247" s="8" t="s">
        <v>41</v>
      </c>
      <c r="G247" s="8" t="s">
        <v>119</v>
      </c>
      <c r="H247" s="8" t="s">
        <v>374</v>
      </c>
      <c r="I247" s="8">
        <v>1.0</v>
      </c>
      <c r="J247" s="8">
        <v>12.0</v>
      </c>
      <c r="K247" s="8">
        <v>192.0</v>
      </c>
      <c r="L247" s="8">
        <v>0.06</v>
      </c>
      <c r="M247" s="8">
        <v>192.0</v>
      </c>
      <c r="N247" s="8">
        <v>-2.708050201</v>
      </c>
      <c r="O247" s="8">
        <v>2.2</v>
      </c>
      <c r="P247" s="8" t="s">
        <v>368</v>
      </c>
    </row>
    <row r="248">
      <c r="A248" s="8" t="s">
        <v>411</v>
      </c>
      <c r="B248" s="8">
        <v>2004.0</v>
      </c>
      <c r="C248" s="8" t="s">
        <v>32</v>
      </c>
      <c r="D248" s="8" t="s">
        <v>371</v>
      </c>
      <c r="E248" s="8">
        <v>2050.0</v>
      </c>
      <c r="F248" s="8" t="s">
        <v>41</v>
      </c>
      <c r="G248" s="8" t="s">
        <v>119</v>
      </c>
      <c r="H248" s="8" t="s">
        <v>374</v>
      </c>
      <c r="I248" s="8">
        <v>1.0</v>
      </c>
      <c r="J248" s="8">
        <v>12.0</v>
      </c>
      <c r="K248" s="8">
        <v>192.0</v>
      </c>
      <c r="L248" s="8">
        <v>0.06</v>
      </c>
      <c r="M248" s="8">
        <v>192.0</v>
      </c>
      <c r="N248" s="8">
        <v>-2.708050201</v>
      </c>
      <c r="O248" s="8">
        <v>2.6</v>
      </c>
      <c r="P248" s="8" t="s">
        <v>368</v>
      </c>
    </row>
    <row r="249">
      <c r="A249" s="8" t="s">
        <v>411</v>
      </c>
      <c r="B249" s="8">
        <v>2004.0</v>
      </c>
      <c r="C249" s="8" t="s">
        <v>32</v>
      </c>
      <c r="D249" s="8" t="s">
        <v>371</v>
      </c>
      <c r="E249" s="8">
        <v>2050.0</v>
      </c>
      <c r="F249" s="8" t="s">
        <v>41</v>
      </c>
      <c r="G249" s="8" t="s">
        <v>119</v>
      </c>
      <c r="H249" s="8" t="s">
        <v>367</v>
      </c>
      <c r="I249" s="8">
        <v>1.0</v>
      </c>
      <c r="J249" s="8">
        <v>27.0</v>
      </c>
      <c r="K249" s="8">
        <v>192.0</v>
      </c>
      <c r="L249" s="8">
        <v>0.14</v>
      </c>
      <c r="M249" s="8">
        <v>192.0</v>
      </c>
      <c r="N249" s="8">
        <v>-1.810108608</v>
      </c>
      <c r="O249" s="8">
        <v>2.0</v>
      </c>
      <c r="P249" s="8" t="s">
        <v>368</v>
      </c>
    </row>
    <row r="250">
      <c r="A250" s="8" t="s">
        <v>411</v>
      </c>
      <c r="B250" s="8">
        <v>2004.0</v>
      </c>
      <c r="C250" s="8" t="s">
        <v>32</v>
      </c>
      <c r="D250" s="8" t="s">
        <v>371</v>
      </c>
      <c r="E250" s="8">
        <v>2050.0</v>
      </c>
      <c r="F250" s="8" t="s">
        <v>41</v>
      </c>
      <c r="G250" s="8" t="s">
        <v>119</v>
      </c>
      <c r="H250" s="8" t="s">
        <v>367</v>
      </c>
      <c r="I250" s="8">
        <v>1.0</v>
      </c>
      <c r="J250" s="8">
        <v>31.0</v>
      </c>
      <c r="K250" s="8">
        <v>192.0</v>
      </c>
      <c r="L250" s="8">
        <v>0.16</v>
      </c>
      <c r="M250" s="8">
        <v>192.0</v>
      </c>
      <c r="N250" s="8">
        <v>-1.64741716</v>
      </c>
      <c r="O250" s="8">
        <v>2.2</v>
      </c>
      <c r="P250" s="8" t="s">
        <v>368</v>
      </c>
    </row>
    <row r="251">
      <c r="A251" s="8" t="s">
        <v>411</v>
      </c>
      <c r="B251" s="8">
        <v>2004.0</v>
      </c>
      <c r="C251" s="8" t="s">
        <v>32</v>
      </c>
      <c r="D251" s="8" t="s">
        <v>371</v>
      </c>
      <c r="E251" s="8">
        <v>2050.0</v>
      </c>
      <c r="F251" s="8" t="s">
        <v>41</v>
      </c>
      <c r="G251" s="8" t="s">
        <v>119</v>
      </c>
      <c r="H251" s="8" t="s">
        <v>367</v>
      </c>
      <c r="I251" s="8">
        <v>1.0</v>
      </c>
      <c r="J251" s="8">
        <v>40.0</v>
      </c>
      <c r="K251" s="8">
        <v>192.0</v>
      </c>
      <c r="L251" s="8">
        <v>0.21</v>
      </c>
      <c r="M251" s="8">
        <v>192.0</v>
      </c>
      <c r="N251" s="8">
        <v>-1.335001067</v>
      </c>
      <c r="O251" s="8">
        <v>2.6</v>
      </c>
      <c r="P251" s="8" t="s">
        <v>368</v>
      </c>
    </row>
    <row r="252">
      <c r="A252" s="8" t="s">
        <v>411</v>
      </c>
      <c r="B252" s="8">
        <v>2004.0</v>
      </c>
      <c r="C252" s="8" t="s">
        <v>403</v>
      </c>
      <c r="D252" s="8" t="s">
        <v>371</v>
      </c>
      <c r="E252" s="8">
        <v>2050.0</v>
      </c>
      <c r="F252" s="8" t="s">
        <v>41</v>
      </c>
      <c r="G252" s="8" t="s">
        <v>119</v>
      </c>
      <c r="H252" s="8" t="s">
        <v>367</v>
      </c>
      <c r="I252" s="8">
        <v>1.0</v>
      </c>
      <c r="J252" s="8">
        <v>73.0</v>
      </c>
      <c r="K252" s="8">
        <v>163.0</v>
      </c>
      <c r="L252" s="8">
        <v>0.45</v>
      </c>
      <c r="M252" s="8">
        <v>163.0</v>
      </c>
      <c r="N252" s="8">
        <v>-0.209350229</v>
      </c>
      <c r="O252" s="8">
        <v>1.88</v>
      </c>
      <c r="P252" s="8" t="s">
        <v>368</v>
      </c>
    </row>
    <row r="253">
      <c r="A253" s="8" t="s">
        <v>411</v>
      </c>
      <c r="B253" s="8">
        <v>2004.0</v>
      </c>
      <c r="C253" s="8" t="s">
        <v>403</v>
      </c>
      <c r="D253" s="8" t="s">
        <v>371</v>
      </c>
      <c r="E253" s="8">
        <v>2050.0</v>
      </c>
      <c r="F253" s="8" t="s">
        <v>41</v>
      </c>
      <c r="G253" s="8" t="s">
        <v>119</v>
      </c>
      <c r="H253" s="8" t="s">
        <v>367</v>
      </c>
      <c r="I253" s="8">
        <v>1.0</v>
      </c>
      <c r="J253" s="8">
        <v>93.0</v>
      </c>
      <c r="K253" s="8">
        <v>163.0</v>
      </c>
      <c r="L253" s="8">
        <v>0.57</v>
      </c>
      <c r="M253" s="8">
        <v>163.0</v>
      </c>
      <c r="N253" s="8">
        <v>0.284104251</v>
      </c>
      <c r="O253" s="8">
        <v>1.88</v>
      </c>
      <c r="P253" s="8" t="s">
        <v>368</v>
      </c>
    </row>
    <row r="254">
      <c r="A254" s="8" t="s">
        <v>411</v>
      </c>
      <c r="B254" s="8">
        <v>2004.0</v>
      </c>
      <c r="C254" s="8" t="s">
        <v>39</v>
      </c>
      <c r="D254" s="8" t="s">
        <v>371</v>
      </c>
      <c r="E254" s="8">
        <v>2050.0</v>
      </c>
      <c r="F254" s="8" t="s">
        <v>41</v>
      </c>
      <c r="G254" s="8" t="s">
        <v>119</v>
      </c>
      <c r="H254" s="8" t="s">
        <v>374</v>
      </c>
      <c r="I254" s="8">
        <v>1.0</v>
      </c>
      <c r="J254" s="8">
        <v>66.0</v>
      </c>
      <c r="K254" s="8">
        <v>243.0</v>
      </c>
      <c r="L254" s="8">
        <v>0.27</v>
      </c>
      <c r="M254" s="8">
        <v>243.0</v>
      </c>
      <c r="N254" s="8">
        <v>-0.986494991</v>
      </c>
      <c r="O254" s="8">
        <v>2.3</v>
      </c>
      <c r="P254" s="8" t="s">
        <v>368</v>
      </c>
    </row>
    <row r="255">
      <c r="A255" s="8" t="s">
        <v>411</v>
      </c>
      <c r="B255" s="8">
        <v>2004.0</v>
      </c>
      <c r="C255" s="8" t="s">
        <v>39</v>
      </c>
      <c r="D255" s="8" t="s">
        <v>371</v>
      </c>
      <c r="E255" s="8">
        <v>2050.0</v>
      </c>
      <c r="F255" s="8" t="s">
        <v>41</v>
      </c>
      <c r="G255" s="8" t="s">
        <v>119</v>
      </c>
      <c r="H255" s="8" t="s">
        <v>367</v>
      </c>
      <c r="I255" s="8">
        <v>1.0</v>
      </c>
      <c r="J255" s="8">
        <v>97.0</v>
      </c>
      <c r="K255" s="8">
        <v>243.0</v>
      </c>
      <c r="L255" s="8">
        <v>0.4</v>
      </c>
      <c r="M255" s="8">
        <v>243.0</v>
      </c>
      <c r="N255" s="8">
        <v>-0.408895643</v>
      </c>
      <c r="O255" s="8">
        <v>2.3</v>
      </c>
      <c r="P255" s="8" t="s">
        <v>368</v>
      </c>
    </row>
    <row r="256">
      <c r="A256" s="8" t="s">
        <v>413</v>
      </c>
      <c r="B256" s="8">
        <v>2004.0</v>
      </c>
      <c r="C256" s="8" t="s">
        <v>373</v>
      </c>
      <c r="D256" s="8" t="s">
        <v>375</v>
      </c>
      <c r="E256" s="8">
        <v>2100.0</v>
      </c>
      <c r="F256" s="8" t="s">
        <v>41</v>
      </c>
      <c r="G256" s="8" t="s">
        <v>42</v>
      </c>
      <c r="H256" s="8" t="s">
        <v>374</v>
      </c>
      <c r="I256" s="8">
        <v>1.0</v>
      </c>
      <c r="J256" s="8">
        <v>0.0</v>
      </c>
      <c r="K256" s="8">
        <v>3.0</v>
      </c>
      <c r="L256" s="8">
        <v>0.0</v>
      </c>
      <c r="M256" s="8">
        <v>3.0</v>
      </c>
      <c r="N256" s="8">
        <v>-1.945910149</v>
      </c>
      <c r="O256" s="8">
        <v>1.6</v>
      </c>
      <c r="P256" s="8" t="s">
        <v>71</v>
      </c>
    </row>
    <row r="257">
      <c r="A257" s="8" t="s">
        <v>413</v>
      </c>
      <c r="B257" s="8">
        <v>2004.0</v>
      </c>
      <c r="C257" s="8" t="s">
        <v>373</v>
      </c>
      <c r="D257" s="8" t="s">
        <v>375</v>
      </c>
      <c r="E257" s="8">
        <v>2100.0</v>
      </c>
      <c r="F257" s="8" t="s">
        <v>41</v>
      </c>
      <c r="G257" s="8" t="s">
        <v>42</v>
      </c>
      <c r="H257" s="8" t="s">
        <v>374</v>
      </c>
      <c r="I257" s="8">
        <v>0.95</v>
      </c>
      <c r="J257" s="8">
        <v>0.0</v>
      </c>
      <c r="K257" s="8">
        <v>3.0</v>
      </c>
      <c r="L257" s="8">
        <v>0.0</v>
      </c>
      <c r="M257" s="8">
        <v>3.0</v>
      </c>
      <c r="N257" s="8">
        <v>-1.945910149</v>
      </c>
      <c r="O257" s="8">
        <v>1.6</v>
      </c>
      <c r="P257" s="8" t="s">
        <v>71</v>
      </c>
    </row>
    <row r="258">
      <c r="A258" s="8" t="s">
        <v>413</v>
      </c>
      <c r="B258" s="8">
        <v>2004.0</v>
      </c>
      <c r="C258" s="8" t="s">
        <v>373</v>
      </c>
      <c r="D258" s="8" t="s">
        <v>375</v>
      </c>
      <c r="E258" s="8">
        <v>2100.0</v>
      </c>
      <c r="F258" s="8" t="s">
        <v>41</v>
      </c>
      <c r="G258" s="8" t="s">
        <v>42</v>
      </c>
      <c r="H258" s="8" t="s">
        <v>374</v>
      </c>
      <c r="I258" s="8">
        <v>0.8</v>
      </c>
      <c r="J258" s="8">
        <v>0.0</v>
      </c>
      <c r="K258" s="8">
        <v>3.0</v>
      </c>
      <c r="L258" s="8">
        <v>0.0</v>
      </c>
      <c r="M258" s="8">
        <v>3.0</v>
      </c>
      <c r="N258" s="8">
        <v>-1.945910149</v>
      </c>
      <c r="O258" s="8">
        <v>1.6</v>
      </c>
      <c r="P258" s="8" t="s">
        <v>71</v>
      </c>
    </row>
    <row r="259">
      <c r="A259" s="8" t="s">
        <v>413</v>
      </c>
      <c r="B259" s="8">
        <v>2004.0</v>
      </c>
      <c r="C259" s="8" t="s">
        <v>373</v>
      </c>
      <c r="D259" s="8" t="s">
        <v>375</v>
      </c>
      <c r="E259" s="8">
        <v>2100.0</v>
      </c>
      <c r="F259" s="8" t="s">
        <v>41</v>
      </c>
      <c r="G259" s="8" t="s">
        <v>42</v>
      </c>
      <c r="H259" s="8" t="s">
        <v>374</v>
      </c>
      <c r="I259" s="8">
        <v>1.0</v>
      </c>
      <c r="J259" s="8">
        <v>0.0</v>
      </c>
      <c r="K259" s="8">
        <v>3.0</v>
      </c>
      <c r="L259" s="8">
        <v>0.0</v>
      </c>
      <c r="M259" s="8">
        <v>3.0</v>
      </c>
      <c r="N259" s="8">
        <v>-1.945910149</v>
      </c>
      <c r="O259" s="8">
        <v>3.6</v>
      </c>
      <c r="P259" s="8" t="s">
        <v>71</v>
      </c>
    </row>
    <row r="260">
      <c r="A260" s="8" t="s">
        <v>413</v>
      </c>
      <c r="B260" s="8">
        <v>2004.0</v>
      </c>
      <c r="C260" s="8" t="s">
        <v>373</v>
      </c>
      <c r="D260" s="8" t="s">
        <v>375</v>
      </c>
      <c r="E260" s="8">
        <v>2100.0</v>
      </c>
      <c r="F260" s="8" t="s">
        <v>41</v>
      </c>
      <c r="G260" s="8" t="s">
        <v>42</v>
      </c>
      <c r="H260" s="8" t="s">
        <v>374</v>
      </c>
      <c r="I260" s="8">
        <v>0.95</v>
      </c>
      <c r="J260" s="8">
        <v>2.0</v>
      </c>
      <c r="K260" s="8">
        <v>3.0</v>
      </c>
      <c r="L260" s="8">
        <v>0.666666667</v>
      </c>
      <c r="M260" s="8">
        <v>3.0</v>
      </c>
      <c r="N260" s="8">
        <v>0.693147181</v>
      </c>
      <c r="O260" s="8">
        <v>3.6</v>
      </c>
      <c r="P260" s="8" t="s">
        <v>71</v>
      </c>
    </row>
    <row r="261">
      <c r="A261" s="8" t="s">
        <v>413</v>
      </c>
      <c r="B261" s="8">
        <v>2004.0</v>
      </c>
      <c r="C261" s="8" t="s">
        <v>373</v>
      </c>
      <c r="D261" s="8" t="s">
        <v>375</v>
      </c>
      <c r="E261" s="8">
        <v>2100.0</v>
      </c>
      <c r="F261" s="8" t="s">
        <v>41</v>
      </c>
      <c r="G261" s="8" t="s">
        <v>42</v>
      </c>
      <c r="H261" s="8" t="s">
        <v>374</v>
      </c>
      <c r="I261" s="8">
        <v>0.8</v>
      </c>
      <c r="J261" s="8">
        <v>3.0</v>
      </c>
      <c r="K261" s="8">
        <v>3.0</v>
      </c>
      <c r="L261" s="8">
        <v>1.0</v>
      </c>
      <c r="M261" s="8">
        <v>3.0</v>
      </c>
      <c r="N261" s="8">
        <v>1.945910149</v>
      </c>
      <c r="O261" s="8">
        <v>3.6</v>
      </c>
      <c r="P261" s="8" t="s">
        <v>71</v>
      </c>
    </row>
    <row r="262">
      <c r="A262" s="8" t="s">
        <v>413</v>
      </c>
      <c r="B262" s="8">
        <v>2004.0</v>
      </c>
      <c r="C262" s="8" t="s">
        <v>373</v>
      </c>
      <c r="D262" s="8" t="s">
        <v>366</v>
      </c>
      <c r="E262" s="8">
        <v>2100.0</v>
      </c>
      <c r="F262" s="8" t="s">
        <v>41</v>
      </c>
      <c r="G262" s="8" t="s">
        <v>42</v>
      </c>
      <c r="H262" s="8" t="s">
        <v>374</v>
      </c>
      <c r="I262" s="8">
        <v>1.0</v>
      </c>
      <c r="J262" s="8">
        <v>0.0</v>
      </c>
      <c r="K262" s="8">
        <v>3.0</v>
      </c>
      <c r="L262" s="8">
        <v>0.0</v>
      </c>
      <c r="M262" s="8">
        <v>3.0</v>
      </c>
      <c r="N262" s="8">
        <v>-1.945910149</v>
      </c>
      <c r="O262" s="8">
        <v>1.6</v>
      </c>
      <c r="P262" s="8" t="s">
        <v>71</v>
      </c>
    </row>
    <row r="263">
      <c r="A263" s="8" t="s">
        <v>413</v>
      </c>
      <c r="B263" s="8">
        <v>2004.0</v>
      </c>
      <c r="C263" s="8" t="s">
        <v>373</v>
      </c>
      <c r="D263" s="8" t="s">
        <v>366</v>
      </c>
      <c r="E263" s="8">
        <v>2100.0</v>
      </c>
      <c r="F263" s="8" t="s">
        <v>41</v>
      </c>
      <c r="G263" s="8" t="s">
        <v>42</v>
      </c>
      <c r="H263" s="8" t="s">
        <v>374</v>
      </c>
      <c r="I263" s="8">
        <v>0.95</v>
      </c>
      <c r="J263" s="8">
        <v>0.0</v>
      </c>
      <c r="K263" s="8">
        <v>3.0</v>
      </c>
      <c r="L263" s="8">
        <v>0.0</v>
      </c>
      <c r="M263" s="8">
        <v>3.0</v>
      </c>
      <c r="N263" s="8">
        <v>-1.945910149</v>
      </c>
      <c r="O263" s="8">
        <v>1.6</v>
      </c>
      <c r="P263" s="8" t="s">
        <v>71</v>
      </c>
    </row>
    <row r="264">
      <c r="A264" s="8" t="s">
        <v>413</v>
      </c>
      <c r="B264" s="8">
        <v>2004.0</v>
      </c>
      <c r="C264" s="8" t="s">
        <v>373</v>
      </c>
      <c r="D264" s="8" t="s">
        <v>366</v>
      </c>
      <c r="E264" s="8">
        <v>2100.0</v>
      </c>
      <c r="F264" s="8" t="s">
        <v>41</v>
      </c>
      <c r="G264" s="8" t="s">
        <v>42</v>
      </c>
      <c r="H264" s="8" t="s">
        <v>374</v>
      </c>
      <c r="I264" s="8">
        <v>0.8</v>
      </c>
      <c r="J264" s="8">
        <v>0.0</v>
      </c>
      <c r="K264" s="8">
        <v>3.0</v>
      </c>
      <c r="L264" s="8">
        <v>0.0</v>
      </c>
      <c r="M264" s="8">
        <v>3.0</v>
      </c>
      <c r="N264" s="8">
        <v>-1.945910149</v>
      </c>
      <c r="O264" s="8">
        <v>1.6</v>
      </c>
      <c r="P264" s="8" t="s">
        <v>71</v>
      </c>
    </row>
    <row r="265">
      <c r="A265" s="8" t="s">
        <v>413</v>
      </c>
      <c r="B265" s="8">
        <v>2004.0</v>
      </c>
      <c r="C265" s="8" t="s">
        <v>373</v>
      </c>
      <c r="D265" s="8" t="s">
        <v>366</v>
      </c>
      <c r="E265" s="8">
        <v>2100.0</v>
      </c>
      <c r="F265" s="8" t="s">
        <v>41</v>
      </c>
      <c r="G265" s="8" t="s">
        <v>42</v>
      </c>
      <c r="H265" s="8" t="s">
        <v>374</v>
      </c>
      <c r="I265" s="8">
        <v>1.0</v>
      </c>
      <c r="J265" s="8">
        <v>2.0</v>
      </c>
      <c r="K265" s="8">
        <v>3.0</v>
      </c>
      <c r="L265" s="8">
        <v>0.666666667</v>
      </c>
      <c r="M265" s="8">
        <v>3.0</v>
      </c>
      <c r="N265" s="8">
        <v>0.693147181</v>
      </c>
      <c r="O265" s="8">
        <v>3.6</v>
      </c>
      <c r="P265" s="8" t="s">
        <v>71</v>
      </c>
    </row>
    <row r="266">
      <c r="A266" s="8" t="s">
        <v>413</v>
      </c>
      <c r="B266" s="8">
        <v>2004.0</v>
      </c>
      <c r="C266" s="8" t="s">
        <v>373</v>
      </c>
      <c r="D266" s="8" t="s">
        <v>366</v>
      </c>
      <c r="E266" s="8">
        <v>2100.0</v>
      </c>
      <c r="F266" s="8" t="s">
        <v>41</v>
      </c>
      <c r="G266" s="8" t="s">
        <v>42</v>
      </c>
      <c r="H266" s="8" t="s">
        <v>374</v>
      </c>
      <c r="I266" s="8">
        <v>0.95</v>
      </c>
      <c r="J266" s="8">
        <v>3.0</v>
      </c>
      <c r="K266" s="8">
        <v>3.0</v>
      </c>
      <c r="L266" s="8">
        <v>1.0</v>
      </c>
      <c r="M266" s="8">
        <v>3.0</v>
      </c>
      <c r="N266" s="8">
        <v>1.945910149</v>
      </c>
      <c r="O266" s="8">
        <v>3.6</v>
      </c>
      <c r="P266" s="8" t="s">
        <v>71</v>
      </c>
    </row>
    <row r="267">
      <c r="A267" s="8" t="s">
        <v>413</v>
      </c>
      <c r="B267" s="8">
        <v>2004.0</v>
      </c>
      <c r="C267" s="8" t="s">
        <v>373</v>
      </c>
      <c r="D267" s="8" t="s">
        <v>366</v>
      </c>
      <c r="E267" s="8">
        <v>2100.0</v>
      </c>
      <c r="F267" s="8" t="s">
        <v>41</v>
      </c>
      <c r="G267" s="8" t="s">
        <v>42</v>
      </c>
      <c r="H267" s="8" t="s">
        <v>374</v>
      </c>
      <c r="I267" s="8">
        <v>0.8</v>
      </c>
      <c r="J267" s="8">
        <v>3.0</v>
      </c>
      <c r="K267" s="8">
        <v>3.0</v>
      </c>
      <c r="L267" s="8">
        <v>1.0</v>
      </c>
      <c r="M267" s="8">
        <v>3.0</v>
      </c>
      <c r="N267" s="8">
        <v>1.945910149</v>
      </c>
      <c r="O267" s="8">
        <v>3.6</v>
      </c>
      <c r="P267" s="8" t="s">
        <v>71</v>
      </c>
    </row>
    <row r="268">
      <c r="A268" s="8" t="s">
        <v>413</v>
      </c>
      <c r="B268" s="8">
        <v>2004.0</v>
      </c>
      <c r="C268" s="8" t="s">
        <v>373</v>
      </c>
      <c r="D268" s="8" t="s">
        <v>377</v>
      </c>
      <c r="E268" s="8">
        <v>2100.0</v>
      </c>
      <c r="F268" s="8" t="s">
        <v>41</v>
      </c>
      <c r="G268" s="8" t="s">
        <v>42</v>
      </c>
      <c r="H268" s="8" t="s">
        <v>374</v>
      </c>
      <c r="I268" s="8">
        <v>1.0</v>
      </c>
      <c r="J268" s="8">
        <v>0.0</v>
      </c>
      <c r="K268" s="8">
        <v>3.0</v>
      </c>
      <c r="L268" s="8">
        <v>0.0</v>
      </c>
      <c r="M268" s="8">
        <v>3.0</v>
      </c>
      <c r="N268" s="8">
        <v>-1.945910149</v>
      </c>
      <c r="O268" s="8">
        <v>1.6</v>
      </c>
      <c r="P268" s="8" t="s">
        <v>71</v>
      </c>
    </row>
    <row r="269">
      <c r="A269" s="8" t="s">
        <v>413</v>
      </c>
      <c r="B269" s="8">
        <v>2004.0</v>
      </c>
      <c r="C269" s="8" t="s">
        <v>373</v>
      </c>
      <c r="D269" s="8" t="s">
        <v>377</v>
      </c>
      <c r="E269" s="8">
        <v>2100.0</v>
      </c>
      <c r="F269" s="8" t="s">
        <v>41</v>
      </c>
      <c r="G269" s="8" t="s">
        <v>42</v>
      </c>
      <c r="H269" s="8" t="s">
        <v>374</v>
      </c>
      <c r="I269" s="8">
        <v>0.95</v>
      </c>
      <c r="J269" s="8">
        <v>0.0</v>
      </c>
      <c r="K269" s="8">
        <v>3.0</v>
      </c>
      <c r="L269" s="8">
        <v>0.0</v>
      </c>
      <c r="M269" s="8">
        <v>3.0</v>
      </c>
      <c r="N269" s="8">
        <v>-1.945910149</v>
      </c>
      <c r="O269" s="8">
        <v>1.6</v>
      </c>
      <c r="P269" s="8" t="s">
        <v>71</v>
      </c>
    </row>
    <row r="270">
      <c r="A270" s="8" t="s">
        <v>413</v>
      </c>
      <c r="B270" s="8">
        <v>2004.0</v>
      </c>
      <c r="C270" s="8" t="s">
        <v>373</v>
      </c>
      <c r="D270" s="8" t="s">
        <v>377</v>
      </c>
      <c r="E270" s="8">
        <v>2100.0</v>
      </c>
      <c r="F270" s="8" t="s">
        <v>41</v>
      </c>
      <c r="G270" s="8" t="s">
        <v>42</v>
      </c>
      <c r="H270" s="8" t="s">
        <v>374</v>
      </c>
      <c r="I270" s="8">
        <v>0.8</v>
      </c>
      <c r="J270" s="8">
        <v>0.0</v>
      </c>
      <c r="K270" s="8">
        <v>3.0</v>
      </c>
      <c r="L270" s="8">
        <v>0.0</v>
      </c>
      <c r="M270" s="8">
        <v>3.0</v>
      </c>
      <c r="N270" s="8">
        <v>-1.945910149</v>
      </c>
      <c r="O270" s="8">
        <v>1.6</v>
      </c>
      <c r="P270" s="8" t="s">
        <v>71</v>
      </c>
    </row>
    <row r="271">
      <c r="A271" s="8" t="s">
        <v>413</v>
      </c>
      <c r="B271" s="8">
        <v>2004.0</v>
      </c>
      <c r="C271" s="8" t="s">
        <v>373</v>
      </c>
      <c r="D271" s="8" t="s">
        <v>377</v>
      </c>
      <c r="E271" s="8">
        <v>2100.0</v>
      </c>
      <c r="F271" s="8" t="s">
        <v>41</v>
      </c>
      <c r="G271" s="8" t="s">
        <v>42</v>
      </c>
      <c r="H271" s="8" t="s">
        <v>374</v>
      </c>
      <c r="I271" s="8">
        <v>1.0</v>
      </c>
      <c r="J271" s="8">
        <v>2.0</v>
      </c>
      <c r="K271" s="8">
        <v>3.0</v>
      </c>
      <c r="L271" s="8">
        <v>0.666666667</v>
      </c>
      <c r="M271" s="8">
        <v>3.0</v>
      </c>
      <c r="N271" s="8">
        <v>0.693147181</v>
      </c>
      <c r="O271" s="8">
        <v>3.6</v>
      </c>
      <c r="P271" s="8" t="s">
        <v>71</v>
      </c>
    </row>
    <row r="272">
      <c r="A272" s="8" t="s">
        <v>413</v>
      </c>
      <c r="B272" s="8">
        <v>2004.0</v>
      </c>
      <c r="C272" s="8" t="s">
        <v>373</v>
      </c>
      <c r="D272" s="8" t="s">
        <v>377</v>
      </c>
      <c r="E272" s="8">
        <v>2100.0</v>
      </c>
      <c r="F272" s="8" t="s">
        <v>41</v>
      </c>
      <c r="G272" s="8" t="s">
        <v>42</v>
      </c>
      <c r="H272" s="8" t="s">
        <v>374</v>
      </c>
      <c r="I272" s="8">
        <v>0.95</v>
      </c>
      <c r="J272" s="8">
        <v>2.0</v>
      </c>
      <c r="K272" s="8">
        <v>3.0</v>
      </c>
      <c r="L272" s="8">
        <v>0.666666667</v>
      </c>
      <c r="M272" s="8">
        <v>3.0</v>
      </c>
      <c r="N272" s="8">
        <v>0.693147181</v>
      </c>
      <c r="O272" s="8">
        <v>3.6</v>
      </c>
      <c r="P272" s="8" t="s">
        <v>71</v>
      </c>
    </row>
    <row r="273">
      <c r="A273" s="8" t="s">
        <v>413</v>
      </c>
      <c r="B273" s="8">
        <v>2004.0</v>
      </c>
      <c r="C273" s="8" t="s">
        <v>373</v>
      </c>
      <c r="D273" s="8" t="s">
        <v>377</v>
      </c>
      <c r="E273" s="8">
        <v>2100.0</v>
      </c>
      <c r="F273" s="8" t="s">
        <v>41</v>
      </c>
      <c r="G273" s="8" t="s">
        <v>42</v>
      </c>
      <c r="H273" s="8" t="s">
        <v>374</v>
      </c>
      <c r="I273" s="8">
        <v>0.8</v>
      </c>
      <c r="J273" s="8">
        <v>3.0</v>
      </c>
      <c r="K273" s="8">
        <v>3.0</v>
      </c>
      <c r="L273" s="8">
        <v>1.0</v>
      </c>
      <c r="M273" s="8">
        <v>3.0</v>
      </c>
      <c r="N273" s="8">
        <v>1.945910149</v>
      </c>
      <c r="O273" s="8">
        <v>3.6</v>
      </c>
      <c r="P273" s="8" t="s">
        <v>71</v>
      </c>
    </row>
    <row r="274">
      <c r="A274" s="8" t="s">
        <v>413</v>
      </c>
      <c r="B274" s="8">
        <v>2004.0</v>
      </c>
      <c r="C274" s="8" t="s">
        <v>373</v>
      </c>
      <c r="D274" s="8" t="s">
        <v>376</v>
      </c>
      <c r="E274" s="8">
        <v>2100.0</v>
      </c>
      <c r="F274" s="8" t="s">
        <v>41</v>
      </c>
      <c r="G274" s="8" t="s">
        <v>42</v>
      </c>
      <c r="H274" s="8" t="s">
        <v>374</v>
      </c>
      <c r="I274" s="8">
        <v>1.0</v>
      </c>
      <c r="J274" s="8">
        <v>0.0</v>
      </c>
      <c r="K274" s="8">
        <v>3.0</v>
      </c>
      <c r="L274" s="8">
        <v>0.0</v>
      </c>
      <c r="M274" s="8">
        <v>3.0</v>
      </c>
      <c r="N274" s="8">
        <v>-1.945910149</v>
      </c>
      <c r="O274" s="8">
        <v>1.6</v>
      </c>
      <c r="P274" s="8" t="s">
        <v>71</v>
      </c>
    </row>
    <row r="275">
      <c r="A275" s="8" t="s">
        <v>413</v>
      </c>
      <c r="B275" s="8">
        <v>2004.0</v>
      </c>
      <c r="C275" s="8" t="s">
        <v>373</v>
      </c>
      <c r="D275" s="8" t="s">
        <v>376</v>
      </c>
      <c r="E275" s="8">
        <v>2100.0</v>
      </c>
      <c r="F275" s="8" t="s">
        <v>41</v>
      </c>
      <c r="G275" s="8" t="s">
        <v>42</v>
      </c>
      <c r="H275" s="8" t="s">
        <v>374</v>
      </c>
      <c r="I275" s="8">
        <v>0.95</v>
      </c>
      <c r="J275" s="8">
        <v>0.0</v>
      </c>
      <c r="K275" s="8">
        <v>3.0</v>
      </c>
      <c r="L275" s="8">
        <v>0.0</v>
      </c>
      <c r="M275" s="8">
        <v>3.0</v>
      </c>
      <c r="N275" s="8">
        <v>-1.945910149</v>
      </c>
      <c r="O275" s="8">
        <v>1.6</v>
      </c>
      <c r="P275" s="8" t="s">
        <v>71</v>
      </c>
    </row>
    <row r="276">
      <c r="A276" s="8" t="s">
        <v>413</v>
      </c>
      <c r="B276" s="8">
        <v>2004.0</v>
      </c>
      <c r="C276" s="8" t="s">
        <v>373</v>
      </c>
      <c r="D276" s="8" t="s">
        <v>376</v>
      </c>
      <c r="E276" s="8">
        <v>2100.0</v>
      </c>
      <c r="F276" s="8" t="s">
        <v>41</v>
      </c>
      <c r="G276" s="8" t="s">
        <v>42</v>
      </c>
      <c r="H276" s="8" t="s">
        <v>374</v>
      </c>
      <c r="I276" s="8">
        <v>0.8</v>
      </c>
      <c r="J276" s="8">
        <v>0.0</v>
      </c>
      <c r="K276" s="8">
        <v>3.0</v>
      </c>
      <c r="L276" s="8">
        <v>0.0</v>
      </c>
      <c r="M276" s="8">
        <v>3.0</v>
      </c>
      <c r="N276" s="8">
        <v>-1.945910149</v>
      </c>
      <c r="O276" s="8">
        <v>1.6</v>
      </c>
      <c r="P276" s="8" t="s">
        <v>71</v>
      </c>
    </row>
    <row r="277">
      <c r="A277" s="8" t="s">
        <v>413</v>
      </c>
      <c r="B277" s="8">
        <v>2004.0</v>
      </c>
      <c r="C277" s="8" t="s">
        <v>373</v>
      </c>
      <c r="D277" s="8" t="s">
        <v>376</v>
      </c>
      <c r="E277" s="8">
        <v>2100.0</v>
      </c>
      <c r="F277" s="8" t="s">
        <v>41</v>
      </c>
      <c r="G277" s="8" t="s">
        <v>42</v>
      </c>
      <c r="H277" s="8" t="s">
        <v>374</v>
      </c>
      <c r="I277" s="8">
        <v>1.0</v>
      </c>
      <c r="J277" s="8">
        <v>0.0</v>
      </c>
      <c r="K277" s="8">
        <v>3.0</v>
      </c>
      <c r="L277" s="8">
        <v>0.0</v>
      </c>
      <c r="M277" s="8">
        <v>3.0</v>
      </c>
      <c r="N277" s="8">
        <v>-1.945910149</v>
      </c>
      <c r="O277" s="8">
        <v>3.6</v>
      </c>
      <c r="P277" s="8" t="s">
        <v>71</v>
      </c>
    </row>
    <row r="278">
      <c r="A278" s="8" t="s">
        <v>413</v>
      </c>
      <c r="B278" s="8">
        <v>2004.0</v>
      </c>
      <c r="C278" s="8" t="s">
        <v>373</v>
      </c>
      <c r="D278" s="8" t="s">
        <v>376</v>
      </c>
      <c r="E278" s="8">
        <v>2100.0</v>
      </c>
      <c r="F278" s="8" t="s">
        <v>41</v>
      </c>
      <c r="G278" s="8" t="s">
        <v>42</v>
      </c>
      <c r="H278" s="8" t="s">
        <v>374</v>
      </c>
      <c r="I278" s="8">
        <v>0.95</v>
      </c>
      <c r="J278" s="8">
        <v>0.0</v>
      </c>
      <c r="K278" s="8">
        <v>3.0</v>
      </c>
      <c r="L278" s="8">
        <v>0.0</v>
      </c>
      <c r="M278" s="8">
        <v>3.0</v>
      </c>
      <c r="N278" s="8">
        <v>-1.945910149</v>
      </c>
      <c r="O278" s="8">
        <v>3.6</v>
      </c>
      <c r="P278" s="8" t="s">
        <v>71</v>
      </c>
    </row>
    <row r="279">
      <c r="A279" s="8" t="s">
        <v>413</v>
      </c>
      <c r="B279" s="8">
        <v>2004.0</v>
      </c>
      <c r="C279" s="8" t="s">
        <v>373</v>
      </c>
      <c r="D279" s="8" t="s">
        <v>376</v>
      </c>
      <c r="E279" s="8">
        <v>2100.0</v>
      </c>
      <c r="F279" s="8" t="s">
        <v>41</v>
      </c>
      <c r="G279" s="8" t="s">
        <v>42</v>
      </c>
      <c r="H279" s="8" t="s">
        <v>374</v>
      </c>
      <c r="I279" s="8">
        <v>0.8</v>
      </c>
      <c r="J279" s="8">
        <v>3.0</v>
      </c>
      <c r="K279" s="8">
        <v>3.0</v>
      </c>
      <c r="L279" s="8">
        <v>1.0</v>
      </c>
      <c r="M279" s="8">
        <v>3.0</v>
      </c>
      <c r="N279" s="8">
        <v>1.945910149</v>
      </c>
      <c r="O279" s="8">
        <v>3.6</v>
      </c>
      <c r="P279" s="8" t="s">
        <v>71</v>
      </c>
    </row>
    <row r="280">
      <c r="A280" s="8" t="s">
        <v>414</v>
      </c>
      <c r="B280" s="8">
        <v>2004.0</v>
      </c>
      <c r="C280" s="8" t="s">
        <v>32</v>
      </c>
      <c r="D280" s="8" t="s">
        <v>371</v>
      </c>
      <c r="E280" s="8">
        <v>2050.0</v>
      </c>
      <c r="F280" s="8" t="s">
        <v>34</v>
      </c>
      <c r="G280" s="8" t="s">
        <v>42</v>
      </c>
      <c r="H280" s="8" t="s">
        <v>374</v>
      </c>
      <c r="I280" s="8">
        <v>1.0</v>
      </c>
      <c r="J280" s="8">
        <v>58.0</v>
      </c>
      <c r="K280" s="8">
        <v>1200.0</v>
      </c>
      <c r="L280" s="8">
        <v>0.048333333</v>
      </c>
      <c r="M280" s="8">
        <v>1200.0</v>
      </c>
      <c r="N280" s="8">
        <v>-2.98009338</v>
      </c>
      <c r="O280" s="8">
        <v>2.56</v>
      </c>
      <c r="P280" s="8" t="s">
        <v>368</v>
      </c>
    </row>
    <row r="281">
      <c r="A281" s="8" t="s">
        <v>414</v>
      </c>
      <c r="B281" s="8">
        <v>2004.0</v>
      </c>
      <c r="C281" s="8" t="s">
        <v>32</v>
      </c>
      <c r="D281" s="8" t="s">
        <v>371</v>
      </c>
      <c r="E281" s="8">
        <v>2050.0</v>
      </c>
      <c r="F281" s="8" t="s">
        <v>34</v>
      </c>
      <c r="G281" s="8" t="s">
        <v>42</v>
      </c>
      <c r="H281" s="8" t="s">
        <v>367</v>
      </c>
      <c r="I281" s="8">
        <v>1.0</v>
      </c>
      <c r="J281" s="8">
        <v>77.0</v>
      </c>
      <c r="K281" s="8">
        <v>1200.0</v>
      </c>
      <c r="L281" s="8">
        <v>0.064166667</v>
      </c>
      <c r="M281" s="8">
        <v>1200.0</v>
      </c>
      <c r="N281" s="8">
        <v>-2.679953533</v>
      </c>
      <c r="O281" s="8">
        <v>2.56</v>
      </c>
      <c r="P281" s="8" t="s">
        <v>368</v>
      </c>
    </row>
    <row r="282">
      <c r="A282" s="8" t="s">
        <v>390</v>
      </c>
      <c r="B282" s="8">
        <v>2004.0</v>
      </c>
      <c r="C282" s="8" t="s">
        <v>365</v>
      </c>
      <c r="D282" s="8" t="s">
        <v>370</v>
      </c>
      <c r="E282" s="8">
        <v>2055.0</v>
      </c>
      <c r="F282" s="8" t="s">
        <v>34</v>
      </c>
      <c r="G282" s="8" t="s">
        <v>42</v>
      </c>
      <c r="H282" s="8" t="s">
        <v>367</v>
      </c>
      <c r="I282" s="8">
        <v>1.0</v>
      </c>
      <c r="J282" s="8">
        <v>0.0</v>
      </c>
      <c r="K282" s="8">
        <v>111.0</v>
      </c>
      <c r="L282" s="8">
        <v>0.0</v>
      </c>
      <c r="M282" s="8">
        <v>111.0</v>
      </c>
      <c r="N282" s="8">
        <v>-5.407171771</v>
      </c>
      <c r="O282" s="8">
        <v>2.1</v>
      </c>
      <c r="P282" s="8" t="s">
        <v>368</v>
      </c>
    </row>
    <row r="283">
      <c r="A283" s="8" t="s">
        <v>390</v>
      </c>
      <c r="B283" s="8">
        <v>2004.0</v>
      </c>
      <c r="C283" s="8" t="s">
        <v>365</v>
      </c>
      <c r="D283" s="8" t="s">
        <v>370</v>
      </c>
      <c r="E283" s="8">
        <v>2055.0</v>
      </c>
      <c r="F283" s="8" t="s">
        <v>34</v>
      </c>
      <c r="G283" s="8" t="s">
        <v>42</v>
      </c>
      <c r="H283" s="8" t="s">
        <v>367</v>
      </c>
      <c r="I283" s="8">
        <v>0.95</v>
      </c>
      <c r="J283" s="8">
        <v>0.0</v>
      </c>
      <c r="K283" s="8">
        <v>111.0</v>
      </c>
      <c r="L283" s="8">
        <v>0.0</v>
      </c>
      <c r="M283" s="8">
        <v>111.0</v>
      </c>
      <c r="N283" s="8">
        <v>-5.407171771</v>
      </c>
      <c r="O283" s="8">
        <v>2.1</v>
      </c>
      <c r="P283" s="8" t="s">
        <v>368</v>
      </c>
    </row>
    <row r="284">
      <c r="A284" s="8" t="s">
        <v>390</v>
      </c>
      <c r="B284" s="8">
        <v>2004.0</v>
      </c>
      <c r="C284" s="8" t="s">
        <v>365</v>
      </c>
      <c r="D284" s="8" t="s">
        <v>370</v>
      </c>
      <c r="E284" s="8">
        <v>2055.0</v>
      </c>
      <c r="F284" s="8" t="s">
        <v>34</v>
      </c>
      <c r="G284" s="8" t="s">
        <v>42</v>
      </c>
      <c r="H284" s="8" t="s">
        <v>367</v>
      </c>
      <c r="I284" s="8">
        <v>0.8</v>
      </c>
      <c r="J284" s="8">
        <v>0.0</v>
      </c>
      <c r="K284" s="8">
        <v>111.0</v>
      </c>
      <c r="L284" s="8">
        <v>0.0</v>
      </c>
      <c r="M284" s="8">
        <v>111.0</v>
      </c>
      <c r="N284" s="8">
        <v>-5.407171771</v>
      </c>
      <c r="O284" s="8">
        <v>2.1</v>
      </c>
      <c r="P284" s="8" t="s">
        <v>368</v>
      </c>
    </row>
    <row r="285">
      <c r="A285" s="8" t="s">
        <v>390</v>
      </c>
      <c r="B285" s="8">
        <v>2004.0</v>
      </c>
      <c r="C285" s="8" t="s">
        <v>365</v>
      </c>
      <c r="D285" s="8" t="s">
        <v>370</v>
      </c>
      <c r="E285" s="8">
        <v>2055.0</v>
      </c>
      <c r="F285" s="8" t="s">
        <v>34</v>
      </c>
      <c r="G285" s="8" t="s">
        <v>42</v>
      </c>
      <c r="H285" s="8" t="s">
        <v>367</v>
      </c>
      <c r="I285" s="8">
        <v>1.0</v>
      </c>
      <c r="J285" s="8">
        <v>0.0</v>
      </c>
      <c r="K285" s="8">
        <v>111.0</v>
      </c>
      <c r="L285" s="8">
        <v>0.0</v>
      </c>
      <c r="M285" s="8">
        <v>111.0</v>
      </c>
      <c r="N285" s="8">
        <v>-5.407171771</v>
      </c>
      <c r="O285" s="8">
        <v>2.35</v>
      </c>
      <c r="P285" s="8" t="s">
        <v>368</v>
      </c>
    </row>
    <row r="286">
      <c r="A286" s="8" t="s">
        <v>390</v>
      </c>
      <c r="B286" s="8">
        <v>2004.0</v>
      </c>
      <c r="C286" s="8" t="s">
        <v>365</v>
      </c>
      <c r="D286" s="8" t="s">
        <v>370</v>
      </c>
      <c r="E286" s="8">
        <v>2055.0</v>
      </c>
      <c r="F286" s="8" t="s">
        <v>34</v>
      </c>
      <c r="G286" s="8" t="s">
        <v>42</v>
      </c>
      <c r="H286" s="8" t="s">
        <v>367</v>
      </c>
      <c r="I286" s="8">
        <v>0.95</v>
      </c>
      <c r="J286" s="8">
        <v>0.0</v>
      </c>
      <c r="K286" s="8">
        <v>111.0</v>
      </c>
      <c r="L286" s="8">
        <v>0.0</v>
      </c>
      <c r="M286" s="8">
        <v>111.0</v>
      </c>
      <c r="N286" s="8">
        <v>-5.407171771</v>
      </c>
      <c r="O286" s="8">
        <v>2.35</v>
      </c>
      <c r="P286" s="8" t="s">
        <v>368</v>
      </c>
    </row>
    <row r="287">
      <c r="A287" s="8" t="s">
        <v>390</v>
      </c>
      <c r="B287" s="8">
        <v>2004.0</v>
      </c>
      <c r="C287" s="8" t="s">
        <v>365</v>
      </c>
      <c r="D287" s="8" t="s">
        <v>370</v>
      </c>
      <c r="E287" s="8">
        <v>2055.0</v>
      </c>
      <c r="F287" s="8" t="s">
        <v>34</v>
      </c>
      <c r="G287" s="8" t="s">
        <v>42</v>
      </c>
      <c r="H287" s="8" t="s">
        <v>367</v>
      </c>
      <c r="I287" s="8">
        <v>0.8</v>
      </c>
      <c r="J287" s="8">
        <v>0.0</v>
      </c>
      <c r="K287" s="8">
        <v>111.0</v>
      </c>
      <c r="L287" s="8">
        <v>0.0</v>
      </c>
      <c r="M287" s="8">
        <v>111.0</v>
      </c>
      <c r="N287" s="8">
        <v>-5.407171771</v>
      </c>
      <c r="O287" s="8">
        <v>2.35</v>
      </c>
      <c r="P287" s="8" t="s">
        <v>368</v>
      </c>
    </row>
    <row r="288">
      <c r="A288" s="8" t="s">
        <v>415</v>
      </c>
      <c r="B288" s="8">
        <v>2004.0</v>
      </c>
      <c r="C288" s="8" t="s">
        <v>32</v>
      </c>
      <c r="D288" s="8" t="s">
        <v>371</v>
      </c>
      <c r="E288" s="8">
        <v>2085.0</v>
      </c>
      <c r="F288" s="8" t="s">
        <v>34</v>
      </c>
      <c r="G288" s="8" t="s">
        <v>42</v>
      </c>
      <c r="H288" s="8" t="s">
        <v>367</v>
      </c>
      <c r="I288" s="8">
        <v>1.0</v>
      </c>
      <c r="J288" s="8">
        <v>0.0</v>
      </c>
      <c r="K288" s="8">
        <v>26.0</v>
      </c>
      <c r="L288" s="8">
        <v>0.0</v>
      </c>
      <c r="M288" s="8">
        <v>26.0</v>
      </c>
      <c r="N288" s="8">
        <v>-3.970291914</v>
      </c>
      <c r="O288" s="8">
        <v>2.36</v>
      </c>
      <c r="P288" s="8" t="s">
        <v>368</v>
      </c>
    </row>
    <row r="289">
      <c r="A289" s="8" t="s">
        <v>415</v>
      </c>
      <c r="B289" s="8">
        <v>2004.0</v>
      </c>
      <c r="C289" s="8" t="s">
        <v>32</v>
      </c>
      <c r="D289" s="8" t="s">
        <v>371</v>
      </c>
      <c r="E289" s="8">
        <v>2085.0</v>
      </c>
      <c r="F289" s="8" t="s">
        <v>34</v>
      </c>
      <c r="G289" s="8" t="s">
        <v>42</v>
      </c>
      <c r="H289" s="8" t="s">
        <v>367</v>
      </c>
      <c r="I289" s="8">
        <v>0.95</v>
      </c>
      <c r="J289" s="8">
        <v>2.0</v>
      </c>
      <c r="K289" s="8">
        <v>26.0</v>
      </c>
      <c r="L289" s="8">
        <v>0.076923077</v>
      </c>
      <c r="M289" s="8">
        <v>26.0</v>
      </c>
      <c r="N289" s="8">
        <v>-2.48490665</v>
      </c>
      <c r="O289" s="8">
        <v>2.36</v>
      </c>
      <c r="P289" s="8" t="s">
        <v>368</v>
      </c>
    </row>
    <row r="290">
      <c r="A290" s="8" t="s">
        <v>415</v>
      </c>
      <c r="B290" s="8">
        <v>2004.0</v>
      </c>
      <c r="C290" s="8" t="s">
        <v>32</v>
      </c>
      <c r="D290" s="8" t="s">
        <v>371</v>
      </c>
      <c r="E290" s="8">
        <v>2085.0</v>
      </c>
      <c r="F290" s="8" t="s">
        <v>34</v>
      </c>
      <c r="G290" s="8" t="s">
        <v>42</v>
      </c>
      <c r="H290" s="8" t="s">
        <v>367</v>
      </c>
      <c r="I290" s="8">
        <v>0.8</v>
      </c>
      <c r="J290" s="8">
        <v>2.0</v>
      </c>
      <c r="K290" s="8">
        <v>26.0</v>
      </c>
      <c r="L290" s="8">
        <v>0.076923077</v>
      </c>
      <c r="M290" s="8">
        <v>26.0</v>
      </c>
      <c r="N290" s="8">
        <v>-2.48490665</v>
      </c>
      <c r="O290" s="8">
        <v>2.36</v>
      </c>
      <c r="P290" s="8" t="s">
        <v>368</v>
      </c>
    </row>
    <row r="291">
      <c r="A291" s="8" t="s">
        <v>415</v>
      </c>
      <c r="B291" s="8">
        <v>2004.0</v>
      </c>
      <c r="C291" s="8" t="s">
        <v>32</v>
      </c>
      <c r="D291" s="8" t="s">
        <v>371</v>
      </c>
      <c r="E291" s="8">
        <v>2085.0</v>
      </c>
      <c r="F291" s="8" t="s">
        <v>34</v>
      </c>
      <c r="G291" s="8" t="s">
        <v>42</v>
      </c>
      <c r="H291" s="8" t="s">
        <v>416</v>
      </c>
      <c r="I291" s="8">
        <v>1.0</v>
      </c>
      <c r="J291" s="8">
        <v>0.0</v>
      </c>
      <c r="K291" s="8">
        <v>26.0</v>
      </c>
      <c r="L291" s="8">
        <v>0.0</v>
      </c>
      <c r="M291" s="8">
        <v>26.0</v>
      </c>
      <c r="N291" s="8">
        <v>-3.970291914</v>
      </c>
      <c r="O291" s="8">
        <v>2.36</v>
      </c>
      <c r="P291" s="8" t="s">
        <v>368</v>
      </c>
    </row>
    <row r="292">
      <c r="A292" s="8" t="s">
        <v>415</v>
      </c>
      <c r="B292" s="8">
        <v>2004.0</v>
      </c>
      <c r="C292" s="8" t="s">
        <v>32</v>
      </c>
      <c r="D292" s="8" t="s">
        <v>371</v>
      </c>
      <c r="E292" s="8">
        <v>2085.0</v>
      </c>
      <c r="F292" s="8" t="s">
        <v>34</v>
      </c>
      <c r="G292" s="8" t="s">
        <v>42</v>
      </c>
      <c r="H292" s="8" t="s">
        <v>416</v>
      </c>
      <c r="I292" s="8">
        <v>0.95</v>
      </c>
      <c r="J292" s="8">
        <v>1.0</v>
      </c>
      <c r="K292" s="8">
        <v>26.0</v>
      </c>
      <c r="L292" s="8">
        <v>0.038461538</v>
      </c>
      <c r="M292" s="8">
        <v>26.0</v>
      </c>
      <c r="N292" s="8">
        <v>-3.218875825</v>
      </c>
      <c r="O292" s="8">
        <v>2.36</v>
      </c>
      <c r="P292" s="8" t="s">
        <v>368</v>
      </c>
    </row>
    <row r="293">
      <c r="A293" s="8" t="s">
        <v>415</v>
      </c>
      <c r="B293" s="8">
        <v>2004.0</v>
      </c>
      <c r="C293" s="8" t="s">
        <v>32</v>
      </c>
      <c r="D293" s="8" t="s">
        <v>371</v>
      </c>
      <c r="E293" s="8">
        <v>2085.0</v>
      </c>
      <c r="F293" s="8" t="s">
        <v>34</v>
      </c>
      <c r="G293" s="8" t="s">
        <v>42</v>
      </c>
      <c r="H293" s="8" t="s">
        <v>416</v>
      </c>
      <c r="I293" s="8">
        <v>0.8</v>
      </c>
      <c r="J293" s="8">
        <v>1.0</v>
      </c>
      <c r="K293" s="8">
        <v>26.0</v>
      </c>
      <c r="L293" s="8">
        <v>0.038461538</v>
      </c>
      <c r="M293" s="8">
        <v>26.0</v>
      </c>
      <c r="N293" s="8">
        <v>-3.218875825</v>
      </c>
      <c r="O293" s="8">
        <v>2.36</v>
      </c>
      <c r="P293" s="8" t="s">
        <v>368</v>
      </c>
    </row>
    <row r="294">
      <c r="A294" s="8" t="s">
        <v>415</v>
      </c>
      <c r="B294" s="8">
        <v>2004.0</v>
      </c>
      <c r="C294" s="8" t="s">
        <v>32</v>
      </c>
      <c r="D294" s="8" t="s">
        <v>371</v>
      </c>
      <c r="E294" s="8">
        <v>2085.0</v>
      </c>
      <c r="F294" s="8" t="s">
        <v>34</v>
      </c>
      <c r="G294" s="8" t="s">
        <v>42</v>
      </c>
      <c r="H294" s="8" t="s">
        <v>367</v>
      </c>
      <c r="I294" s="8">
        <v>1.0</v>
      </c>
      <c r="J294" s="8">
        <v>1.0</v>
      </c>
      <c r="K294" s="8">
        <v>26.0</v>
      </c>
      <c r="L294" s="8">
        <v>0.038461538</v>
      </c>
      <c r="M294" s="8">
        <v>26.0</v>
      </c>
      <c r="N294" s="8">
        <v>-3.218875825</v>
      </c>
      <c r="O294" s="8">
        <v>3.57</v>
      </c>
      <c r="P294" s="8" t="s">
        <v>368</v>
      </c>
    </row>
    <row r="295">
      <c r="A295" s="8" t="s">
        <v>415</v>
      </c>
      <c r="B295" s="8">
        <v>2004.0</v>
      </c>
      <c r="C295" s="8" t="s">
        <v>32</v>
      </c>
      <c r="D295" s="8" t="s">
        <v>371</v>
      </c>
      <c r="E295" s="8">
        <v>2085.0</v>
      </c>
      <c r="F295" s="8" t="s">
        <v>34</v>
      </c>
      <c r="G295" s="8" t="s">
        <v>42</v>
      </c>
      <c r="H295" s="8" t="s">
        <v>367</v>
      </c>
      <c r="I295" s="8">
        <v>0.95</v>
      </c>
      <c r="J295" s="8">
        <v>1.0</v>
      </c>
      <c r="K295" s="8">
        <v>26.0</v>
      </c>
      <c r="L295" s="8">
        <v>0.038461538</v>
      </c>
      <c r="M295" s="8">
        <v>26.0</v>
      </c>
      <c r="N295" s="8">
        <v>-3.218875825</v>
      </c>
      <c r="O295" s="8">
        <v>3.57</v>
      </c>
      <c r="P295" s="8" t="s">
        <v>368</v>
      </c>
    </row>
    <row r="296">
      <c r="A296" s="8" t="s">
        <v>415</v>
      </c>
      <c r="B296" s="8">
        <v>2004.0</v>
      </c>
      <c r="C296" s="8" t="s">
        <v>32</v>
      </c>
      <c r="D296" s="8" t="s">
        <v>371</v>
      </c>
      <c r="E296" s="8">
        <v>2085.0</v>
      </c>
      <c r="F296" s="8" t="s">
        <v>34</v>
      </c>
      <c r="G296" s="8" t="s">
        <v>42</v>
      </c>
      <c r="H296" s="8" t="s">
        <v>367</v>
      </c>
      <c r="I296" s="8">
        <v>0.8</v>
      </c>
      <c r="J296" s="8">
        <v>4.0</v>
      </c>
      <c r="K296" s="8">
        <v>26.0</v>
      </c>
      <c r="L296" s="8">
        <v>0.153846154</v>
      </c>
      <c r="M296" s="8">
        <v>26.0</v>
      </c>
      <c r="N296" s="8">
        <v>-1.704748092</v>
      </c>
      <c r="O296" s="8">
        <v>3.57</v>
      </c>
      <c r="P296" s="8" t="s">
        <v>368</v>
      </c>
    </row>
    <row r="297">
      <c r="A297" s="8" t="s">
        <v>415</v>
      </c>
      <c r="B297" s="8">
        <v>2004.0</v>
      </c>
      <c r="C297" s="8" t="s">
        <v>32</v>
      </c>
      <c r="D297" s="8" t="s">
        <v>371</v>
      </c>
      <c r="E297" s="8">
        <v>2085.0</v>
      </c>
      <c r="F297" s="8" t="s">
        <v>34</v>
      </c>
      <c r="G297" s="8" t="s">
        <v>42</v>
      </c>
      <c r="H297" s="8" t="s">
        <v>416</v>
      </c>
      <c r="I297" s="8">
        <v>1.0</v>
      </c>
      <c r="J297" s="8">
        <v>1.0</v>
      </c>
      <c r="K297" s="8">
        <v>26.0</v>
      </c>
      <c r="L297" s="8">
        <v>0.038461538</v>
      </c>
      <c r="M297" s="8">
        <v>26.0</v>
      </c>
      <c r="N297" s="8">
        <v>-3.218875825</v>
      </c>
      <c r="O297" s="8">
        <v>3.57</v>
      </c>
      <c r="P297" s="8" t="s">
        <v>368</v>
      </c>
    </row>
    <row r="298">
      <c r="A298" s="8" t="s">
        <v>415</v>
      </c>
      <c r="B298" s="8">
        <v>2004.0</v>
      </c>
      <c r="C298" s="8" t="s">
        <v>32</v>
      </c>
      <c r="D298" s="8" t="s">
        <v>371</v>
      </c>
      <c r="E298" s="8">
        <v>2085.0</v>
      </c>
      <c r="F298" s="8" t="s">
        <v>34</v>
      </c>
      <c r="G298" s="8" t="s">
        <v>42</v>
      </c>
      <c r="H298" s="8" t="s">
        <v>416</v>
      </c>
      <c r="I298" s="8">
        <v>0.95</v>
      </c>
      <c r="J298" s="8">
        <v>0.0</v>
      </c>
      <c r="K298" s="8">
        <v>26.0</v>
      </c>
      <c r="L298" s="8">
        <v>0.0</v>
      </c>
      <c r="M298" s="8">
        <v>26.0</v>
      </c>
      <c r="N298" s="8">
        <v>-3.970291914</v>
      </c>
      <c r="O298" s="8">
        <v>3.57</v>
      </c>
      <c r="P298" s="8" t="s">
        <v>368</v>
      </c>
    </row>
    <row r="299">
      <c r="A299" s="8" t="s">
        <v>415</v>
      </c>
      <c r="B299" s="8">
        <v>2004.0</v>
      </c>
      <c r="C299" s="8" t="s">
        <v>32</v>
      </c>
      <c r="D299" s="8" t="s">
        <v>371</v>
      </c>
      <c r="E299" s="8">
        <v>2085.0</v>
      </c>
      <c r="F299" s="8" t="s">
        <v>34</v>
      </c>
      <c r="G299" s="8" t="s">
        <v>42</v>
      </c>
      <c r="H299" s="8" t="s">
        <v>416</v>
      </c>
      <c r="I299" s="8">
        <v>0.8</v>
      </c>
      <c r="J299" s="8">
        <v>0.0</v>
      </c>
      <c r="K299" s="8">
        <v>26.0</v>
      </c>
      <c r="L299" s="8">
        <v>0.0</v>
      </c>
      <c r="M299" s="8">
        <v>26.0</v>
      </c>
      <c r="N299" s="8">
        <v>-3.970291914</v>
      </c>
      <c r="O299" s="8">
        <v>3.57</v>
      </c>
      <c r="P299" s="8" t="s">
        <v>368</v>
      </c>
    </row>
    <row r="300">
      <c r="A300" s="8" t="s">
        <v>417</v>
      </c>
      <c r="B300" s="8">
        <v>2004.0</v>
      </c>
      <c r="C300" s="8" t="s">
        <v>39</v>
      </c>
      <c r="D300" s="8" t="s">
        <v>375</v>
      </c>
      <c r="E300" s="8">
        <v>2050.0</v>
      </c>
      <c r="F300" s="8" t="s">
        <v>34</v>
      </c>
      <c r="G300" s="8" t="s">
        <v>42</v>
      </c>
      <c r="H300" s="8" t="s">
        <v>367</v>
      </c>
      <c r="I300" s="8">
        <v>1.0</v>
      </c>
      <c r="J300" s="8">
        <v>0.0</v>
      </c>
      <c r="K300" s="8">
        <v>6.0</v>
      </c>
      <c r="L300" s="8">
        <v>0.0</v>
      </c>
      <c r="M300" s="8">
        <v>6.0</v>
      </c>
      <c r="N300" s="8">
        <v>-2.564949357</v>
      </c>
      <c r="O300" s="8">
        <v>2.19</v>
      </c>
      <c r="P300" s="8" t="s">
        <v>368</v>
      </c>
    </row>
    <row r="301">
      <c r="A301" s="8" t="s">
        <v>417</v>
      </c>
      <c r="B301" s="8">
        <v>2004.0</v>
      </c>
      <c r="C301" s="8" t="s">
        <v>39</v>
      </c>
      <c r="D301" s="8" t="s">
        <v>375</v>
      </c>
      <c r="E301" s="8">
        <v>2050.0</v>
      </c>
      <c r="F301" s="8" t="s">
        <v>34</v>
      </c>
      <c r="G301" s="8" t="s">
        <v>42</v>
      </c>
      <c r="H301" s="8" t="s">
        <v>367</v>
      </c>
      <c r="I301" s="8">
        <v>0.95</v>
      </c>
      <c r="J301" s="8">
        <v>0.0</v>
      </c>
      <c r="K301" s="8">
        <v>6.0</v>
      </c>
      <c r="L301" s="8">
        <v>0.0</v>
      </c>
      <c r="M301" s="8">
        <v>6.0</v>
      </c>
      <c r="N301" s="8">
        <v>-2.564949357</v>
      </c>
      <c r="O301" s="8">
        <v>2.19</v>
      </c>
      <c r="P301" s="8" t="s">
        <v>368</v>
      </c>
    </row>
    <row r="302">
      <c r="A302" s="8" t="s">
        <v>417</v>
      </c>
      <c r="B302" s="8">
        <v>2004.0</v>
      </c>
      <c r="C302" s="8" t="s">
        <v>39</v>
      </c>
      <c r="D302" s="8" t="s">
        <v>375</v>
      </c>
      <c r="E302" s="8">
        <v>2050.0</v>
      </c>
      <c r="F302" s="8" t="s">
        <v>34</v>
      </c>
      <c r="G302" s="8" t="s">
        <v>42</v>
      </c>
      <c r="H302" s="8" t="s">
        <v>367</v>
      </c>
      <c r="I302" s="8">
        <v>0.8</v>
      </c>
      <c r="J302" s="8">
        <v>0.0</v>
      </c>
      <c r="K302" s="8">
        <v>6.0</v>
      </c>
      <c r="L302" s="8">
        <v>0.0</v>
      </c>
      <c r="M302" s="8">
        <v>6.0</v>
      </c>
      <c r="N302" s="8">
        <v>-2.564949357</v>
      </c>
      <c r="O302" s="8">
        <v>2.19</v>
      </c>
      <c r="P302" s="8" t="s">
        <v>368</v>
      </c>
    </row>
    <row r="303">
      <c r="A303" s="8" t="s">
        <v>417</v>
      </c>
      <c r="B303" s="8">
        <v>2004.0</v>
      </c>
      <c r="C303" s="8" t="s">
        <v>39</v>
      </c>
      <c r="D303" s="8" t="s">
        <v>375</v>
      </c>
      <c r="E303" s="8">
        <v>2050.0</v>
      </c>
      <c r="F303" s="8" t="s">
        <v>34</v>
      </c>
      <c r="G303" s="8" t="s">
        <v>42</v>
      </c>
      <c r="H303" s="8" t="s">
        <v>374</v>
      </c>
      <c r="I303" s="8">
        <v>1.0</v>
      </c>
      <c r="J303" s="8">
        <v>0.0</v>
      </c>
      <c r="K303" s="8">
        <v>6.0</v>
      </c>
      <c r="L303" s="8">
        <v>0.0</v>
      </c>
      <c r="M303" s="8">
        <v>6.0</v>
      </c>
      <c r="N303" s="8">
        <v>-2.564949357</v>
      </c>
      <c r="O303" s="8">
        <v>2.19</v>
      </c>
      <c r="P303" s="8" t="s">
        <v>368</v>
      </c>
    </row>
    <row r="304">
      <c r="A304" s="8" t="s">
        <v>417</v>
      </c>
      <c r="B304" s="8">
        <v>2004.0</v>
      </c>
      <c r="C304" s="8" t="s">
        <v>39</v>
      </c>
      <c r="D304" s="8" t="s">
        <v>375</v>
      </c>
      <c r="E304" s="8">
        <v>2050.0</v>
      </c>
      <c r="F304" s="8" t="s">
        <v>34</v>
      </c>
      <c r="G304" s="8" t="s">
        <v>42</v>
      </c>
      <c r="H304" s="8" t="s">
        <v>374</v>
      </c>
      <c r="I304" s="8">
        <v>0.95</v>
      </c>
      <c r="J304" s="8">
        <v>0.0</v>
      </c>
      <c r="K304" s="8">
        <v>6.0</v>
      </c>
      <c r="L304" s="8">
        <v>0.0</v>
      </c>
      <c r="M304" s="8">
        <v>6.0</v>
      </c>
      <c r="N304" s="8">
        <v>-2.564949357</v>
      </c>
      <c r="O304" s="8">
        <v>2.19</v>
      </c>
      <c r="P304" s="8" t="s">
        <v>368</v>
      </c>
    </row>
    <row r="305">
      <c r="A305" s="8" t="s">
        <v>417</v>
      </c>
      <c r="B305" s="8">
        <v>2004.0</v>
      </c>
      <c r="C305" s="8" t="s">
        <v>39</v>
      </c>
      <c r="D305" s="8" t="s">
        <v>375</v>
      </c>
      <c r="E305" s="8">
        <v>2050.0</v>
      </c>
      <c r="F305" s="8" t="s">
        <v>34</v>
      </c>
      <c r="G305" s="8" t="s">
        <v>42</v>
      </c>
      <c r="H305" s="8" t="s">
        <v>374</v>
      </c>
      <c r="I305" s="8">
        <v>0.8</v>
      </c>
      <c r="J305" s="8">
        <v>0.0</v>
      </c>
      <c r="K305" s="8">
        <v>6.0</v>
      </c>
      <c r="L305" s="8">
        <v>0.0</v>
      </c>
      <c r="M305" s="8">
        <v>6.0</v>
      </c>
      <c r="N305" s="8">
        <v>-2.564949357</v>
      </c>
      <c r="O305" s="8">
        <v>2.19</v>
      </c>
      <c r="P305" s="8" t="s">
        <v>368</v>
      </c>
    </row>
    <row r="306">
      <c r="A306" s="8" t="s">
        <v>418</v>
      </c>
      <c r="B306" s="8">
        <v>2004.0</v>
      </c>
      <c r="C306" s="8" t="s">
        <v>403</v>
      </c>
      <c r="D306" s="8" t="s">
        <v>371</v>
      </c>
      <c r="E306" s="8">
        <v>2085.0</v>
      </c>
      <c r="F306" s="8" t="s">
        <v>34</v>
      </c>
      <c r="G306" s="8" t="s">
        <v>382</v>
      </c>
      <c r="H306" s="8" t="s">
        <v>367</v>
      </c>
      <c r="I306" s="8">
        <v>1.0</v>
      </c>
      <c r="J306" s="8">
        <v>28.0</v>
      </c>
      <c r="K306" s="8">
        <v>69.0</v>
      </c>
      <c r="L306" s="8">
        <v>0.405797101</v>
      </c>
      <c r="M306" s="8">
        <v>69.0</v>
      </c>
      <c r="N306" s="8">
        <v>-0.381367557</v>
      </c>
      <c r="O306" s="8">
        <v>2.88</v>
      </c>
      <c r="P306" s="8" t="s">
        <v>368</v>
      </c>
    </row>
    <row r="307">
      <c r="A307" s="8" t="s">
        <v>418</v>
      </c>
      <c r="B307" s="8">
        <v>2004.0</v>
      </c>
      <c r="C307" s="8" t="s">
        <v>403</v>
      </c>
      <c r="D307" s="8" t="s">
        <v>371</v>
      </c>
      <c r="E307" s="8">
        <v>2085.0</v>
      </c>
      <c r="F307" s="8" t="s">
        <v>34</v>
      </c>
      <c r="G307" s="8" t="s">
        <v>382</v>
      </c>
      <c r="H307" s="8" t="s">
        <v>367</v>
      </c>
      <c r="I307" s="8">
        <v>1.0</v>
      </c>
      <c r="J307" s="8">
        <v>14.0</v>
      </c>
      <c r="K307" s="8">
        <v>69.0</v>
      </c>
      <c r="L307" s="8">
        <v>0.202898551</v>
      </c>
      <c r="M307" s="8">
        <v>69.0</v>
      </c>
      <c r="N307" s="8">
        <v>-1.368275856</v>
      </c>
      <c r="O307" s="8">
        <v>1.59</v>
      </c>
      <c r="P307" s="8" t="s">
        <v>368</v>
      </c>
    </row>
    <row r="308">
      <c r="A308" s="8" t="s">
        <v>419</v>
      </c>
      <c r="B308" s="8">
        <v>2004.0</v>
      </c>
      <c r="C308" s="8" t="s">
        <v>420</v>
      </c>
      <c r="D308" s="8" t="s">
        <v>370</v>
      </c>
      <c r="E308" s="8">
        <v>2100.0</v>
      </c>
      <c r="F308" s="8" t="s">
        <v>41</v>
      </c>
      <c r="G308" s="8" t="s">
        <v>382</v>
      </c>
      <c r="H308" s="8" t="s">
        <v>374</v>
      </c>
      <c r="I308" s="8">
        <v>1.0</v>
      </c>
      <c r="J308" s="8">
        <v>1.0</v>
      </c>
      <c r="K308" s="8">
        <v>3.0</v>
      </c>
      <c r="L308" s="8">
        <v>0.333333333</v>
      </c>
      <c r="M308" s="8">
        <v>3.0</v>
      </c>
      <c r="N308" s="8">
        <v>-0.693147181</v>
      </c>
      <c r="O308" s="8">
        <v>2.6</v>
      </c>
      <c r="P308" s="8" t="s">
        <v>368</v>
      </c>
    </row>
    <row r="309">
      <c r="A309" s="8" t="s">
        <v>421</v>
      </c>
      <c r="B309" s="8">
        <v>2005.0</v>
      </c>
      <c r="C309" s="8" t="s">
        <v>32</v>
      </c>
      <c r="D309" s="8" t="s">
        <v>371</v>
      </c>
      <c r="E309" s="8">
        <v>2080.0</v>
      </c>
      <c r="F309" s="8" t="s">
        <v>34</v>
      </c>
      <c r="G309" s="8" t="s">
        <v>42</v>
      </c>
      <c r="H309" s="8" t="s">
        <v>367</v>
      </c>
      <c r="I309" s="8">
        <v>1.0</v>
      </c>
      <c r="J309" s="8">
        <v>27.0</v>
      </c>
      <c r="K309" s="8">
        <v>1350.0</v>
      </c>
      <c r="L309" s="8">
        <v>0.02</v>
      </c>
      <c r="M309" s="8">
        <v>1350.0</v>
      </c>
      <c r="N309" s="8">
        <v>-3.891820298</v>
      </c>
      <c r="O309" s="8">
        <v>4.27</v>
      </c>
      <c r="P309" s="8" t="s">
        <v>368</v>
      </c>
    </row>
    <row r="310">
      <c r="A310" s="8" t="s">
        <v>421</v>
      </c>
      <c r="B310" s="8">
        <v>2005.0</v>
      </c>
      <c r="C310" s="8" t="s">
        <v>32</v>
      </c>
      <c r="D310" s="8" t="s">
        <v>371</v>
      </c>
      <c r="E310" s="8">
        <v>2080.0</v>
      </c>
      <c r="F310" s="8" t="s">
        <v>34</v>
      </c>
      <c r="G310" s="8" t="s">
        <v>42</v>
      </c>
      <c r="H310" s="8" t="s">
        <v>367</v>
      </c>
      <c r="I310" s="8">
        <v>1.0</v>
      </c>
      <c r="J310" s="8">
        <v>14.0</v>
      </c>
      <c r="K310" s="8">
        <v>1350.0</v>
      </c>
      <c r="L310" s="8">
        <v>0.01</v>
      </c>
      <c r="M310" s="8">
        <v>1350.0</v>
      </c>
      <c r="N310" s="8">
        <v>-4.558378024</v>
      </c>
      <c r="O310" s="8">
        <v>4.5</v>
      </c>
      <c r="P310" s="8" t="s">
        <v>368</v>
      </c>
    </row>
    <row r="311">
      <c r="A311" s="8" t="s">
        <v>421</v>
      </c>
      <c r="B311" s="8">
        <v>2005.0</v>
      </c>
      <c r="C311" s="8" t="s">
        <v>32</v>
      </c>
      <c r="D311" s="8" t="s">
        <v>371</v>
      </c>
      <c r="E311" s="8">
        <v>2080.0</v>
      </c>
      <c r="F311" s="8" t="s">
        <v>34</v>
      </c>
      <c r="G311" s="8" t="s">
        <v>42</v>
      </c>
      <c r="H311" s="8" t="s">
        <v>367</v>
      </c>
      <c r="I311" s="8">
        <v>1.0</v>
      </c>
      <c r="J311" s="8">
        <v>14.0</v>
      </c>
      <c r="K311" s="8">
        <v>1350.0</v>
      </c>
      <c r="L311" s="8">
        <v>0.01</v>
      </c>
      <c r="M311" s="8">
        <v>1350.0</v>
      </c>
      <c r="N311" s="8">
        <v>-4.558378024</v>
      </c>
      <c r="O311" s="8">
        <v>3.57</v>
      </c>
      <c r="P311" s="8" t="s">
        <v>368</v>
      </c>
    </row>
    <row r="312">
      <c r="A312" s="8" t="s">
        <v>421</v>
      </c>
      <c r="B312" s="8">
        <v>2005.0</v>
      </c>
      <c r="C312" s="8" t="s">
        <v>32</v>
      </c>
      <c r="D312" s="8" t="s">
        <v>371</v>
      </c>
      <c r="E312" s="8">
        <v>2080.0</v>
      </c>
      <c r="F312" s="8" t="s">
        <v>34</v>
      </c>
      <c r="G312" s="8" t="s">
        <v>42</v>
      </c>
      <c r="H312" s="8" t="s">
        <v>367</v>
      </c>
      <c r="I312" s="8">
        <v>1.0</v>
      </c>
      <c r="J312" s="8">
        <v>14.0</v>
      </c>
      <c r="K312" s="8">
        <v>1350.0</v>
      </c>
      <c r="L312" s="8">
        <v>0.01</v>
      </c>
      <c r="M312" s="8">
        <v>1350.0</v>
      </c>
      <c r="N312" s="8">
        <v>-4.558378024</v>
      </c>
      <c r="O312" s="8">
        <v>3.6</v>
      </c>
      <c r="P312" s="8" t="s">
        <v>368</v>
      </c>
    </row>
    <row r="313">
      <c r="A313" s="8" t="s">
        <v>421</v>
      </c>
      <c r="B313" s="8">
        <v>2005.0</v>
      </c>
      <c r="C313" s="8" t="s">
        <v>32</v>
      </c>
      <c r="D313" s="8" t="s">
        <v>371</v>
      </c>
      <c r="E313" s="8">
        <v>2080.0</v>
      </c>
      <c r="F313" s="8" t="s">
        <v>34</v>
      </c>
      <c r="G313" s="8" t="s">
        <v>42</v>
      </c>
      <c r="H313" s="8" t="s">
        <v>367</v>
      </c>
      <c r="I313" s="8">
        <v>1.0</v>
      </c>
      <c r="J313" s="8">
        <v>7.0</v>
      </c>
      <c r="K313" s="8">
        <v>1350.0</v>
      </c>
      <c r="L313" s="8">
        <v>0.005</v>
      </c>
      <c r="M313" s="8">
        <v>1350.0</v>
      </c>
      <c r="N313" s="8">
        <v>-5.256751047</v>
      </c>
      <c r="O313" s="8">
        <v>4.1</v>
      </c>
      <c r="P313" s="8" t="s">
        <v>368</v>
      </c>
    </row>
    <row r="314">
      <c r="A314" s="8" t="s">
        <v>421</v>
      </c>
      <c r="B314" s="8">
        <v>2005.0</v>
      </c>
      <c r="C314" s="8" t="s">
        <v>32</v>
      </c>
      <c r="D314" s="8" t="s">
        <v>371</v>
      </c>
      <c r="E314" s="8">
        <v>2080.0</v>
      </c>
      <c r="F314" s="8" t="s">
        <v>34</v>
      </c>
      <c r="G314" s="8" t="s">
        <v>42</v>
      </c>
      <c r="H314" s="8" t="s">
        <v>367</v>
      </c>
      <c r="I314" s="8">
        <v>1.0</v>
      </c>
      <c r="J314" s="8">
        <v>7.0</v>
      </c>
      <c r="K314" s="8">
        <v>1350.0</v>
      </c>
      <c r="L314" s="8">
        <v>0.005</v>
      </c>
      <c r="M314" s="8">
        <v>1350.0</v>
      </c>
      <c r="N314" s="8">
        <v>-5.256751047</v>
      </c>
      <c r="O314" s="8">
        <v>2.36</v>
      </c>
      <c r="P314" s="8" t="s">
        <v>368</v>
      </c>
    </row>
    <row r="315">
      <c r="A315" s="8" t="s">
        <v>421</v>
      </c>
      <c r="B315" s="8">
        <v>2005.0</v>
      </c>
      <c r="C315" s="8" t="s">
        <v>32</v>
      </c>
      <c r="D315" s="8" t="s">
        <v>371</v>
      </c>
      <c r="E315" s="8">
        <v>2080.0</v>
      </c>
      <c r="F315" s="8" t="s">
        <v>34</v>
      </c>
      <c r="G315" s="8" t="s">
        <v>42</v>
      </c>
      <c r="H315" s="8" t="s">
        <v>367</v>
      </c>
      <c r="I315" s="8">
        <v>1.0</v>
      </c>
      <c r="J315" s="8">
        <v>7.0</v>
      </c>
      <c r="K315" s="8">
        <v>1350.0</v>
      </c>
      <c r="L315" s="8">
        <v>0.005</v>
      </c>
      <c r="M315" s="8">
        <v>1350.0</v>
      </c>
      <c r="N315" s="8">
        <v>-5.256751047</v>
      </c>
      <c r="O315" s="8">
        <v>2.68</v>
      </c>
      <c r="P315" s="8" t="s">
        <v>368</v>
      </c>
    </row>
    <row r="316">
      <c r="A316" s="8" t="s">
        <v>421</v>
      </c>
      <c r="B316" s="8">
        <v>2005.0</v>
      </c>
      <c r="C316" s="8" t="s">
        <v>32</v>
      </c>
      <c r="D316" s="8" t="s">
        <v>371</v>
      </c>
      <c r="E316" s="8">
        <v>2080.0</v>
      </c>
      <c r="F316" s="8" t="s">
        <v>34</v>
      </c>
      <c r="G316" s="8" t="s">
        <v>42</v>
      </c>
      <c r="H316" s="8" t="s">
        <v>374</v>
      </c>
      <c r="I316" s="8">
        <v>1.0</v>
      </c>
      <c r="J316" s="8">
        <v>0.0</v>
      </c>
      <c r="K316" s="8">
        <v>1350.0</v>
      </c>
      <c r="L316" s="8">
        <v>0.0</v>
      </c>
      <c r="M316" s="8">
        <v>1350.0</v>
      </c>
      <c r="N316" s="8">
        <v>-7.901377354</v>
      </c>
      <c r="O316" s="8">
        <v>4.27</v>
      </c>
      <c r="P316" s="8" t="s">
        <v>368</v>
      </c>
    </row>
    <row r="317">
      <c r="A317" s="8" t="s">
        <v>421</v>
      </c>
      <c r="B317" s="8">
        <v>2005.0</v>
      </c>
      <c r="C317" s="8" t="s">
        <v>32</v>
      </c>
      <c r="D317" s="8" t="s">
        <v>371</v>
      </c>
      <c r="E317" s="8">
        <v>2080.0</v>
      </c>
      <c r="F317" s="8" t="s">
        <v>34</v>
      </c>
      <c r="G317" s="8" t="s">
        <v>42</v>
      </c>
      <c r="H317" s="8" t="s">
        <v>374</v>
      </c>
      <c r="I317" s="8">
        <v>1.0</v>
      </c>
      <c r="J317" s="8">
        <v>0.0</v>
      </c>
      <c r="K317" s="8">
        <v>1350.0</v>
      </c>
      <c r="L317" s="8">
        <v>0.0</v>
      </c>
      <c r="M317" s="8">
        <v>1350.0</v>
      </c>
      <c r="N317" s="8">
        <v>-7.901377354</v>
      </c>
      <c r="O317" s="8">
        <v>4.5</v>
      </c>
      <c r="P317" s="8" t="s">
        <v>368</v>
      </c>
    </row>
    <row r="318">
      <c r="A318" s="8" t="s">
        <v>421</v>
      </c>
      <c r="B318" s="8">
        <v>2005.0</v>
      </c>
      <c r="C318" s="8" t="s">
        <v>32</v>
      </c>
      <c r="D318" s="8" t="s">
        <v>371</v>
      </c>
      <c r="E318" s="8">
        <v>2080.0</v>
      </c>
      <c r="F318" s="8" t="s">
        <v>34</v>
      </c>
      <c r="G318" s="8" t="s">
        <v>42</v>
      </c>
      <c r="H318" s="8" t="s">
        <v>374</v>
      </c>
      <c r="I318" s="8">
        <v>1.0</v>
      </c>
      <c r="J318" s="8">
        <v>0.0</v>
      </c>
      <c r="K318" s="8">
        <v>1350.0</v>
      </c>
      <c r="L318" s="8">
        <v>0.0</v>
      </c>
      <c r="M318" s="8">
        <v>1350.0</v>
      </c>
      <c r="N318" s="8">
        <v>-7.901377354</v>
      </c>
      <c r="O318" s="8">
        <v>3.57</v>
      </c>
      <c r="P318" s="8" t="s">
        <v>368</v>
      </c>
    </row>
    <row r="319">
      <c r="A319" s="8" t="s">
        <v>421</v>
      </c>
      <c r="B319" s="8">
        <v>2005.0</v>
      </c>
      <c r="C319" s="8" t="s">
        <v>32</v>
      </c>
      <c r="D319" s="8" t="s">
        <v>371</v>
      </c>
      <c r="E319" s="8">
        <v>2080.0</v>
      </c>
      <c r="F319" s="8" t="s">
        <v>34</v>
      </c>
      <c r="G319" s="8" t="s">
        <v>42</v>
      </c>
      <c r="H319" s="8" t="s">
        <v>374</v>
      </c>
      <c r="I319" s="8">
        <v>1.0</v>
      </c>
      <c r="J319" s="8">
        <v>0.0</v>
      </c>
      <c r="K319" s="8">
        <v>1350.0</v>
      </c>
      <c r="L319" s="8">
        <v>0.0</v>
      </c>
      <c r="M319" s="8">
        <v>1350.0</v>
      </c>
      <c r="N319" s="8">
        <v>-7.901377354</v>
      </c>
      <c r="O319" s="8">
        <v>3.6</v>
      </c>
      <c r="P319" s="8" t="s">
        <v>368</v>
      </c>
    </row>
    <row r="320">
      <c r="A320" s="8" t="s">
        <v>421</v>
      </c>
      <c r="B320" s="8">
        <v>2005.0</v>
      </c>
      <c r="C320" s="8" t="s">
        <v>32</v>
      </c>
      <c r="D320" s="8" t="s">
        <v>371</v>
      </c>
      <c r="E320" s="8">
        <v>2080.0</v>
      </c>
      <c r="F320" s="8" t="s">
        <v>34</v>
      </c>
      <c r="G320" s="8" t="s">
        <v>42</v>
      </c>
      <c r="H320" s="8" t="s">
        <v>374</v>
      </c>
      <c r="I320" s="8">
        <v>1.0</v>
      </c>
      <c r="J320" s="8">
        <v>0.0</v>
      </c>
      <c r="K320" s="8">
        <v>1350.0</v>
      </c>
      <c r="L320" s="8">
        <v>0.0</v>
      </c>
      <c r="M320" s="8">
        <v>1350.0</v>
      </c>
      <c r="N320" s="8">
        <v>-7.901377354</v>
      </c>
      <c r="O320" s="8">
        <v>4.1</v>
      </c>
      <c r="P320" s="8" t="s">
        <v>368</v>
      </c>
    </row>
    <row r="321">
      <c r="A321" s="8" t="s">
        <v>421</v>
      </c>
      <c r="B321" s="8">
        <v>2005.0</v>
      </c>
      <c r="C321" s="8" t="s">
        <v>32</v>
      </c>
      <c r="D321" s="8" t="s">
        <v>371</v>
      </c>
      <c r="E321" s="8">
        <v>2080.0</v>
      </c>
      <c r="F321" s="8" t="s">
        <v>34</v>
      </c>
      <c r="G321" s="8" t="s">
        <v>42</v>
      </c>
      <c r="H321" s="8" t="s">
        <v>374</v>
      </c>
      <c r="I321" s="8">
        <v>1.0</v>
      </c>
      <c r="J321" s="8">
        <v>0.0</v>
      </c>
      <c r="K321" s="8">
        <v>1350.0</v>
      </c>
      <c r="L321" s="8">
        <v>0.0</v>
      </c>
      <c r="M321" s="8">
        <v>1350.0</v>
      </c>
      <c r="N321" s="8">
        <v>-7.901377354</v>
      </c>
      <c r="O321" s="8">
        <v>2.36</v>
      </c>
      <c r="P321" s="8" t="s">
        <v>368</v>
      </c>
    </row>
    <row r="322">
      <c r="A322" s="8" t="s">
        <v>421</v>
      </c>
      <c r="B322" s="8">
        <v>2005.0</v>
      </c>
      <c r="C322" s="8" t="s">
        <v>32</v>
      </c>
      <c r="D322" s="8" t="s">
        <v>371</v>
      </c>
      <c r="E322" s="8">
        <v>2080.0</v>
      </c>
      <c r="F322" s="8" t="s">
        <v>34</v>
      </c>
      <c r="G322" s="8" t="s">
        <v>42</v>
      </c>
      <c r="H322" s="8" t="s">
        <v>374</v>
      </c>
      <c r="I322" s="8">
        <v>1.0</v>
      </c>
      <c r="J322" s="8">
        <v>0.0</v>
      </c>
      <c r="K322" s="8">
        <v>1350.0</v>
      </c>
      <c r="L322" s="8">
        <v>0.0</v>
      </c>
      <c r="M322" s="8">
        <v>1350.0</v>
      </c>
      <c r="N322" s="8">
        <v>-7.901377354</v>
      </c>
      <c r="O322" s="8">
        <v>2.68</v>
      </c>
      <c r="P322" s="8" t="s">
        <v>368</v>
      </c>
    </row>
    <row r="323">
      <c r="A323" s="8" t="s">
        <v>395</v>
      </c>
      <c r="B323" s="8">
        <v>2005.0</v>
      </c>
      <c r="C323" s="8" t="s">
        <v>373</v>
      </c>
      <c r="D323" s="8" t="s">
        <v>370</v>
      </c>
      <c r="E323" s="8">
        <v>2020.0</v>
      </c>
      <c r="F323" s="8" t="s">
        <v>41</v>
      </c>
      <c r="G323" s="8" t="s">
        <v>42</v>
      </c>
      <c r="H323" s="8" t="s">
        <v>374</v>
      </c>
      <c r="I323" s="8">
        <v>1.0</v>
      </c>
      <c r="J323" s="8">
        <v>0.0</v>
      </c>
      <c r="K323" s="8">
        <v>25.0</v>
      </c>
      <c r="L323" s="8">
        <v>0.0</v>
      </c>
      <c r="M323" s="8">
        <v>25.0</v>
      </c>
      <c r="N323" s="8">
        <v>-3.931825633</v>
      </c>
      <c r="O323" s="8">
        <v>1.4</v>
      </c>
      <c r="P323" s="8" t="s">
        <v>368</v>
      </c>
    </row>
    <row r="324">
      <c r="A324" s="8" t="s">
        <v>395</v>
      </c>
      <c r="B324" s="8">
        <v>2005.0</v>
      </c>
      <c r="C324" s="8" t="s">
        <v>373</v>
      </c>
      <c r="D324" s="8" t="s">
        <v>370</v>
      </c>
      <c r="E324" s="8">
        <v>2020.0</v>
      </c>
      <c r="F324" s="8" t="s">
        <v>41</v>
      </c>
      <c r="G324" s="8" t="s">
        <v>42</v>
      </c>
      <c r="H324" s="8" t="s">
        <v>374</v>
      </c>
      <c r="I324" s="8">
        <v>0.95</v>
      </c>
      <c r="J324" s="8">
        <v>0.0</v>
      </c>
      <c r="K324" s="8">
        <v>25.0</v>
      </c>
      <c r="L324" s="8">
        <v>0.0</v>
      </c>
      <c r="M324" s="8">
        <v>25.0</v>
      </c>
      <c r="N324" s="8">
        <v>-3.931825633</v>
      </c>
      <c r="O324" s="8">
        <v>1.4</v>
      </c>
      <c r="P324" s="8" t="s">
        <v>368</v>
      </c>
    </row>
    <row r="325">
      <c r="A325" s="8" t="s">
        <v>395</v>
      </c>
      <c r="B325" s="8">
        <v>2005.0</v>
      </c>
      <c r="C325" s="8" t="s">
        <v>373</v>
      </c>
      <c r="D325" s="8" t="s">
        <v>370</v>
      </c>
      <c r="E325" s="8">
        <v>2020.0</v>
      </c>
      <c r="F325" s="8" t="s">
        <v>41</v>
      </c>
      <c r="G325" s="8" t="s">
        <v>42</v>
      </c>
      <c r="H325" s="8" t="s">
        <v>374</v>
      </c>
      <c r="I325" s="8">
        <v>0.8</v>
      </c>
      <c r="J325" s="8">
        <v>0.0</v>
      </c>
      <c r="K325" s="8">
        <v>25.0</v>
      </c>
      <c r="L325" s="8">
        <v>0.0</v>
      </c>
      <c r="M325" s="8">
        <v>25.0</v>
      </c>
      <c r="N325" s="8">
        <v>-3.931825633</v>
      </c>
      <c r="O325" s="8">
        <v>1.4</v>
      </c>
      <c r="P325" s="8" t="s">
        <v>368</v>
      </c>
    </row>
    <row r="326">
      <c r="A326" s="8" t="s">
        <v>395</v>
      </c>
      <c r="B326" s="8">
        <v>2005.0</v>
      </c>
      <c r="C326" s="8" t="s">
        <v>373</v>
      </c>
      <c r="D326" s="8" t="s">
        <v>370</v>
      </c>
      <c r="E326" s="8">
        <v>2020.0</v>
      </c>
      <c r="F326" s="8" t="s">
        <v>41</v>
      </c>
      <c r="G326" s="8" t="s">
        <v>42</v>
      </c>
      <c r="H326" s="8" t="s">
        <v>374</v>
      </c>
      <c r="I326" s="8">
        <v>1.0</v>
      </c>
      <c r="J326" s="8">
        <v>0.0</v>
      </c>
      <c r="K326" s="8">
        <v>25.0</v>
      </c>
      <c r="L326" s="8">
        <v>0.0</v>
      </c>
      <c r="M326" s="8">
        <v>25.0</v>
      </c>
      <c r="N326" s="8">
        <v>-3.931825633</v>
      </c>
      <c r="O326" s="8">
        <v>1.4</v>
      </c>
      <c r="P326" s="8" t="s">
        <v>368</v>
      </c>
    </row>
    <row r="327">
      <c r="A327" s="8" t="s">
        <v>395</v>
      </c>
      <c r="B327" s="8">
        <v>2005.0</v>
      </c>
      <c r="C327" s="8" t="s">
        <v>373</v>
      </c>
      <c r="D327" s="8" t="s">
        <v>370</v>
      </c>
      <c r="E327" s="8">
        <v>2020.0</v>
      </c>
      <c r="F327" s="8" t="s">
        <v>41</v>
      </c>
      <c r="G327" s="8" t="s">
        <v>42</v>
      </c>
      <c r="H327" s="8" t="s">
        <v>374</v>
      </c>
      <c r="I327" s="8">
        <v>0.95</v>
      </c>
      <c r="J327" s="8">
        <v>0.0</v>
      </c>
      <c r="K327" s="8">
        <v>25.0</v>
      </c>
      <c r="L327" s="8">
        <v>0.0</v>
      </c>
      <c r="M327" s="8">
        <v>25.0</v>
      </c>
      <c r="N327" s="8">
        <v>-3.931825633</v>
      </c>
      <c r="O327" s="8">
        <v>1.4</v>
      </c>
      <c r="P327" s="8" t="s">
        <v>368</v>
      </c>
    </row>
    <row r="328">
      <c r="A328" s="8" t="s">
        <v>395</v>
      </c>
      <c r="B328" s="8">
        <v>2005.0</v>
      </c>
      <c r="C328" s="8" t="s">
        <v>373</v>
      </c>
      <c r="D328" s="8" t="s">
        <v>370</v>
      </c>
      <c r="E328" s="8">
        <v>2020.0</v>
      </c>
      <c r="F328" s="8" t="s">
        <v>41</v>
      </c>
      <c r="G328" s="8" t="s">
        <v>42</v>
      </c>
      <c r="H328" s="8" t="s">
        <v>374</v>
      </c>
      <c r="I328" s="8">
        <v>0.8</v>
      </c>
      <c r="J328" s="8">
        <v>0.0</v>
      </c>
      <c r="K328" s="8">
        <v>25.0</v>
      </c>
      <c r="L328" s="8">
        <v>0.0</v>
      </c>
      <c r="M328" s="8">
        <v>25.0</v>
      </c>
      <c r="N328" s="8">
        <v>-3.931825633</v>
      </c>
      <c r="O328" s="8">
        <v>1.4</v>
      </c>
      <c r="P328" s="8" t="s">
        <v>368</v>
      </c>
    </row>
    <row r="329">
      <c r="A329" s="8" t="s">
        <v>422</v>
      </c>
      <c r="B329" s="8">
        <v>2005.0</v>
      </c>
      <c r="C329" s="8" t="s">
        <v>39</v>
      </c>
      <c r="D329" s="8" t="s">
        <v>371</v>
      </c>
      <c r="E329" s="8">
        <v>2020.0</v>
      </c>
      <c r="F329" s="8" t="s">
        <v>41</v>
      </c>
      <c r="G329" s="8" t="s">
        <v>42</v>
      </c>
      <c r="H329" s="8" t="s">
        <v>367</v>
      </c>
      <c r="I329" s="8">
        <v>0.8</v>
      </c>
      <c r="J329" s="8">
        <v>19.0</v>
      </c>
      <c r="K329" s="8">
        <v>227.0</v>
      </c>
      <c r="L329" s="8">
        <v>0.083700441</v>
      </c>
      <c r="M329" s="8">
        <v>227.0</v>
      </c>
      <c r="N329" s="8">
        <v>-2.393099101</v>
      </c>
      <c r="O329" s="8">
        <v>1.5</v>
      </c>
      <c r="P329" s="8" t="s">
        <v>368</v>
      </c>
    </row>
    <row r="330">
      <c r="A330" s="8" t="s">
        <v>422</v>
      </c>
      <c r="B330" s="8">
        <v>2005.0</v>
      </c>
      <c r="C330" s="8" t="s">
        <v>39</v>
      </c>
      <c r="D330" s="8" t="s">
        <v>371</v>
      </c>
      <c r="E330" s="8">
        <v>2020.0</v>
      </c>
      <c r="F330" s="8" t="s">
        <v>41</v>
      </c>
      <c r="G330" s="8" t="s">
        <v>42</v>
      </c>
      <c r="H330" s="8" t="s">
        <v>367</v>
      </c>
      <c r="I330" s="8">
        <v>1.0</v>
      </c>
      <c r="J330" s="8">
        <v>4.0</v>
      </c>
      <c r="K330" s="8">
        <v>227.0</v>
      </c>
      <c r="L330" s="8">
        <v>0.017621145</v>
      </c>
      <c r="M330" s="8">
        <v>227.0</v>
      </c>
      <c r="N330" s="8">
        <v>-4.02087741</v>
      </c>
      <c r="O330" s="8">
        <v>1.5</v>
      </c>
      <c r="P330" s="8" t="s">
        <v>368</v>
      </c>
    </row>
    <row r="331">
      <c r="A331" s="8" t="s">
        <v>423</v>
      </c>
      <c r="B331" s="8">
        <v>2005.0</v>
      </c>
      <c r="C331" s="8" t="s">
        <v>373</v>
      </c>
      <c r="D331" s="8" t="s">
        <v>375</v>
      </c>
      <c r="E331" s="8">
        <v>2100.0</v>
      </c>
      <c r="F331" s="8" t="s">
        <v>34</v>
      </c>
      <c r="G331" s="8" t="s">
        <v>42</v>
      </c>
      <c r="H331" s="8" t="s">
        <v>367</v>
      </c>
      <c r="I331" s="8">
        <v>1.0</v>
      </c>
      <c r="J331" s="8">
        <v>0.0</v>
      </c>
      <c r="K331" s="8">
        <v>55.0</v>
      </c>
      <c r="L331" s="8">
        <v>0.0</v>
      </c>
      <c r="M331" s="8">
        <v>55.0</v>
      </c>
      <c r="N331" s="8">
        <v>-4.709530201</v>
      </c>
      <c r="O331" s="8">
        <v>2.0</v>
      </c>
      <c r="P331" s="8" t="s">
        <v>368</v>
      </c>
    </row>
    <row r="332">
      <c r="A332" s="8" t="s">
        <v>423</v>
      </c>
      <c r="B332" s="8">
        <v>2005.0</v>
      </c>
      <c r="C332" s="8" t="s">
        <v>373</v>
      </c>
      <c r="D332" s="8" t="s">
        <v>375</v>
      </c>
      <c r="E332" s="8">
        <v>2100.0</v>
      </c>
      <c r="F332" s="8" t="s">
        <v>34</v>
      </c>
      <c r="G332" s="8" t="s">
        <v>42</v>
      </c>
      <c r="H332" s="8" t="s">
        <v>367</v>
      </c>
      <c r="I332" s="8">
        <v>0.8</v>
      </c>
      <c r="J332" s="8">
        <v>4.0</v>
      </c>
      <c r="K332" s="8">
        <v>55.0</v>
      </c>
      <c r="L332" s="8">
        <v>0.072727273</v>
      </c>
      <c r="M332" s="8">
        <v>55.0</v>
      </c>
      <c r="N332" s="8">
        <v>-2.545531272</v>
      </c>
      <c r="O332" s="8">
        <v>2.0</v>
      </c>
      <c r="P332" s="8" t="s">
        <v>368</v>
      </c>
    </row>
    <row r="333">
      <c r="A333" s="8" t="s">
        <v>423</v>
      </c>
      <c r="B333" s="8">
        <v>2005.0</v>
      </c>
      <c r="C333" s="8" t="s">
        <v>373</v>
      </c>
      <c r="D333" s="8" t="s">
        <v>375</v>
      </c>
      <c r="E333" s="8">
        <v>2100.0</v>
      </c>
      <c r="F333" s="8" t="s">
        <v>34</v>
      </c>
      <c r="G333" s="8" t="s">
        <v>42</v>
      </c>
      <c r="H333" s="8" t="s">
        <v>367</v>
      </c>
      <c r="I333" s="8">
        <v>1.0</v>
      </c>
      <c r="J333" s="8">
        <v>0.0</v>
      </c>
      <c r="K333" s="8">
        <v>55.0</v>
      </c>
      <c r="L333" s="8">
        <v>0.0</v>
      </c>
      <c r="M333" s="8">
        <v>55.0</v>
      </c>
      <c r="N333" s="8">
        <v>-4.709530201</v>
      </c>
      <c r="O333" s="8">
        <v>4.2</v>
      </c>
      <c r="P333" s="8" t="s">
        <v>368</v>
      </c>
    </row>
    <row r="334">
      <c r="A334" s="8" t="s">
        <v>423</v>
      </c>
      <c r="B334" s="8">
        <v>2005.0</v>
      </c>
      <c r="C334" s="8" t="s">
        <v>373</v>
      </c>
      <c r="D334" s="8" t="s">
        <v>375</v>
      </c>
      <c r="E334" s="8">
        <v>2100.0</v>
      </c>
      <c r="F334" s="8" t="s">
        <v>34</v>
      </c>
      <c r="G334" s="8" t="s">
        <v>42</v>
      </c>
      <c r="H334" s="8" t="s">
        <v>367</v>
      </c>
      <c r="I334" s="8">
        <v>0.8</v>
      </c>
      <c r="J334" s="8">
        <v>33.0</v>
      </c>
      <c r="K334" s="8">
        <v>55.0</v>
      </c>
      <c r="L334" s="8">
        <v>0.6</v>
      </c>
      <c r="M334" s="8">
        <v>55.0</v>
      </c>
      <c r="N334" s="8">
        <v>0.405465108</v>
      </c>
      <c r="O334" s="8">
        <v>4.2</v>
      </c>
      <c r="P334" s="8" t="s">
        <v>368</v>
      </c>
    </row>
    <row r="335">
      <c r="A335" s="8" t="s">
        <v>423</v>
      </c>
      <c r="B335" s="8">
        <v>2005.0</v>
      </c>
      <c r="C335" s="8" t="s">
        <v>373</v>
      </c>
      <c r="D335" s="8" t="s">
        <v>375</v>
      </c>
      <c r="E335" s="8">
        <v>2100.0</v>
      </c>
      <c r="F335" s="8" t="s">
        <v>34</v>
      </c>
      <c r="G335" s="8" t="s">
        <v>42</v>
      </c>
      <c r="H335" s="8" t="s">
        <v>367</v>
      </c>
      <c r="I335" s="8">
        <v>1.0</v>
      </c>
      <c r="J335" s="8">
        <v>8.0</v>
      </c>
      <c r="K335" s="8">
        <v>55.0</v>
      </c>
      <c r="L335" s="8">
        <v>0.145454545</v>
      </c>
      <c r="M335" s="8">
        <v>55.0</v>
      </c>
      <c r="N335" s="8">
        <v>-1.77070606</v>
      </c>
      <c r="O335" s="8">
        <v>6.4</v>
      </c>
      <c r="P335" s="8" t="s">
        <v>368</v>
      </c>
    </row>
    <row r="336">
      <c r="A336" s="8" t="s">
        <v>423</v>
      </c>
      <c r="B336" s="8">
        <v>2005.0</v>
      </c>
      <c r="C336" s="8" t="s">
        <v>373</v>
      </c>
      <c r="D336" s="8" t="s">
        <v>375</v>
      </c>
      <c r="E336" s="8">
        <v>2100.0</v>
      </c>
      <c r="F336" s="8" t="s">
        <v>34</v>
      </c>
      <c r="G336" s="8" t="s">
        <v>42</v>
      </c>
      <c r="H336" s="8" t="s">
        <v>367</v>
      </c>
      <c r="I336" s="8">
        <v>0.8</v>
      </c>
      <c r="J336" s="8">
        <v>55.0</v>
      </c>
      <c r="K336" s="8">
        <v>55.0</v>
      </c>
      <c r="L336" s="8">
        <v>1.0</v>
      </c>
      <c r="M336" s="8">
        <v>55.0</v>
      </c>
      <c r="N336" s="8">
        <v>4.709530201</v>
      </c>
      <c r="O336" s="8">
        <v>6.4</v>
      </c>
      <c r="P336" s="8" t="s">
        <v>368</v>
      </c>
    </row>
    <row r="337">
      <c r="A337" s="8" t="s">
        <v>423</v>
      </c>
      <c r="B337" s="8">
        <v>2005.0</v>
      </c>
      <c r="C337" s="8" t="s">
        <v>373</v>
      </c>
      <c r="D337" s="8" t="s">
        <v>375</v>
      </c>
      <c r="E337" s="8">
        <v>2100.0</v>
      </c>
      <c r="F337" s="8" t="s">
        <v>34</v>
      </c>
      <c r="G337" s="8" t="s">
        <v>42</v>
      </c>
      <c r="H337" s="8" t="s">
        <v>374</v>
      </c>
      <c r="I337" s="8">
        <v>1.0</v>
      </c>
      <c r="J337" s="8">
        <v>0.0</v>
      </c>
      <c r="K337" s="8">
        <v>55.0</v>
      </c>
      <c r="L337" s="8">
        <v>0.0</v>
      </c>
      <c r="M337" s="8">
        <v>55.0</v>
      </c>
      <c r="N337" s="8">
        <v>-4.709530201</v>
      </c>
      <c r="O337" s="8">
        <v>2.0</v>
      </c>
      <c r="P337" s="8" t="s">
        <v>368</v>
      </c>
    </row>
    <row r="338">
      <c r="A338" s="8" t="s">
        <v>423</v>
      </c>
      <c r="B338" s="8">
        <v>2005.0</v>
      </c>
      <c r="C338" s="8" t="s">
        <v>373</v>
      </c>
      <c r="D338" s="8" t="s">
        <v>375</v>
      </c>
      <c r="E338" s="8">
        <v>2100.0</v>
      </c>
      <c r="F338" s="8" t="s">
        <v>34</v>
      </c>
      <c r="G338" s="8" t="s">
        <v>42</v>
      </c>
      <c r="H338" s="8" t="s">
        <v>374</v>
      </c>
      <c r="I338" s="8">
        <v>0.8</v>
      </c>
      <c r="J338" s="8">
        <v>4.0</v>
      </c>
      <c r="K338" s="8">
        <v>55.0</v>
      </c>
      <c r="L338" s="8">
        <v>0.072727273</v>
      </c>
      <c r="M338" s="8">
        <v>55.0</v>
      </c>
      <c r="N338" s="8">
        <v>-2.545531272</v>
      </c>
      <c r="O338" s="8">
        <v>2.0</v>
      </c>
      <c r="P338" s="8" t="s">
        <v>368</v>
      </c>
    </row>
    <row r="339">
      <c r="A339" s="8" t="s">
        <v>423</v>
      </c>
      <c r="B339" s="8">
        <v>2005.0</v>
      </c>
      <c r="C339" s="8" t="s">
        <v>373</v>
      </c>
      <c r="D339" s="8" t="s">
        <v>375</v>
      </c>
      <c r="E339" s="8">
        <v>2100.0</v>
      </c>
      <c r="F339" s="8" t="s">
        <v>34</v>
      </c>
      <c r="G339" s="8" t="s">
        <v>42</v>
      </c>
      <c r="H339" s="8" t="s">
        <v>374</v>
      </c>
      <c r="I339" s="8">
        <v>1.0</v>
      </c>
      <c r="J339" s="8">
        <v>0.0</v>
      </c>
      <c r="K339" s="8">
        <v>55.0</v>
      </c>
      <c r="L339" s="8">
        <v>0.0</v>
      </c>
      <c r="M339" s="8">
        <v>55.0</v>
      </c>
      <c r="N339" s="8">
        <v>-4.709530201</v>
      </c>
      <c r="O339" s="8">
        <v>4.2</v>
      </c>
      <c r="P339" s="8" t="s">
        <v>368</v>
      </c>
    </row>
    <row r="340">
      <c r="A340" s="8" t="s">
        <v>423</v>
      </c>
      <c r="B340" s="8">
        <v>2005.0</v>
      </c>
      <c r="C340" s="8" t="s">
        <v>373</v>
      </c>
      <c r="D340" s="8" t="s">
        <v>375</v>
      </c>
      <c r="E340" s="8">
        <v>2100.0</v>
      </c>
      <c r="F340" s="8" t="s">
        <v>34</v>
      </c>
      <c r="G340" s="8" t="s">
        <v>42</v>
      </c>
      <c r="H340" s="8" t="s">
        <v>374</v>
      </c>
      <c r="I340" s="8">
        <v>0.8</v>
      </c>
      <c r="J340" s="8">
        <v>26.0</v>
      </c>
      <c r="K340" s="8">
        <v>55.0</v>
      </c>
      <c r="L340" s="8">
        <v>0.472727273</v>
      </c>
      <c r="M340" s="8">
        <v>55.0</v>
      </c>
      <c r="N340" s="8">
        <v>-0.109199292</v>
      </c>
      <c r="O340" s="8">
        <v>4.2</v>
      </c>
      <c r="P340" s="8" t="s">
        <v>368</v>
      </c>
    </row>
    <row r="341">
      <c r="A341" s="8" t="s">
        <v>423</v>
      </c>
      <c r="B341" s="8">
        <v>2005.0</v>
      </c>
      <c r="C341" s="8" t="s">
        <v>373</v>
      </c>
      <c r="D341" s="8" t="s">
        <v>375</v>
      </c>
      <c r="E341" s="8">
        <v>2100.0</v>
      </c>
      <c r="F341" s="8" t="s">
        <v>34</v>
      </c>
      <c r="G341" s="8" t="s">
        <v>42</v>
      </c>
      <c r="H341" s="8" t="s">
        <v>374</v>
      </c>
      <c r="I341" s="8">
        <v>1.0</v>
      </c>
      <c r="J341" s="8">
        <v>7.0</v>
      </c>
      <c r="K341" s="8">
        <v>55.0</v>
      </c>
      <c r="L341" s="8">
        <v>0.127272727</v>
      </c>
      <c r="M341" s="8">
        <v>55.0</v>
      </c>
      <c r="N341" s="8">
        <v>-1.925290862</v>
      </c>
      <c r="O341" s="8">
        <v>6.4</v>
      </c>
      <c r="P341" s="8" t="s">
        <v>368</v>
      </c>
    </row>
    <row r="342">
      <c r="A342" s="8" t="s">
        <v>423</v>
      </c>
      <c r="B342" s="8">
        <v>2005.0</v>
      </c>
      <c r="C342" s="8" t="s">
        <v>373</v>
      </c>
      <c r="D342" s="8" t="s">
        <v>375</v>
      </c>
      <c r="E342" s="8">
        <v>2100.0</v>
      </c>
      <c r="F342" s="8" t="s">
        <v>34</v>
      </c>
      <c r="G342" s="8" t="s">
        <v>42</v>
      </c>
      <c r="H342" s="8" t="s">
        <v>374</v>
      </c>
      <c r="I342" s="8">
        <v>0.8</v>
      </c>
      <c r="J342" s="8">
        <v>38.0</v>
      </c>
      <c r="K342" s="8">
        <v>55.0</v>
      </c>
      <c r="L342" s="8">
        <v>0.690909091</v>
      </c>
      <c r="M342" s="8">
        <v>55.0</v>
      </c>
      <c r="N342" s="8">
        <v>0.804372816</v>
      </c>
      <c r="O342" s="8">
        <v>6.4</v>
      </c>
      <c r="P342" s="8" t="s">
        <v>368</v>
      </c>
    </row>
    <row r="343">
      <c r="A343" s="8" t="s">
        <v>424</v>
      </c>
      <c r="B343" s="8">
        <v>2005.0</v>
      </c>
      <c r="C343" s="8" t="s">
        <v>39</v>
      </c>
      <c r="D343" s="8" t="s">
        <v>371</v>
      </c>
      <c r="E343" s="8">
        <v>2025.0</v>
      </c>
      <c r="F343" s="8" t="s">
        <v>34</v>
      </c>
      <c r="G343" s="8" t="s">
        <v>42</v>
      </c>
      <c r="H343" s="8" t="s">
        <v>367</v>
      </c>
      <c r="I343" s="8">
        <v>1.0</v>
      </c>
      <c r="J343" s="8">
        <v>1780.0</v>
      </c>
      <c r="K343" s="8">
        <v>5197.0</v>
      </c>
      <c r="L343" s="8">
        <v>0.342505292</v>
      </c>
      <c r="M343" s="8">
        <v>5197.0</v>
      </c>
      <c r="N343" s="8">
        <v>-0.652149609</v>
      </c>
      <c r="O343" s="8">
        <v>1.14</v>
      </c>
      <c r="P343" s="8" t="s">
        <v>368</v>
      </c>
    </row>
    <row r="344">
      <c r="A344" s="8" t="s">
        <v>424</v>
      </c>
      <c r="B344" s="8">
        <v>2005.0</v>
      </c>
      <c r="C344" s="8" t="s">
        <v>39</v>
      </c>
      <c r="D344" s="8" t="s">
        <v>371</v>
      </c>
      <c r="E344" s="8">
        <v>2055.0</v>
      </c>
      <c r="F344" s="8" t="s">
        <v>34</v>
      </c>
      <c r="G344" s="8" t="s">
        <v>42</v>
      </c>
      <c r="H344" s="8" t="s">
        <v>367</v>
      </c>
      <c r="I344" s="8">
        <v>1.0</v>
      </c>
      <c r="J344" s="8">
        <v>2453.0</v>
      </c>
      <c r="K344" s="8">
        <v>5197.0</v>
      </c>
      <c r="L344" s="8">
        <v>0.472003079</v>
      </c>
      <c r="M344" s="8">
        <v>5197.0</v>
      </c>
      <c r="N344" s="8">
        <v>-0.112104945</v>
      </c>
      <c r="O344" s="8">
        <v>1.75</v>
      </c>
      <c r="P344" s="8" t="s">
        <v>368</v>
      </c>
    </row>
    <row r="345">
      <c r="A345" s="8" t="s">
        <v>424</v>
      </c>
      <c r="B345" s="8">
        <v>2005.0</v>
      </c>
      <c r="C345" s="8" t="s">
        <v>39</v>
      </c>
      <c r="D345" s="8" t="s">
        <v>371</v>
      </c>
      <c r="E345" s="8">
        <v>2085.0</v>
      </c>
      <c r="F345" s="8" t="s">
        <v>34</v>
      </c>
      <c r="G345" s="8" t="s">
        <v>42</v>
      </c>
      <c r="H345" s="8" t="s">
        <v>367</v>
      </c>
      <c r="I345" s="8">
        <v>1.0</v>
      </c>
      <c r="J345" s="8">
        <v>2866.0</v>
      </c>
      <c r="K345" s="8">
        <v>5197.0</v>
      </c>
      <c r="L345" s="8">
        <v>0.551472003</v>
      </c>
      <c r="M345" s="8">
        <v>5197.0</v>
      </c>
      <c r="N345" s="8">
        <v>0.206619969</v>
      </c>
      <c r="O345" s="8">
        <v>2.36</v>
      </c>
      <c r="P345" s="8" t="s">
        <v>368</v>
      </c>
    </row>
    <row r="346">
      <c r="A346" s="8" t="s">
        <v>424</v>
      </c>
      <c r="B346" s="8">
        <v>2005.0</v>
      </c>
      <c r="C346" s="8" t="s">
        <v>39</v>
      </c>
      <c r="D346" s="8" t="s">
        <v>371</v>
      </c>
      <c r="E346" s="8">
        <v>2025.0</v>
      </c>
      <c r="F346" s="8" t="s">
        <v>34</v>
      </c>
      <c r="G346" s="8" t="s">
        <v>42</v>
      </c>
      <c r="H346" s="8" t="s">
        <v>374</v>
      </c>
      <c r="I346" s="8">
        <v>1.0</v>
      </c>
      <c r="J346" s="8">
        <v>1320.0</v>
      </c>
      <c r="K346" s="8">
        <v>5197.0</v>
      </c>
      <c r="L346" s="8">
        <v>0.253992688</v>
      </c>
      <c r="M346" s="8">
        <v>5197.0</v>
      </c>
      <c r="N346" s="8">
        <v>-1.077429922</v>
      </c>
      <c r="O346" s="8">
        <v>1.14</v>
      </c>
      <c r="P346" s="8" t="s">
        <v>368</v>
      </c>
    </row>
    <row r="347">
      <c r="A347" s="8" t="s">
        <v>424</v>
      </c>
      <c r="B347" s="8">
        <v>2005.0</v>
      </c>
      <c r="C347" s="8" t="s">
        <v>39</v>
      </c>
      <c r="D347" s="8" t="s">
        <v>371</v>
      </c>
      <c r="E347" s="8">
        <v>2055.0</v>
      </c>
      <c r="F347" s="8" t="s">
        <v>34</v>
      </c>
      <c r="G347" s="8" t="s">
        <v>42</v>
      </c>
      <c r="H347" s="8" t="s">
        <v>374</v>
      </c>
      <c r="I347" s="8">
        <v>1.0</v>
      </c>
      <c r="J347" s="8">
        <v>1808.0</v>
      </c>
      <c r="K347" s="8">
        <v>5197.0</v>
      </c>
      <c r="L347" s="8">
        <v>0.347893015</v>
      </c>
      <c r="M347" s="8">
        <v>5197.0</v>
      </c>
      <c r="N347" s="8">
        <v>-0.628313631</v>
      </c>
      <c r="O347" s="8">
        <v>1.75</v>
      </c>
      <c r="P347" s="8" t="s">
        <v>368</v>
      </c>
    </row>
    <row r="348">
      <c r="A348" s="8" t="s">
        <v>425</v>
      </c>
      <c r="B348" s="8">
        <v>2005.0</v>
      </c>
      <c r="C348" s="8" t="s">
        <v>365</v>
      </c>
      <c r="D348" s="8" t="s">
        <v>377</v>
      </c>
      <c r="E348" s="8">
        <v>2050.0</v>
      </c>
      <c r="F348" s="8" t="s">
        <v>41</v>
      </c>
      <c r="G348" s="8" t="s">
        <v>42</v>
      </c>
      <c r="H348" s="8" t="s">
        <v>367</v>
      </c>
      <c r="I348" s="8">
        <v>1.0</v>
      </c>
      <c r="J348" s="8">
        <v>0.0</v>
      </c>
      <c r="K348" s="8">
        <v>2.0</v>
      </c>
      <c r="L348" s="8">
        <v>0.0</v>
      </c>
      <c r="M348" s="8">
        <v>2.0</v>
      </c>
      <c r="N348" s="8">
        <v>-1.609437912</v>
      </c>
      <c r="O348" s="8">
        <v>2.2</v>
      </c>
      <c r="P348" s="8" t="s">
        <v>368</v>
      </c>
    </row>
    <row r="349">
      <c r="A349" s="8" t="s">
        <v>425</v>
      </c>
      <c r="B349" s="8">
        <v>2005.0</v>
      </c>
      <c r="C349" s="8" t="s">
        <v>365</v>
      </c>
      <c r="D349" s="8" t="s">
        <v>377</v>
      </c>
      <c r="E349" s="8">
        <v>2050.0</v>
      </c>
      <c r="F349" s="8" t="s">
        <v>41</v>
      </c>
      <c r="G349" s="8" t="s">
        <v>42</v>
      </c>
      <c r="H349" s="8" t="s">
        <v>367</v>
      </c>
      <c r="I349" s="8">
        <v>0.95</v>
      </c>
      <c r="J349" s="8">
        <v>0.0</v>
      </c>
      <c r="K349" s="8">
        <v>2.0</v>
      </c>
      <c r="L349" s="8">
        <v>0.0</v>
      </c>
      <c r="M349" s="8">
        <v>2.0</v>
      </c>
      <c r="N349" s="8">
        <v>-1.609437912</v>
      </c>
      <c r="O349" s="8">
        <v>2.2</v>
      </c>
      <c r="P349" s="8" t="s">
        <v>368</v>
      </c>
    </row>
    <row r="350">
      <c r="A350" s="8" t="s">
        <v>425</v>
      </c>
      <c r="B350" s="8">
        <v>2005.0</v>
      </c>
      <c r="C350" s="8" t="s">
        <v>365</v>
      </c>
      <c r="D350" s="8" t="s">
        <v>377</v>
      </c>
      <c r="E350" s="8">
        <v>2050.0</v>
      </c>
      <c r="F350" s="8" t="s">
        <v>41</v>
      </c>
      <c r="G350" s="8" t="s">
        <v>42</v>
      </c>
      <c r="H350" s="8" t="s">
        <v>367</v>
      </c>
      <c r="I350" s="8">
        <v>0.8</v>
      </c>
      <c r="J350" s="8">
        <v>0.0</v>
      </c>
      <c r="K350" s="8">
        <v>2.0</v>
      </c>
      <c r="L350" s="8">
        <v>0.0</v>
      </c>
      <c r="M350" s="8">
        <v>2.0</v>
      </c>
      <c r="N350" s="8">
        <v>-1.609437912</v>
      </c>
      <c r="O350" s="8">
        <v>2.2</v>
      </c>
      <c r="P350" s="8" t="s">
        <v>368</v>
      </c>
    </row>
    <row r="351">
      <c r="A351" s="8" t="s">
        <v>425</v>
      </c>
      <c r="B351" s="8">
        <v>2005.0</v>
      </c>
      <c r="C351" s="8" t="s">
        <v>365</v>
      </c>
      <c r="D351" s="8" t="s">
        <v>377</v>
      </c>
      <c r="E351" s="8">
        <v>2050.0</v>
      </c>
      <c r="F351" s="8" t="s">
        <v>41</v>
      </c>
      <c r="G351" s="8" t="s">
        <v>42</v>
      </c>
      <c r="H351" s="8" t="s">
        <v>374</v>
      </c>
      <c r="I351" s="8">
        <v>1.0</v>
      </c>
      <c r="J351" s="8">
        <v>0.0</v>
      </c>
      <c r="K351" s="8">
        <v>2.0</v>
      </c>
      <c r="L351" s="8">
        <v>0.0</v>
      </c>
      <c r="M351" s="8">
        <v>2.0</v>
      </c>
      <c r="N351" s="8">
        <v>-1.609437912</v>
      </c>
      <c r="O351" s="8">
        <v>2.2</v>
      </c>
      <c r="P351" s="8" t="s">
        <v>368</v>
      </c>
    </row>
    <row r="352">
      <c r="A352" s="8" t="s">
        <v>425</v>
      </c>
      <c r="B352" s="8">
        <v>2005.0</v>
      </c>
      <c r="C352" s="8" t="s">
        <v>365</v>
      </c>
      <c r="D352" s="8" t="s">
        <v>377</v>
      </c>
      <c r="E352" s="8">
        <v>2050.0</v>
      </c>
      <c r="F352" s="8" t="s">
        <v>41</v>
      </c>
      <c r="G352" s="8" t="s">
        <v>42</v>
      </c>
      <c r="H352" s="8" t="s">
        <v>374</v>
      </c>
      <c r="I352" s="8">
        <v>0.95</v>
      </c>
      <c r="J352" s="8">
        <v>0.0</v>
      </c>
      <c r="K352" s="8">
        <v>2.0</v>
      </c>
      <c r="L352" s="8">
        <v>0.0</v>
      </c>
      <c r="M352" s="8">
        <v>2.0</v>
      </c>
      <c r="N352" s="8">
        <v>-1.609437912</v>
      </c>
      <c r="O352" s="8">
        <v>2.2</v>
      </c>
      <c r="P352" s="8" t="s">
        <v>368</v>
      </c>
    </row>
    <row r="353">
      <c r="A353" s="8" t="s">
        <v>425</v>
      </c>
      <c r="B353" s="8">
        <v>2005.0</v>
      </c>
      <c r="C353" s="8" t="s">
        <v>365</v>
      </c>
      <c r="D353" s="8" t="s">
        <v>377</v>
      </c>
      <c r="E353" s="8">
        <v>2050.0</v>
      </c>
      <c r="F353" s="8" t="s">
        <v>41</v>
      </c>
      <c r="G353" s="8" t="s">
        <v>42</v>
      </c>
      <c r="H353" s="8" t="s">
        <v>374</v>
      </c>
      <c r="I353" s="8">
        <v>0.8</v>
      </c>
      <c r="J353" s="8">
        <v>0.0</v>
      </c>
      <c r="K353" s="8">
        <v>2.0</v>
      </c>
      <c r="L353" s="8">
        <v>0.0</v>
      </c>
      <c r="M353" s="8">
        <v>2.0</v>
      </c>
      <c r="N353" s="8">
        <v>-1.609437912</v>
      </c>
      <c r="O353" s="8">
        <v>2.2</v>
      </c>
      <c r="P353" s="8" t="s">
        <v>368</v>
      </c>
    </row>
    <row r="354">
      <c r="A354" s="8" t="s">
        <v>424</v>
      </c>
      <c r="B354" s="8">
        <v>2005.0</v>
      </c>
      <c r="C354" s="8" t="s">
        <v>39</v>
      </c>
      <c r="D354" s="8" t="s">
        <v>371</v>
      </c>
      <c r="E354" s="8">
        <v>2085.0</v>
      </c>
      <c r="F354" s="8" t="s">
        <v>34</v>
      </c>
      <c r="G354" s="8" t="s">
        <v>42</v>
      </c>
      <c r="H354" s="8" t="s">
        <v>374</v>
      </c>
      <c r="I354" s="8">
        <v>1.0</v>
      </c>
      <c r="J354" s="8">
        <v>2144.0</v>
      </c>
      <c r="K354" s="8">
        <v>5197.0</v>
      </c>
      <c r="L354" s="8">
        <v>0.412545699</v>
      </c>
      <c r="M354" s="8">
        <v>5197.0</v>
      </c>
      <c r="N354" s="8">
        <v>-0.353451471</v>
      </c>
      <c r="O354" s="8">
        <v>2.36</v>
      </c>
      <c r="P354" s="8" t="s">
        <v>368</v>
      </c>
    </row>
    <row r="355">
      <c r="A355" s="8" t="s">
        <v>426</v>
      </c>
      <c r="B355" s="8">
        <v>2005.0</v>
      </c>
      <c r="C355" s="8" t="s">
        <v>365</v>
      </c>
      <c r="D355" s="8" t="s">
        <v>371</v>
      </c>
      <c r="E355" s="8">
        <v>2090.0</v>
      </c>
      <c r="F355" s="8" t="s">
        <v>41</v>
      </c>
      <c r="G355" s="8" t="s">
        <v>42</v>
      </c>
      <c r="H355" s="8" t="s">
        <v>374</v>
      </c>
      <c r="I355" s="8">
        <v>1.0</v>
      </c>
      <c r="J355" s="8">
        <v>0.0</v>
      </c>
      <c r="K355" s="8">
        <v>2.0</v>
      </c>
      <c r="L355" s="8">
        <v>0.0</v>
      </c>
      <c r="M355" s="8">
        <v>2.0</v>
      </c>
      <c r="N355" s="8">
        <v>-1.609437912</v>
      </c>
      <c r="O355" s="8">
        <v>2.5</v>
      </c>
      <c r="P355" s="8" t="s">
        <v>368</v>
      </c>
    </row>
    <row r="356">
      <c r="A356" s="8" t="s">
        <v>426</v>
      </c>
      <c r="B356" s="8">
        <v>2005.0</v>
      </c>
      <c r="C356" s="8" t="s">
        <v>365</v>
      </c>
      <c r="D356" s="8" t="s">
        <v>371</v>
      </c>
      <c r="E356" s="8">
        <v>2090.0</v>
      </c>
      <c r="F356" s="8" t="s">
        <v>41</v>
      </c>
      <c r="G356" s="8" t="s">
        <v>42</v>
      </c>
      <c r="H356" s="8" t="s">
        <v>374</v>
      </c>
      <c r="I356" s="8">
        <v>0.95</v>
      </c>
      <c r="J356" s="8">
        <v>0.0</v>
      </c>
      <c r="K356" s="8">
        <v>2.0</v>
      </c>
      <c r="L356" s="8">
        <v>0.0</v>
      </c>
      <c r="M356" s="8">
        <v>2.0</v>
      </c>
      <c r="N356" s="8">
        <v>-1.609437912</v>
      </c>
      <c r="O356" s="8">
        <v>2.5</v>
      </c>
      <c r="P356" s="8" t="s">
        <v>368</v>
      </c>
    </row>
    <row r="357">
      <c r="A357" s="8" t="s">
        <v>426</v>
      </c>
      <c r="B357" s="8">
        <v>2005.0</v>
      </c>
      <c r="C357" s="8" t="s">
        <v>365</v>
      </c>
      <c r="D357" s="8" t="s">
        <v>371</v>
      </c>
      <c r="E357" s="8">
        <v>2090.0</v>
      </c>
      <c r="F357" s="8" t="s">
        <v>41</v>
      </c>
      <c r="G357" s="8" t="s">
        <v>42</v>
      </c>
      <c r="H357" s="8" t="s">
        <v>374</v>
      </c>
      <c r="I357" s="8">
        <v>0.8</v>
      </c>
      <c r="J357" s="8">
        <v>0.0</v>
      </c>
      <c r="K357" s="8">
        <v>2.0</v>
      </c>
      <c r="L357" s="8">
        <v>0.0</v>
      </c>
      <c r="M357" s="8">
        <v>2.0</v>
      </c>
      <c r="N357" s="8">
        <v>-1.609437912</v>
      </c>
      <c r="O357" s="8">
        <v>2.5</v>
      </c>
      <c r="P357" s="8" t="s">
        <v>368</v>
      </c>
    </row>
    <row r="358">
      <c r="A358" s="8" t="s">
        <v>427</v>
      </c>
      <c r="B358" s="8">
        <v>2005.0</v>
      </c>
      <c r="C358" s="8" t="s">
        <v>365</v>
      </c>
      <c r="D358" s="8" t="s">
        <v>381</v>
      </c>
      <c r="E358" s="8">
        <v>2020.0</v>
      </c>
      <c r="F358" s="8" t="s">
        <v>34</v>
      </c>
      <c r="G358" s="8" t="s">
        <v>42</v>
      </c>
      <c r="H358" s="8" t="s">
        <v>391</v>
      </c>
      <c r="I358" s="8">
        <v>1.0</v>
      </c>
      <c r="J358" s="8">
        <v>0.0</v>
      </c>
      <c r="K358" s="8">
        <v>5.0</v>
      </c>
      <c r="L358" s="8">
        <v>0.0</v>
      </c>
      <c r="M358" s="8">
        <v>5.0</v>
      </c>
      <c r="N358" s="8">
        <v>-2.397895273</v>
      </c>
      <c r="O358" s="8">
        <v>2.26</v>
      </c>
      <c r="P358" s="8" t="s">
        <v>368</v>
      </c>
    </row>
    <row r="359">
      <c r="A359" s="8" t="s">
        <v>427</v>
      </c>
      <c r="B359" s="8">
        <v>2005.0</v>
      </c>
      <c r="C359" s="8" t="s">
        <v>365</v>
      </c>
      <c r="D359" s="8" t="s">
        <v>381</v>
      </c>
      <c r="E359" s="8">
        <v>2020.0</v>
      </c>
      <c r="F359" s="8" t="s">
        <v>34</v>
      </c>
      <c r="G359" s="8" t="s">
        <v>42</v>
      </c>
      <c r="H359" s="8" t="s">
        <v>391</v>
      </c>
      <c r="I359" s="8">
        <v>0.95</v>
      </c>
      <c r="J359" s="8">
        <v>0.0</v>
      </c>
      <c r="K359" s="8">
        <v>5.0</v>
      </c>
      <c r="L359" s="8">
        <v>0.0</v>
      </c>
      <c r="M359" s="8">
        <v>5.0</v>
      </c>
      <c r="N359" s="8">
        <v>-2.397895273</v>
      </c>
      <c r="O359" s="8">
        <v>2.26</v>
      </c>
      <c r="P359" s="8" t="s">
        <v>368</v>
      </c>
    </row>
    <row r="360">
      <c r="A360" s="8" t="s">
        <v>427</v>
      </c>
      <c r="B360" s="8">
        <v>2005.0</v>
      </c>
      <c r="C360" s="8" t="s">
        <v>365</v>
      </c>
      <c r="D360" s="8" t="s">
        <v>381</v>
      </c>
      <c r="E360" s="8">
        <v>2020.0</v>
      </c>
      <c r="F360" s="8" t="s">
        <v>34</v>
      </c>
      <c r="G360" s="8" t="s">
        <v>42</v>
      </c>
      <c r="H360" s="8" t="s">
        <v>391</v>
      </c>
      <c r="I360" s="8">
        <v>0.8</v>
      </c>
      <c r="J360" s="8">
        <v>0.0</v>
      </c>
      <c r="K360" s="8">
        <v>5.0</v>
      </c>
      <c r="L360" s="8">
        <v>0.0</v>
      </c>
      <c r="M360" s="8">
        <v>5.0</v>
      </c>
      <c r="N360" s="8">
        <v>-2.397895273</v>
      </c>
      <c r="O360" s="8">
        <v>2.26</v>
      </c>
      <c r="P360" s="8" t="s">
        <v>368</v>
      </c>
    </row>
    <row r="361">
      <c r="A361" s="8" t="s">
        <v>427</v>
      </c>
      <c r="B361" s="8">
        <v>2005.0</v>
      </c>
      <c r="C361" s="8" t="s">
        <v>365</v>
      </c>
      <c r="D361" s="8" t="s">
        <v>381</v>
      </c>
      <c r="E361" s="8">
        <v>2050.0</v>
      </c>
      <c r="F361" s="8" t="s">
        <v>34</v>
      </c>
      <c r="G361" s="8" t="s">
        <v>42</v>
      </c>
      <c r="H361" s="8" t="s">
        <v>391</v>
      </c>
      <c r="I361" s="8">
        <v>1.0</v>
      </c>
      <c r="J361" s="8">
        <v>0.0</v>
      </c>
      <c r="K361" s="8">
        <v>5.0</v>
      </c>
      <c r="L361" s="8">
        <v>0.0</v>
      </c>
      <c r="M361" s="8">
        <v>5.0</v>
      </c>
      <c r="N361" s="8">
        <v>-2.397895273</v>
      </c>
      <c r="O361" s="8">
        <v>3.53</v>
      </c>
      <c r="P361" s="8" t="s">
        <v>368</v>
      </c>
    </row>
    <row r="362">
      <c r="A362" s="8" t="s">
        <v>427</v>
      </c>
      <c r="B362" s="8">
        <v>2005.0</v>
      </c>
      <c r="C362" s="8" t="s">
        <v>365</v>
      </c>
      <c r="D362" s="8" t="s">
        <v>381</v>
      </c>
      <c r="E362" s="8">
        <v>2050.0</v>
      </c>
      <c r="F362" s="8" t="s">
        <v>34</v>
      </c>
      <c r="G362" s="8" t="s">
        <v>42</v>
      </c>
      <c r="H362" s="8" t="s">
        <v>391</v>
      </c>
      <c r="I362" s="8">
        <v>0.95</v>
      </c>
      <c r="J362" s="8">
        <v>0.0</v>
      </c>
      <c r="K362" s="8">
        <v>5.0</v>
      </c>
      <c r="L362" s="8">
        <v>0.0</v>
      </c>
      <c r="M362" s="8">
        <v>5.0</v>
      </c>
      <c r="N362" s="8">
        <v>-2.397895273</v>
      </c>
      <c r="O362" s="8">
        <v>3.53</v>
      </c>
      <c r="P362" s="8" t="s">
        <v>368</v>
      </c>
    </row>
    <row r="363">
      <c r="A363" s="8" t="s">
        <v>427</v>
      </c>
      <c r="B363" s="8">
        <v>2005.0</v>
      </c>
      <c r="C363" s="8" t="s">
        <v>365</v>
      </c>
      <c r="D363" s="8" t="s">
        <v>381</v>
      </c>
      <c r="E363" s="8">
        <v>2050.0</v>
      </c>
      <c r="F363" s="8" t="s">
        <v>34</v>
      </c>
      <c r="G363" s="8" t="s">
        <v>42</v>
      </c>
      <c r="H363" s="8" t="s">
        <v>391</v>
      </c>
      <c r="I363" s="8">
        <v>0.8</v>
      </c>
      <c r="J363" s="8">
        <v>0.0</v>
      </c>
      <c r="K363" s="8">
        <v>5.0</v>
      </c>
      <c r="L363" s="8">
        <v>0.0</v>
      </c>
      <c r="M363" s="8">
        <v>5.0</v>
      </c>
      <c r="N363" s="8">
        <v>-2.397895273</v>
      </c>
      <c r="O363" s="8">
        <v>3.53</v>
      </c>
      <c r="P363" s="8" t="s">
        <v>368</v>
      </c>
    </row>
    <row r="364">
      <c r="A364" s="8" t="s">
        <v>428</v>
      </c>
      <c r="B364" s="8">
        <v>2006.0</v>
      </c>
      <c r="C364" s="8" t="s">
        <v>77</v>
      </c>
      <c r="D364" s="8" t="s">
        <v>371</v>
      </c>
      <c r="E364" s="8">
        <v>2106.0</v>
      </c>
      <c r="F364" s="8" t="s">
        <v>41</v>
      </c>
      <c r="G364" s="8" t="s">
        <v>119</v>
      </c>
      <c r="H364" s="8" t="s">
        <v>374</v>
      </c>
      <c r="I364" s="8" t="s">
        <v>36</v>
      </c>
      <c r="J364" s="8">
        <v>12649.0</v>
      </c>
      <c r="K364" s="8">
        <v>133149.0</v>
      </c>
      <c r="L364" s="8">
        <v>0.094998836</v>
      </c>
      <c r="M364" s="8">
        <v>25.0</v>
      </c>
      <c r="N364" s="8">
        <v>-2.254071592</v>
      </c>
      <c r="O364" s="8">
        <v>3.1</v>
      </c>
      <c r="P364" s="8" t="s">
        <v>368</v>
      </c>
    </row>
    <row r="365">
      <c r="A365" s="8" t="s">
        <v>428</v>
      </c>
      <c r="B365" s="8">
        <v>2006.0</v>
      </c>
      <c r="C365" s="8" t="s">
        <v>77</v>
      </c>
      <c r="D365" s="8" t="s">
        <v>371</v>
      </c>
      <c r="E365" s="8">
        <v>2106.0</v>
      </c>
      <c r="F365" s="8" t="s">
        <v>41</v>
      </c>
      <c r="G365" s="8" t="s">
        <v>119</v>
      </c>
      <c r="H365" s="8" t="s">
        <v>374</v>
      </c>
      <c r="I365" s="8" t="s">
        <v>36</v>
      </c>
      <c r="J365" s="8">
        <v>10776.0</v>
      </c>
      <c r="K365" s="8">
        <v>133149.0</v>
      </c>
      <c r="L365" s="8">
        <v>0.080931888</v>
      </c>
      <c r="M365" s="8">
        <v>25.0</v>
      </c>
      <c r="N365" s="8">
        <v>-2.429752318</v>
      </c>
      <c r="O365" s="8">
        <v>3.1</v>
      </c>
      <c r="P365" s="8" t="s">
        <v>368</v>
      </c>
    </row>
    <row r="366">
      <c r="A366" s="8" t="s">
        <v>428</v>
      </c>
      <c r="B366" s="8">
        <v>2006.0</v>
      </c>
      <c r="C366" s="8" t="s">
        <v>77</v>
      </c>
      <c r="D366" s="8" t="s">
        <v>371</v>
      </c>
      <c r="E366" s="8">
        <v>2106.0</v>
      </c>
      <c r="F366" s="8" t="s">
        <v>41</v>
      </c>
      <c r="G366" s="8" t="s">
        <v>119</v>
      </c>
      <c r="H366" s="8" t="s">
        <v>367</v>
      </c>
      <c r="I366" s="8" t="s">
        <v>36</v>
      </c>
      <c r="J366" s="8">
        <v>21021.0</v>
      </c>
      <c r="K366" s="8">
        <v>133149.0</v>
      </c>
      <c r="L366" s="8">
        <v>0.157875763</v>
      </c>
      <c r="M366" s="8">
        <v>25.0</v>
      </c>
      <c r="N366" s="8">
        <v>-1.674119138</v>
      </c>
      <c r="O366" s="8">
        <v>3.1</v>
      </c>
      <c r="P366" s="8" t="s">
        <v>368</v>
      </c>
    </row>
    <row r="367">
      <c r="A367" s="8" t="s">
        <v>428</v>
      </c>
      <c r="B367" s="8">
        <v>2006.0</v>
      </c>
      <c r="C367" s="8" t="s">
        <v>77</v>
      </c>
      <c r="D367" s="8" t="s">
        <v>371</v>
      </c>
      <c r="E367" s="8">
        <v>2106.0</v>
      </c>
      <c r="F367" s="8" t="s">
        <v>41</v>
      </c>
      <c r="G367" s="8" t="s">
        <v>119</v>
      </c>
      <c r="H367" s="8" t="s">
        <v>367</v>
      </c>
      <c r="I367" s="8" t="s">
        <v>36</v>
      </c>
      <c r="J367" s="8">
        <v>19339.0</v>
      </c>
      <c r="K367" s="8">
        <v>133149.0</v>
      </c>
      <c r="L367" s="8">
        <v>0.145243299</v>
      </c>
      <c r="M367" s="8">
        <v>25.0</v>
      </c>
      <c r="N367" s="8">
        <v>-1.772406609</v>
      </c>
      <c r="O367" s="8">
        <v>3.1</v>
      </c>
      <c r="P367" s="8" t="s">
        <v>368</v>
      </c>
    </row>
    <row r="368">
      <c r="A368" s="8" t="s">
        <v>428</v>
      </c>
      <c r="B368" s="8">
        <v>2006.0</v>
      </c>
      <c r="C368" s="8" t="s">
        <v>77</v>
      </c>
      <c r="D368" s="8" t="s">
        <v>401</v>
      </c>
      <c r="E368" s="8">
        <v>2106.0</v>
      </c>
      <c r="F368" s="8" t="s">
        <v>41</v>
      </c>
      <c r="G368" s="8" t="s">
        <v>119</v>
      </c>
      <c r="H368" s="8" t="s">
        <v>374</v>
      </c>
      <c r="I368" s="8" t="s">
        <v>36</v>
      </c>
      <c r="J368" s="8">
        <v>871.0</v>
      </c>
      <c r="K368" s="8">
        <v>9645.0</v>
      </c>
      <c r="L368" s="8">
        <v>0.090305858</v>
      </c>
      <c r="M368" s="8">
        <v>25.0</v>
      </c>
      <c r="N368" s="8">
        <v>-2.309906105</v>
      </c>
      <c r="O368" s="8">
        <v>3.1</v>
      </c>
      <c r="P368" s="8" t="s">
        <v>368</v>
      </c>
    </row>
    <row r="369">
      <c r="A369" s="8" t="s">
        <v>428</v>
      </c>
      <c r="B369" s="8">
        <v>2006.0</v>
      </c>
      <c r="C369" s="8" t="s">
        <v>77</v>
      </c>
      <c r="D369" s="8" t="s">
        <v>401</v>
      </c>
      <c r="E369" s="8">
        <v>2106.0</v>
      </c>
      <c r="F369" s="8" t="s">
        <v>41</v>
      </c>
      <c r="G369" s="8" t="s">
        <v>119</v>
      </c>
      <c r="H369" s="8" t="s">
        <v>374</v>
      </c>
      <c r="I369" s="8" t="s">
        <v>36</v>
      </c>
      <c r="J369" s="8">
        <v>730.0</v>
      </c>
      <c r="K369" s="8">
        <v>9645.0</v>
      </c>
      <c r="L369" s="8">
        <v>0.075686884</v>
      </c>
      <c r="M369" s="8">
        <v>25.0</v>
      </c>
      <c r="N369" s="8">
        <v>-2.502445996</v>
      </c>
      <c r="O369" s="8">
        <v>3.1</v>
      </c>
      <c r="P369" s="8" t="s">
        <v>368</v>
      </c>
    </row>
    <row r="370">
      <c r="A370" s="8" t="s">
        <v>428</v>
      </c>
      <c r="B370" s="8">
        <v>2006.0</v>
      </c>
      <c r="C370" s="8" t="s">
        <v>77</v>
      </c>
      <c r="D370" s="8" t="s">
        <v>401</v>
      </c>
      <c r="E370" s="8">
        <v>2106.0</v>
      </c>
      <c r="F370" s="8" t="s">
        <v>41</v>
      </c>
      <c r="G370" s="8" t="s">
        <v>119</v>
      </c>
      <c r="H370" s="8" t="s">
        <v>367</v>
      </c>
      <c r="I370" s="8" t="s">
        <v>36</v>
      </c>
      <c r="J370" s="8">
        <v>1447.0</v>
      </c>
      <c r="K370" s="8">
        <v>9645.0</v>
      </c>
      <c r="L370" s="8">
        <v>0.15002592</v>
      </c>
      <c r="M370" s="8">
        <v>25.0</v>
      </c>
      <c r="N370" s="8">
        <v>-1.734397774</v>
      </c>
      <c r="O370" s="8">
        <v>3.1</v>
      </c>
      <c r="P370" s="8" t="s">
        <v>368</v>
      </c>
    </row>
    <row r="371">
      <c r="A371" s="8" t="s">
        <v>428</v>
      </c>
      <c r="B371" s="8">
        <v>2006.0</v>
      </c>
      <c r="C371" s="8" t="s">
        <v>77</v>
      </c>
      <c r="D371" s="8" t="s">
        <v>401</v>
      </c>
      <c r="E371" s="8">
        <v>2106.0</v>
      </c>
      <c r="F371" s="8" t="s">
        <v>41</v>
      </c>
      <c r="G371" s="8" t="s">
        <v>119</v>
      </c>
      <c r="H371" s="8" t="s">
        <v>367</v>
      </c>
      <c r="I371" s="8" t="s">
        <v>36</v>
      </c>
      <c r="J371" s="8">
        <v>1318.0</v>
      </c>
      <c r="K371" s="8">
        <v>9645.0</v>
      </c>
      <c r="L371" s="8">
        <v>0.136651115</v>
      </c>
      <c r="M371" s="8">
        <v>25.0</v>
      </c>
      <c r="N371" s="8">
        <v>-1.843387811</v>
      </c>
      <c r="O371" s="8">
        <v>3.1</v>
      </c>
      <c r="P371" s="8" t="s">
        <v>368</v>
      </c>
    </row>
    <row r="372">
      <c r="A372" s="8" t="s">
        <v>429</v>
      </c>
      <c r="B372" s="8">
        <v>2006.0</v>
      </c>
      <c r="C372" s="8" t="s">
        <v>403</v>
      </c>
      <c r="D372" s="8" t="s">
        <v>375</v>
      </c>
      <c r="E372" s="8">
        <v>2055.0</v>
      </c>
      <c r="F372" s="8" t="s">
        <v>41</v>
      </c>
      <c r="G372" s="8" t="s">
        <v>42</v>
      </c>
      <c r="H372" s="8" t="s">
        <v>367</v>
      </c>
      <c r="I372" s="8">
        <v>1.0</v>
      </c>
      <c r="J372" s="8">
        <v>4.0</v>
      </c>
      <c r="K372" s="8">
        <v>49.0</v>
      </c>
      <c r="L372" s="8">
        <v>0.081632653</v>
      </c>
      <c r="M372" s="8">
        <v>49.0</v>
      </c>
      <c r="N372" s="8">
        <v>-2.420368129</v>
      </c>
      <c r="O372" s="8">
        <v>2.1</v>
      </c>
      <c r="P372" s="8" t="s">
        <v>368</v>
      </c>
    </row>
    <row r="373">
      <c r="A373" s="8" t="s">
        <v>429</v>
      </c>
      <c r="B373" s="8">
        <v>2006.0</v>
      </c>
      <c r="C373" s="8" t="s">
        <v>403</v>
      </c>
      <c r="D373" s="8" t="s">
        <v>375</v>
      </c>
      <c r="E373" s="8">
        <v>2055.0</v>
      </c>
      <c r="F373" s="8" t="s">
        <v>41</v>
      </c>
      <c r="G373" s="8" t="s">
        <v>42</v>
      </c>
      <c r="H373" s="8" t="s">
        <v>367</v>
      </c>
      <c r="I373" s="8">
        <v>0.95</v>
      </c>
      <c r="J373" s="8">
        <v>11.0</v>
      </c>
      <c r="K373" s="8">
        <v>49.0</v>
      </c>
      <c r="L373" s="8">
        <v>0.224489796</v>
      </c>
      <c r="M373" s="8">
        <v>49.0</v>
      </c>
      <c r="N373" s="8">
        <v>-1.239690887</v>
      </c>
      <c r="O373" s="8">
        <v>2.1</v>
      </c>
      <c r="P373" s="8" t="s">
        <v>368</v>
      </c>
    </row>
    <row r="374">
      <c r="A374" s="8" t="s">
        <v>430</v>
      </c>
      <c r="B374" s="8">
        <v>2006.0</v>
      </c>
      <c r="C374" s="8" t="s">
        <v>32</v>
      </c>
      <c r="D374" s="8" t="s">
        <v>371</v>
      </c>
      <c r="E374" s="8">
        <v>2025.0</v>
      </c>
      <c r="F374" s="8" t="s">
        <v>34</v>
      </c>
      <c r="G374" s="8" t="s">
        <v>42</v>
      </c>
      <c r="H374" s="8" t="s">
        <v>374</v>
      </c>
      <c r="I374" s="8">
        <v>1.0</v>
      </c>
      <c r="J374" s="8">
        <v>4.0</v>
      </c>
      <c r="K374" s="8">
        <v>856.0</v>
      </c>
      <c r="L374" s="8">
        <v>0.004672897</v>
      </c>
      <c r="M374" s="8">
        <v>856.0</v>
      </c>
      <c r="N374" s="8">
        <v>-5.361292166</v>
      </c>
      <c r="O374" s="8" t="s">
        <v>36</v>
      </c>
      <c r="P374" s="8" t="s">
        <v>36</v>
      </c>
    </row>
    <row r="375">
      <c r="A375" s="8" t="s">
        <v>430</v>
      </c>
      <c r="B375" s="8">
        <v>2006.0</v>
      </c>
      <c r="C375" s="8" t="s">
        <v>32</v>
      </c>
      <c r="D375" s="8" t="s">
        <v>371</v>
      </c>
      <c r="E375" s="8">
        <v>2050.0</v>
      </c>
      <c r="F375" s="8" t="s">
        <v>34</v>
      </c>
      <c r="G375" s="8" t="s">
        <v>42</v>
      </c>
      <c r="H375" s="8" t="s">
        <v>374</v>
      </c>
      <c r="I375" s="8">
        <v>1.0</v>
      </c>
      <c r="J375" s="8">
        <v>6.0</v>
      </c>
      <c r="K375" s="8">
        <v>856.0</v>
      </c>
      <c r="L375" s="8">
        <v>0.007009346</v>
      </c>
      <c r="M375" s="8">
        <v>856.0</v>
      </c>
      <c r="N375" s="8">
        <v>-4.95347688</v>
      </c>
      <c r="O375" s="8" t="s">
        <v>36</v>
      </c>
      <c r="P375" s="8" t="s">
        <v>36</v>
      </c>
    </row>
    <row r="376">
      <c r="A376" s="8" t="s">
        <v>430</v>
      </c>
      <c r="B376" s="8">
        <v>2006.0</v>
      </c>
      <c r="C376" s="8" t="s">
        <v>32</v>
      </c>
      <c r="D376" s="8" t="s">
        <v>371</v>
      </c>
      <c r="E376" s="8">
        <v>2100.0</v>
      </c>
      <c r="F376" s="8" t="s">
        <v>34</v>
      </c>
      <c r="G376" s="8" t="s">
        <v>42</v>
      </c>
      <c r="H376" s="8" t="s">
        <v>374</v>
      </c>
      <c r="I376" s="8">
        <v>1.0</v>
      </c>
      <c r="J376" s="8">
        <v>10.0</v>
      </c>
      <c r="K376" s="8">
        <v>856.0</v>
      </c>
      <c r="L376" s="8">
        <v>0.011682243</v>
      </c>
      <c r="M376" s="8">
        <v>856.0</v>
      </c>
      <c r="N376" s="8">
        <v>-4.437934267</v>
      </c>
      <c r="O376" s="8">
        <v>3.0</v>
      </c>
      <c r="P376" s="8" t="s">
        <v>368</v>
      </c>
    </row>
    <row r="377">
      <c r="A377" s="8" t="s">
        <v>430</v>
      </c>
      <c r="B377" s="8">
        <v>2006.0</v>
      </c>
      <c r="C377" s="8" t="s">
        <v>32</v>
      </c>
      <c r="D377" s="8" t="s">
        <v>371</v>
      </c>
      <c r="E377" s="8">
        <v>2025.0</v>
      </c>
      <c r="F377" s="8" t="s">
        <v>34</v>
      </c>
      <c r="G377" s="8" t="s">
        <v>42</v>
      </c>
      <c r="H377" s="8" t="s">
        <v>374</v>
      </c>
      <c r="I377" s="8">
        <v>1.0</v>
      </c>
      <c r="J377" s="8">
        <v>3.0</v>
      </c>
      <c r="K377" s="8">
        <v>856.0</v>
      </c>
      <c r="L377" s="8">
        <v>0.003504673</v>
      </c>
      <c r="M377" s="8">
        <v>856.0</v>
      </c>
      <c r="N377" s="8">
        <v>-5.650147259</v>
      </c>
      <c r="O377" s="8">
        <v>1.2</v>
      </c>
      <c r="P377" s="8" t="s">
        <v>368</v>
      </c>
    </row>
    <row r="378">
      <c r="A378" s="8" t="s">
        <v>430</v>
      </c>
      <c r="B378" s="8">
        <v>2006.0</v>
      </c>
      <c r="C378" s="8" t="s">
        <v>32</v>
      </c>
      <c r="D378" s="8" t="s">
        <v>371</v>
      </c>
      <c r="E378" s="8">
        <v>2050.0</v>
      </c>
      <c r="F378" s="8" t="s">
        <v>34</v>
      </c>
      <c r="G378" s="8" t="s">
        <v>42</v>
      </c>
      <c r="H378" s="8" t="s">
        <v>374</v>
      </c>
      <c r="I378" s="8">
        <v>1.0</v>
      </c>
      <c r="J378" s="8">
        <v>4.0</v>
      </c>
      <c r="K378" s="8">
        <v>856.0</v>
      </c>
      <c r="L378" s="8">
        <v>0.004672897</v>
      </c>
      <c r="M378" s="8">
        <v>856.0</v>
      </c>
      <c r="N378" s="8">
        <v>-5.361292166</v>
      </c>
      <c r="O378" s="8">
        <v>1.7</v>
      </c>
      <c r="P378" s="8" t="s">
        <v>368</v>
      </c>
    </row>
    <row r="379">
      <c r="A379" s="8" t="s">
        <v>430</v>
      </c>
      <c r="B379" s="8">
        <v>2006.0</v>
      </c>
      <c r="C379" s="8" t="s">
        <v>32</v>
      </c>
      <c r="D379" s="8" t="s">
        <v>371</v>
      </c>
      <c r="E379" s="8">
        <v>2100.0</v>
      </c>
      <c r="F379" s="8" t="s">
        <v>34</v>
      </c>
      <c r="G379" s="8" t="s">
        <v>42</v>
      </c>
      <c r="H379" s="8" t="s">
        <v>374</v>
      </c>
      <c r="I379" s="8">
        <v>1.0</v>
      </c>
      <c r="J379" s="8">
        <v>5.0</v>
      </c>
      <c r="K379" s="8">
        <v>856.0</v>
      </c>
      <c r="L379" s="8">
        <v>0.005841121</v>
      </c>
      <c r="M379" s="8">
        <v>856.0</v>
      </c>
      <c r="N379" s="8">
        <v>-5.136974216</v>
      </c>
      <c r="O379" s="8">
        <v>2.0</v>
      </c>
      <c r="P379" s="8" t="s">
        <v>368</v>
      </c>
    </row>
    <row r="380">
      <c r="A380" s="8" t="s">
        <v>430</v>
      </c>
      <c r="B380" s="8">
        <v>2006.0</v>
      </c>
      <c r="C380" s="8" t="s">
        <v>32</v>
      </c>
      <c r="D380" s="8" t="s">
        <v>371</v>
      </c>
      <c r="E380" s="8">
        <v>2100.0</v>
      </c>
      <c r="F380" s="8" t="s">
        <v>34</v>
      </c>
      <c r="G380" s="8" t="s">
        <v>119</v>
      </c>
      <c r="H380" s="8" t="s">
        <v>367</v>
      </c>
      <c r="I380" s="8" t="s">
        <v>36</v>
      </c>
      <c r="J380" s="8">
        <v>17.0</v>
      </c>
      <c r="K380" s="8">
        <v>104.0</v>
      </c>
      <c r="L380" s="8">
        <v>0.163461538</v>
      </c>
      <c r="M380" s="8">
        <v>104.0</v>
      </c>
      <c r="N380" s="8">
        <v>-1.632694775</v>
      </c>
      <c r="O380" s="8">
        <v>3.0</v>
      </c>
      <c r="P380" s="8" t="s">
        <v>368</v>
      </c>
    </row>
    <row r="381">
      <c r="A381" s="8" t="s">
        <v>407</v>
      </c>
      <c r="B381" s="8">
        <v>2006.0</v>
      </c>
      <c r="C381" s="8" t="s">
        <v>32</v>
      </c>
      <c r="D381" s="8" t="s">
        <v>371</v>
      </c>
      <c r="E381" s="8">
        <v>2080.0</v>
      </c>
      <c r="F381" s="8" t="s">
        <v>34</v>
      </c>
      <c r="G381" s="8" t="s">
        <v>42</v>
      </c>
      <c r="H381" s="8" t="s">
        <v>374</v>
      </c>
      <c r="I381" s="8">
        <v>1.0</v>
      </c>
      <c r="J381" s="8">
        <v>0.0</v>
      </c>
      <c r="K381" s="8">
        <v>32.0</v>
      </c>
      <c r="L381" s="8">
        <v>0.0</v>
      </c>
      <c r="M381" s="8">
        <v>32.0</v>
      </c>
      <c r="N381" s="8">
        <v>-4.17438727</v>
      </c>
      <c r="O381" s="8">
        <v>3.57</v>
      </c>
      <c r="P381" s="8" t="s">
        <v>368</v>
      </c>
    </row>
    <row r="382">
      <c r="A382" s="8" t="s">
        <v>407</v>
      </c>
      <c r="B382" s="8">
        <v>2006.0</v>
      </c>
      <c r="C382" s="8" t="s">
        <v>32</v>
      </c>
      <c r="D382" s="8" t="s">
        <v>375</v>
      </c>
      <c r="E382" s="8">
        <v>2080.0</v>
      </c>
      <c r="F382" s="8" t="s">
        <v>34</v>
      </c>
      <c r="G382" s="8" t="s">
        <v>42</v>
      </c>
      <c r="H382" s="8" t="s">
        <v>374</v>
      </c>
      <c r="I382" s="8">
        <v>1.0</v>
      </c>
      <c r="J382" s="8">
        <v>0.0</v>
      </c>
      <c r="K382" s="8">
        <v>7.0</v>
      </c>
      <c r="L382" s="8">
        <v>0.0</v>
      </c>
      <c r="M382" s="8">
        <v>7.0</v>
      </c>
      <c r="N382" s="8">
        <v>-2.708050201</v>
      </c>
      <c r="O382" s="8">
        <v>3.57</v>
      </c>
      <c r="P382" s="8" t="s">
        <v>368</v>
      </c>
    </row>
    <row r="383">
      <c r="A383" s="8" t="s">
        <v>407</v>
      </c>
      <c r="B383" s="8">
        <v>2006.0</v>
      </c>
      <c r="C383" s="8" t="s">
        <v>32</v>
      </c>
      <c r="D383" s="8" t="s">
        <v>370</v>
      </c>
      <c r="E383" s="8">
        <v>2080.0</v>
      </c>
      <c r="F383" s="8" t="s">
        <v>34</v>
      </c>
      <c r="G383" s="8" t="s">
        <v>42</v>
      </c>
      <c r="H383" s="8" t="s">
        <v>374</v>
      </c>
      <c r="I383" s="8">
        <v>1.0</v>
      </c>
      <c r="J383" s="8">
        <v>0.0</v>
      </c>
      <c r="K383" s="8">
        <v>3.0</v>
      </c>
      <c r="L383" s="8">
        <v>0.0</v>
      </c>
      <c r="M383" s="8">
        <v>3.0</v>
      </c>
      <c r="N383" s="8">
        <v>-1.945910149</v>
      </c>
      <c r="O383" s="8">
        <v>3.57</v>
      </c>
      <c r="P383" s="8" t="s">
        <v>368</v>
      </c>
    </row>
    <row r="384">
      <c r="A384" s="8" t="s">
        <v>407</v>
      </c>
      <c r="B384" s="8">
        <v>2006.0</v>
      </c>
      <c r="C384" s="8" t="s">
        <v>32</v>
      </c>
      <c r="D384" s="8" t="s">
        <v>366</v>
      </c>
      <c r="E384" s="8">
        <v>2080.0</v>
      </c>
      <c r="F384" s="8" t="s">
        <v>34</v>
      </c>
      <c r="G384" s="8" t="s">
        <v>42</v>
      </c>
      <c r="H384" s="8" t="s">
        <v>374</v>
      </c>
      <c r="I384" s="8">
        <v>1.0</v>
      </c>
      <c r="J384" s="8">
        <v>0.0</v>
      </c>
      <c r="K384" s="8">
        <v>5.0</v>
      </c>
      <c r="L384" s="8">
        <v>0.0</v>
      </c>
      <c r="M384" s="8">
        <v>5.0</v>
      </c>
      <c r="N384" s="8">
        <v>-2.397895273</v>
      </c>
      <c r="O384" s="8">
        <v>3.57</v>
      </c>
      <c r="P384" s="8" t="s">
        <v>368</v>
      </c>
    </row>
    <row r="385">
      <c r="A385" s="8" t="s">
        <v>431</v>
      </c>
      <c r="B385" s="8">
        <v>2006.0</v>
      </c>
      <c r="C385" s="8" t="s">
        <v>77</v>
      </c>
      <c r="D385" s="8" t="s">
        <v>371</v>
      </c>
      <c r="E385" s="8">
        <v>2020.0</v>
      </c>
      <c r="F385" s="8" t="s">
        <v>41</v>
      </c>
      <c r="G385" s="8" t="s">
        <v>119</v>
      </c>
      <c r="H385" s="8" t="s">
        <v>432</v>
      </c>
      <c r="I385" s="8" t="s">
        <v>36</v>
      </c>
      <c r="J385" s="8">
        <v>6000.0</v>
      </c>
      <c r="K385" s="8">
        <v>300000.0</v>
      </c>
      <c r="L385" s="8">
        <v>0.02</v>
      </c>
      <c r="M385" s="8">
        <v>65.0</v>
      </c>
      <c r="N385" s="8">
        <v>-3.891820298</v>
      </c>
      <c r="O385" s="8">
        <v>1.2</v>
      </c>
      <c r="P385" s="8" t="s">
        <v>368</v>
      </c>
    </row>
    <row r="386">
      <c r="A386" s="8" t="s">
        <v>431</v>
      </c>
      <c r="B386" s="8">
        <v>2006.0</v>
      </c>
      <c r="C386" s="8" t="s">
        <v>77</v>
      </c>
      <c r="D386" s="8" t="s">
        <v>371</v>
      </c>
      <c r="E386" s="8">
        <v>2020.0</v>
      </c>
      <c r="F386" s="8" t="s">
        <v>41</v>
      </c>
      <c r="G386" s="8" t="s">
        <v>119</v>
      </c>
      <c r="H386" s="8" t="s">
        <v>432</v>
      </c>
      <c r="I386" s="8" t="s">
        <v>36</v>
      </c>
      <c r="J386" s="8">
        <v>5400.0</v>
      </c>
      <c r="K386" s="8">
        <v>300000.0</v>
      </c>
      <c r="L386" s="8">
        <v>0.018</v>
      </c>
      <c r="M386" s="8">
        <v>65.0</v>
      </c>
      <c r="N386" s="8">
        <v>-3.99921955</v>
      </c>
      <c r="O386" s="8">
        <v>1.0</v>
      </c>
      <c r="P386" s="8" t="s">
        <v>368</v>
      </c>
    </row>
    <row r="387">
      <c r="A387" s="8" t="s">
        <v>431</v>
      </c>
      <c r="B387" s="8">
        <v>2006.0</v>
      </c>
      <c r="C387" s="8" t="s">
        <v>77</v>
      </c>
      <c r="D387" s="8" t="s">
        <v>371</v>
      </c>
      <c r="E387" s="8">
        <v>2020.0</v>
      </c>
      <c r="F387" s="8" t="s">
        <v>41</v>
      </c>
      <c r="G387" s="8" t="s">
        <v>119</v>
      </c>
      <c r="H387" s="8" t="s">
        <v>432</v>
      </c>
      <c r="I387" s="8" t="s">
        <v>36</v>
      </c>
      <c r="J387" s="8">
        <v>5700.0</v>
      </c>
      <c r="K387" s="8">
        <v>300000.0</v>
      </c>
      <c r="L387" s="8">
        <v>0.019</v>
      </c>
      <c r="M387" s="8">
        <v>65.0</v>
      </c>
      <c r="N387" s="8">
        <v>-3.94413348</v>
      </c>
      <c r="O387" s="8">
        <v>1.0</v>
      </c>
      <c r="P387" s="8" t="s">
        <v>368</v>
      </c>
    </row>
    <row r="388">
      <c r="A388" s="8" t="s">
        <v>431</v>
      </c>
      <c r="B388" s="8">
        <v>2006.0</v>
      </c>
      <c r="C388" s="8" t="s">
        <v>77</v>
      </c>
      <c r="D388" s="8" t="s">
        <v>371</v>
      </c>
      <c r="E388" s="8">
        <v>2020.0</v>
      </c>
      <c r="F388" s="8" t="s">
        <v>41</v>
      </c>
      <c r="G388" s="8" t="s">
        <v>119</v>
      </c>
      <c r="H388" s="8" t="s">
        <v>432</v>
      </c>
      <c r="I388" s="8" t="s">
        <v>36</v>
      </c>
      <c r="J388" s="8">
        <v>6000.0</v>
      </c>
      <c r="K388" s="8">
        <v>300000.0</v>
      </c>
      <c r="L388" s="8">
        <v>0.02</v>
      </c>
      <c r="M388" s="8">
        <v>65.0</v>
      </c>
      <c r="N388" s="8">
        <v>-3.891820298</v>
      </c>
      <c r="O388" s="8">
        <v>1.1</v>
      </c>
      <c r="P388" s="8" t="s">
        <v>368</v>
      </c>
    </row>
    <row r="389">
      <c r="A389" s="8" t="s">
        <v>431</v>
      </c>
      <c r="B389" s="8">
        <v>2006.0</v>
      </c>
      <c r="C389" s="8" t="s">
        <v>77</v>
      </c>
      <c r="D389" s="8" t="s">
        <v>371</v>
      </c>
      <c r="E389" s="8">
        <v>2050.0</v>
      </c>
      <c r="F389" s="8" t="s">
        <v>41</v>
      </c>
      <c r="G389" s="8" t="s">
        <v>119</v>
      </c>
      <c r="H389" s="8" t="s">
        <v>432</v>
      </c>
      <c r="I389" s="8" t="s">
        <v>36</v>
      </c>
      <c r="J389" s="8">
        <v>11400.0</v>
      </c>
      <c r="K389" s="8">
        <v>300000.0</v>
      </c>
      <c r="L389" s="8">
        <v>0.038</v>
      </c>
      <c r="M389" s="8">
        <v>65.0</v>
      </c>
      <c r="N389" s="8">
        <v>-3.231428291</v>
      </c>
      <c r="O389" s="8">
        <v>2.0</v>
      </c>
      <c r="P389" s="8" t="s">
        <v>368</v>
      </c>
    </row>
    <row r="390">
      <c r="A390" s="8" t="s">
        <v>431</v>
      </c>
      <c r="B390" s="8">
        <v>2006.0</v>
      </c>
      <c r="C390" s="8" t="s">
        <v>77</v>
      </c>
      <c r="D390" s="8" t="s">
        <v>371</v>
      </c>
      <c r="E390" s="8">
        <v>2050.0</v>
      </c>
      <c r="F390" s="8" t="s">
        <v>41</v>
      </c>
      <c r="G390" s="8" t="s">
        <v>119</v>
      </c>
      <c r="H390" s="8" t="s">
        <v>432</v>
      </c>
      <c r="I390" s="8" t="s">
        <v>36</v>
      </c>
      <c r="J390" s="8">
        <v>8700.0</v>
      </c>
      <c r="K390" s="8">
        <v>300000.0</v>
      </c>
      <c r="L390" s="8">
        <v>0.029</v>
      </c>
      <c r="M390" s="8">
        <v>65.0</v>
      </c>
      <c r="N390" s="8">
        <v>-3.511030638</v>
      </c>
      <c r="O390" s="8">
        <v>1.7</v>
      </c>
      <c r="P390" s="8" t="s">
        <v>368</v>
      </c>
    </row>
    <row r="391">
      <c r="A391" s="8" t="s">
        <v>431</v>
      </c>
      <c r="B391" s="8">
        <v>2006.0</v>
      </c>
      <c r="C391" s="8" t="s">
        <v>77</v>
      </c>
      <c r="D391" s="8" t="s">
        <v>371</v>
      </c>
      <c r="E391" s="8">
        <v>2050.0</v>
      </c>
      <c r="F391" s="8" t="s">
        <v>41</v>
      </c>
      <c r="G391" s="8" t="s">
        <v>119</v>
      </c>
      <c r="H391" s="8" t="s">
        <v>432</v>
      </c>
      <c r="I391" s="8" t="s">
        <v>36</v>
      </c>
      <c r="J391" s="8">
        <v>8100.0</v>
      </c>
      <c r="K391" s="8">
        <v>300000.0</v>
      </c>
      <c r="L391" s="8">
        <v>0.027</v>
      </c>
      <c r="M391" s="8">
        <v>65.0</v>
      </c>
      <c r="N391" s="8">
        <v>-3.584547216</v>
      </c>
      <c r="O391" s="8">
        <v>1.5</v>
      </c>
      <c r="P391" s="8" t="s">
        <v>368</v>
      </c>
    </row>
    <row r="392">
      <c r="A392" s="8" t="s">
        <v>431</v>
      </c>
      <c r="B392" s="8">
        <v>2006.0</v>
      </c>
      <c r="C392" s="8" t="s">
        <v>77</v>
      </c>
      <c r="D392" s="8" t="s">
        <v>371</v>
      </c>
      <c r="E392" s="8">
        <v>2050.0</v>
      </c>
      <c r="F392" s="8" t="s">
        <v>41</v>
      </c>
      <c r="G392" s="8" t="s">
        <v>119</v>
      </c>
      <c r="H392" s="8" t="s">
        <v>432</v>
      </c>
      <c r="I392" s="8" t="s">
        <v>36</v>
      </c>
      <c r="J392" s="8">
        <v>9600.0</v>
      </c>
      <c r="K392" s="8">
        <v>300000.0</v>
      </c>
      <c r="L392" s="8">
        <v>0.032</v>
      </c>
      <c r="M392" s="8">
        <v>65.0</v>
      </c>
      <c r="N392" s="8">
        <v>-3.409496184</v>
      </c>
      <c r="O392" s="8">
        <v>1.9</v>
      </c>
      <c r="P392" s="8" t="s">
        <v>368</v>
      </c>
    </row>
    <row r="393">
      <c r="A393" s="8" t="s">
        <v>431</v>
      </c>
      <c r="B393" s="8">
        <v>2006.0</v>
      </c>
      <c r="C393" s="8" t="s">
        <v>77</v>
      </c>
      <c r="D393" s="8" t="s">
        <v>371</v>
      </c>
      <c r="E393" s="8">
        <v>2100.0</v>
      </c>
      <c r="F393" s="8" t="s">
        <v>41</v>
      </c>
      <c r="G393" s="8" t="s">
        <v>119</v>
      </c>
      <c r="H393" s="8" t="s">
        <v>432</v>
      </c>
      <c r="I393" s="8" t="s">
        <v>36</v>
      </c>
      <c r="J393" s="8">
        <v>18300.0</v>
      </c>
      <c r="K393" s="8">
        <v>300000.0</v>
      </c>
      <c r="L393" s="8">
        <v>0.061</v>
      </c>
      <c r="M393" s="8">
        <v>65.0</v>
      </c>
      <c r="N393" s="8">
        <v>-2.733941615</v>
      </c>
      <c r="O393" s="8">
        <v>3.5</v>
      </c>
      <c r="P393" s="8" t="s">
        <v>368</v>
      </c>
    </row>
    <row r="394">
      <c r="A394" s="8" t="s">
        <v>431</v>
      </c>
      <c r="B394" s="8">
        <v>2006.0</v>
      </c>
      <c r="C394" s="8" t="s">
        <v>77</v>
      </c>
      <c r="D394" s="8" t="s">
        <v>371</v>
      </c>
      <c r="E394" s="8">
        <v>2100.0</v>
      </c>
      <c r="F394" s="8" t="s">
        <v>41</v>
      </c>
      <c r="G394" s="8" t="s">
        <v>119</v>
      </c>
      <c r="H394" s="8" t="s">
        <v>432</v>
      </c>
      <c r="I394" s="8" t="s">
        <v>36</v>
      </c>
      <c r="J394" s="8">
        <v>19200.0</v>
      </c>
      <c r="K394" s="8">
        <v>300000.0</v>
      </c>
      <c r="L394" s="8">
        <v>0.064</v>
      </c>
      <c r="M394" s="8">
        <v>65.0</v>
      </c>
      <c r="N394" s="8">
        <v>-2.682732393</v>
      </c>
      <c r="O394" s="8">
        <v>3.3</v>
      </c>
      <c r="P394" s="8" t="s">
        <v>368</v>
      </c>
    </row>
    <row r="395">
      <c r="A395" s="8" t="s">
        <v>431</v>
      </c>
      <c r="B395" s="8">
        <v>2006.0</v>
      </c>
      <c r="C395" s="8" t="s">
        <v>77</v>
      </c>
      <c r="D395" s="8" t="s">
        <v>371</v>
      </c>
      <c r="E395" s="8">
        <v>2100.0</v>
      </c>
      <c r="F395" s="8" t="s">
        <v>41</v>
      </c>
      <c r="G395" s="8" t="s">
        <v>119</v>
      </c>
      <c r="H395" s="8" t="s">
        <v>432</v>
      </c>
      <c r="I395" s="8" t="s">
        <v>36</v>
      </c>
      <c r="J395" s="8">
        <v>9900.0</v>
      </c>
      <c r="K395" s="8">
        <v>300000.0</v>
      </c>
      <c r="L395" s="8">
        <v>0.033</v>
      </c>
      <c r="M395" s="8">
        <v>65.0</v>
      </c>
      <c r="N395" s="8">
        <v>-3.377690934</v>
      </c>
      <c r="O395" s="8">
        <v>1.9</v>
      </c>
      <c r="P395" s="8" t="s">
        <v>368</v>
      </c>
    </row>
    <row r="396">
      <c r="A396" s="8" t="s">
        <v>431</v>
      </c>
      <c r="B396" s="8">
        <v>2006.0</v>
      </c>
      <c r="C396" s="8" t="s">
        <v>77</v>
      </c>
      <c r="D396" s="8" t="s">
        <v>371</v>
      </c>
      <c r="E396" s="8">
        <v>2100.0</v>
      </c>
      <c r="F396" s="8" t="s">
        <v>41</v>
      </c>
      <c r="G396" s="8" t="s">
        <v>119</v>
      </c>
      <c r="H396" s="8" t="s">
        <v>432</v>
      </c>
      <c r="I396" s="8" t="s">
        <v>36</v>
      </c>
      <c r="J396" s="8">
        <v>15000.0</v>
      </c>
      <c r="K396" s="8">
        <v>300000.0</v>
      </c>
      <c r="L396" s="8">
        <v>0.05</v>
      </c>
      <c r="M396" s="8">
        <v>65.0</v>
      </c>
      <c r="N396" s="8">
        <v>-2.944438979</v>
      </c>
      <c r="O396" s="8">
        <v>3.0</v>
      </c>
      <c r="P396" s="8" t="s">
        <v>368</v>
      </c>
    </row>
    <row r="397">
      <c r="A397" s="8" t="s">
        <v>431</v>
      </c>
      <c r="B397" s="8">
        <v>2006.0</v>
      </c>
      <c r="C397" s="8" t="s">
        <v>77</v>
      </c>
      <c r="D397" s="8" t="s">
        <v>371</v>
      </c>
      <c r="E397" s="8">
        <v>2050.0</v>
      </c>
      <c r="F397" s="8" t="s">
        <v>41</v>
      </c>
      <c r="G397" s="8" t="s">
        <v>119</v>
      </c>
      <c r="H397" s="8" t="s">
        <v>367</v>
      </c>
      <c r="I397" s="8" t="s">
        <v>36</v>
      </c>
      <c r="J397" s="8">
        <v>11400.0</v>
      </c>
      <c r="K397" s="8">
        <v>300000.0</v>
      </c>
      <c r="L397" s="8">
        <v>0.038</v>
      </c>
      <c r="M397" s="8">
        <v>65.0</v>
      </c>
      <c r="N397" s="8">
        <v>-3.231428291</v>
      </c>
      <c r="O397" s="8">
        <v>1.7</v>
      </c>
      <c r="P397" s="8" t="s">
        <v>368</v>
      </c>
    </row>
    <row r="398">
      <c r="A398" s="8" t="s">
        <v>431</v>
      </c>
      <c r="B398" s="8">
        <v>2006.0</v>
      </c>
      <c r="C398" s="8" t="s">
        <v>77</v>
      </c>
      <c r="D398" s="8" t="s">
        <v>371</v>
      </c>
      <c r="E398" s="8">
        <v>2050.0</v>
      </c>
      <c r="F398" s="8" t="s">
        <v>41</v>
      </c>
      <c r="G398" s="8" t="s">
        <v>119</v>
      </c>
      <c r="H398" s="8" t="s">
        <v>374</v>
      </c>
      <c r="I398" s="8" t="s">
        <v>36</v>
      </c>
      <c r="J398" s="8">
        <v>5400.0</v>
      </c>
      <c r="K398" s="8">
        <v>300000.0</v>
      </c>
      <c r="L398" s="8">
        <v>0.018</v>
      </c>
      <c r="M398" s="8">
        <v>65.0</v>
      </c>
      <c r="N398" s="8">
        <v>-3.99921955</v>
      </c>
      <c r="O398" s="8">
        <v>1.7</v>
      </c>
      <c r="P398" s="8" t="s">
        <v>368</v>
      </c>
    </row>
    <row r="399">
      <c r="A399" s="8" t="s">
        <v>431</v>
      </c>
      <c r="B399" s="8">
        <v>2006.0</v>
      </c>
      <c r="C399" s="8" t="s">
        <v>77</v>
      </c>
      <c r="D399" s="8" t="s">
        <v>371</v>
      </c>
      <c r="E399" s="8">
        <v>2050.0</v>
      </c>
      <c r="F399" s="8" t="s">
        <v>41</v>
      </c>
      <c r="G399" s="8" t="s">
        <v>119</v>
      </c>
      <c r="H399" s="8" t="s">
        <v>367</v>
      </c>
      <c r="I399" s="8" t="s">
        <v>36</v>
      </c>
      <c r="J399" s="8">
        <v>9600.0</v>
      </c>
      <c r="K399" s="8">
        <v>300000.0</v>
      </c>
      <c r="L399" s="8">
        <v>0.032</v>
      </c>
      <c r="M399" s="8">
        <v>65.0</v>
      </c>
      <c r="N399" s="8">
        <v>-3.409496184</v>
      </c>
      <c r="O399" s="8">
        <v>1.5</v>
      </c>
      <c r="P399" s="8" t="s">
        <v>368</v>
      </c>
    </row>
    <row r="400">
      <c r="A400" s="8" t="s">
        <v>431</v>
      </c>
      <c r="B400" s="8">
        <v>2006.0</v>
      </c>
      <c r="C400" s="8" t="s">
        <v>77</v>
      </c>
      <c r="D400" s="8" t="s">
        <v>371</v>
      </c>
      <c r="E400" s="8">
        <v>2050.0</v>
      </c>
      <c r="F400" s="8" t="s">
        <v>41</v>
      </c>
      <c r="G400" s="8" t="s">
        <v>119</v>
      </c>
      <c r="H400" s="8" t="s">
        <v>374</v>
      </c>
      <c r="I400" s="8" t="s">
        <v>36</v>
      </c>
      <c r="J400" s="8">
        <v>8400.0</v>
      </c>
      <c r="K400" s="8">
        <v>300000.0</v>
      </c>
      <c r="L400" s="8">
        <v>0.028</v>
      </c>
      <c r="M400" s="8">
        <v>65.0</v>
      </c>
      <c r="N400" s="8">
        <v>-3.547151294</v>
      </c>
      <c r="O400" s="8">
        <v>1.5</v>
      </c>
      <c r="P400" s="8" t="s">
        <v>368</v>
      </c>
    </row>
    <row r="401">
      <c r="A401" s="8" t="s">
        <v>431</v>
      </c>
      <c r="B401" s="8">
        <v>2006.0</v>
      </c>
      <c r="C401" s="8" t="s">
        <v>77</v>
      </c>
      <c r="D401" s="8" t="s">
        <v>371</v>
      </c>
      <c r="E401" s="8">
        <v>2100.0</v>
      </c>
      <c r="F401" s="8" t="s">
        <v>41</v>
      </c>
      <c r="G401" s="8" t="s">
        <v>119</v>
      </c>
      <c r="H401" s="8" t="s">
        <v>367</v>
      </c>
      <c r="I401" s="8" t="s">
        <v>36</v>
      </c>
      <c r="J401" s="8">
        <v>28500.0</v>
      </c>
      <c r="K401" s="8">
        <v>300000.0</v>
      </c>
      <c r="L401" s="8">
        <v>0.095</v>
      </c>
      <c r="M401" s="8">
        <v>65.0</v>
      </c>
      <c r="N401" s="8">
        <v>-2.254058052</v>
      </c>
      <c r="O401" s="8">
        <v>3.3</v>
      </c>
      <c r="P401" s="8" t="s">
        <v>368</v>
      </c>
    </row>
    <row r="402">
      <c r="A402" s="8" t="s">
        <v>431</v>
      </c>
      <c r="B402" s="8">
        <v>2006.0</v>
      </c>
      <c r="C402" s="8" t="s">
        <v>77</v>
      </c>
      <c r="D402" s="8" t="s">
        <v>371</v>
      </c>
      <c r="E402" s="8">
        <v>2100.0</v>
      </c>
      <c r="F402" s="8" t="s">
        <v>41</v>
      </c>
      <c r="G402" s="8" t="s">
        <v>119</v>
      </c>
      <c r="H402" s="8" t="s">
        <v>374</v>
      </c>
      <c r="I402" s="8" t="s">
        <v>36</v>
      </c>
      <c r="J402" s="8">
        <v>9000.0</v>
      </c>
      <c r="K402" s="8">
        <v>300000.0</v>
      </c>
      <c r="L402" s="8">
        <v>0.03</v>
      </c>
      <c r="M402" s="8">
        <v>65.0</v>
      </c>
      <c r="N402" s="8">
        <v>-3.47609869</v>
      </c>
      <c r="O402" s="8">
        <v>3.3</v>
      </c>
      <c r="P402" s="8" t="s">
        <v>368</v>
      </c>
    </row>
    <row r="403">
      <c r="A403" s="8" t="s">
        <v>431</v>
      </c>
      <c r="B403" s="8">
        <v>2006.0</v>
      </c>
      <c r="C403" s="8" t="s">
        <v>77</v>
      </c>
      <c r="D403" s="8" t="s">
        <v>371</v>
      </c>
      <c r="E403" s="8">
        <v>2100.0</v>
      </c>
      <c r="F403" s="8" t="s">
        <v>41</v>
      </c>
      <c r="G403" s="8" t="s">
        <v>119</v>
      </c>
      <c r="H403" s="8" t="s">
        <v>367</v>
      </c>
      <c r="I403" s="8" t="s">
        <v>36</v>
      </c>
      <c r="J403" s="8">
        <v>13200.0</v>
      </c>
      <c r="K403" s="8">
        <v>300000.0</v>
      </c>
      <c r="L403" s="8">
        <v>0.044</v>
      </c>
      <c r="M403" s="8">
        <v>65.0</v>
      </c>
      <c r="N403" s="8">
        <v>-3.078568279</v>
      </c>
      <c r="O403" s="8">
        <v>1.9</v>
      </c>
      <c r="P403" s="8" t="s">
        <v>368</v>
      </c>
    </row>
    <row r="404">
      <c r="A404" s="8" t="s">
        <v>431</v>
      </c>
      <c r="B404" s="8">
        <v>2006.0</v>
      </c>
      <c r="C404" s="8" t="s">
        <v>77</v>
      </c>
      <c r="D404" s="8" t="s">
        <v>371</v>
      </c>
      <c r="E404" s="8">
        <v>2100.0</v>
      </c>
      <c r="F404" s="8" t="s">
        <v>41</v>
      </c>
      <c r="G404" s="8" t="s">
        <v>119</v>
      </c>
      <c r="H404" s="8" t="s">
        <v>374</v>
      </c>
      <c r="I404" s="8" t="s">
        <v>36</v>
      </c>
      <c r="J404" s="8">
        <v>7200.0</v>
      </c>
      <c r="K404" s="8">
        <v>300000.0</v>
      </c>
      <c r="L404" s="8">
        <v>0.024</v>
      </c>
      <c r="M404" s="8">
        <v>65.0</v>
      </c>
      <c r="N404" s="8">
        <v>-3.705408756</v>
      </c>
      <c r="O404" s="8">
        <v>1.9</v>
      </c>
      <c r="P404" s="8" t="s">
        <v>368</v>
      </c>
    </row>
    <row r="405">
      <c r="A405" s="8" t="s">
        <v>378</v>
      </c>
      <c r="B405" s="8">
        <v>2006.0</v>
      </c>
      <c r="C405" s="8" t="s">
        <v>32</v>
      </c>
      <c r="D405" s="8" t="s">
        <v>375</v>
      </c>
      <c r="E405" s="8">
        <v>2085.0</v>
      </c>
      <c r="F405" s="8" t="s">
        <v>34</v>
      </c>
      <c r="G405" s="8" t="s">
        <v>42</v>
      </c>
      <c r="H405" s="8" t="s">
        <v>374</v>
      </c>
      <c r="I405" s="8">
        <v>1.0</v>
      </c>
      <c r="J405" s="8">
        <v>8.0</v>
      </c>
      <c r="K405" s="8">
        <v>426.0</v>
      </c>
      <c r="L405" s="8">
        <v>0.018779343</v>
      </c>
      <c r="M405" s="8">
        <v>426.0</v>
      </c>
      <c r="N405" s="8">
        <v>-3.956039891</v>
      </c>
      <c r="O405" s="8">
        <v>2.8</v>
      </c>
      <c r="P405" s="8" t="s">
        <v>368</v>
      </c>
    </row>
    <row r="406">
      <c r="A406" s="8" t="s">
        <v>378</v>
      </c>
      <c r="B406" s="8">
        <v>2006.0</v>
      </c>
      <c r="C406" s="8" t="s">
        <v>32</v>
      </c>
      <c r="D406" s="8" t="s">
        <v>375</v>
      </c>
      <c r="E406" s="8">
        <v>2085.0</v>
      </c>
      <c r="F406" s="8" t="s">
        <v>34</v>
      </c>
      <c r="G406" s="8" t="s">
        <v>42</v>
      </c>
      <c r="H406" s="8" t="s">
        <v>374</v>
      </c>
      <c r="I406" s="8">
        <v>0.9</v>
      </c>
      <c r="J406" s="8">
        <v>13.0</v>
      </c>
      <c r="K406" s="8">
        <v>426.0</v>
      </c>
      <c r="L406" s="8">
        <v>0.030516432</v>
      </c>
      <c r="M406" s="8">
        <v>426.0</v>
      </c>
      <c r="N406" s="8">
        <v>-3.458498235</v>
      </c>
      <c r="O406" s="8">
        <v>2.8</v>
      </c>
      <c r="P406" s="8" t="s">
        <v>368</v>
      </c>
    </row>
    <row r="407">
      <c r="A407" s="8" t="s">
        <v>378</v>
      </c>
      <c r="B407" s="8">
        <v>2006.0</v>
      </c>
      <c r="C407" s="8" t="s">
        <v>32</v>
      </c>
      <c r="D407" s="8" t="s">
        <v>375</v>
      </c>
      <c r="E407" s="8">
        <v>2085.0</v>
      </c>
      <c r="F407" s="8" t="s">
        <v>34</v>
      </c>
      <c r="G407" s="8" t="s">
        <v>42</v>
      </c>
      <c r="H407" s="8" t="s">
        <v>374</v>
      </c>
      <c r="I407" s="8">
        <v>0.8</v>
      </c>
      <c r="J407" s="8">
        <v>26.0</v>
      </c>
      <c r="K407" s="8">
        <v>426.0</v>
      </c>
      <c r="L407" s="8">
        <v>0.061032864</v>
      </c>
      <c r="M407" s="8">
        <v>426.0</v>
      </c>
      <c r="N407" s="8">
        <v>-2.733368009</v>
      </c>
      <c r="O407" s="8">
        <v>2.8</v>
      </c>
      <c r="P407" s="8" t="s">
        <v>368</v>
      </c>
    </row>
    <row r="408">
      <c r="A408" s="8" t="s">
        <v>378</v>
      </c>
      <c r="B408" s="8">
        <v>2006.0</v>
      </c>
      <c r="C408" s="8" t="s">
        <v>32</v>
      </c>
      <c r="D408" s="8" t="s">
        <v>375</v>
      </c>
      <c r="E408" s="8">
        <v>2085.0</v>
      </c>
      <c r="F408" s="8" t="s">
        <v>34</v>
      </c>
      <c r="G408" s="8" t="s">
        <v>42</v>
      </c>
      <c r="H408" s="8" t="s">
        <v>367</v>
      </c>
      <c r="I408" s="8">
        <v>1.0</v>
      </c>
      <c r="J408" s="8">
        <v>26.0</v>
      </c>
      <c r="K408" s="8">
        <v>426.0</v>
      </c>
      <c r="L408" s="8">
        <v>0.061032864</v>
      </c>
      <c r="M408" s="8">
        <v>426.0</v>
      </c>
      <c r="N408" s="8">
        <v>-2.733368009</v>
      </c>
      <c r="O408" s="8">
        <v>2.8</v>
      </c>
      <c r="P408" s="8" t="s">
        <v>368</v>
      </c>
    </row>
    <row r="409">
      <c r="A409" s="8" t="s">
        <v>378</v>
      </c>
      <c r="B409" s="8">
        <v>2006.0</v>
      </c>
      <c r="C409" s="8" t="s">
        <v>32</v>
      </c>
      <c r="D409" s="8" t="s">
        <v>375</v>
      </c>
      <c r="E409" s="8">
        <v>2085.0</v>
      </c>
      <c r="F409" s="8" t="s">
        <v>34</v>
      </c>
      <c r="G409" s="8" t="s">
        <v>42</v>
      </c>
      <c r="H409" s="8" t="s">
        <v>367</v>
      </c>
      <c r="I409" s="8">
        <v>0.9</v>
      </c>
      <c r="J409" s="8">
        <v>67.0</v>
      </c>
      <c r="K409" s="8">
        <v>426.0</v>
      </c>
      <c r="L409" s="8">
        <v>0.157276995</v>
      </c>
      <c r="M409" s="8">
        <v>426.0</v>
      </c>
      <c r="N409" s="8">
        <v>-1.678629769</v>
      </c>
      <c r="O409" s="8">
        <v>2.8</v>
      </c>
      <c r="P409" s="8" t="s">
        <v>368</v>
      </c>
    </row>
    <row r="410">
      <c r="A410" s="8" t="s">
        <v>378</v>
      </c>
      <c r="B410" s="8">
        <v>2006.0</v>
      </c>
      <c r="C410" s="8" t="s">
        <v>32</v>
      </c>
      <c r="D410" s="8" t="s">
        <v>375</v>
      </c>
      <c r="E410" s="8">
        <v>2085.0</v>
      </c>
      <c r="F410" s="8" t="s">
        <v>34</v>
      </c>
      <c r="G410" s="8" t="s">
        <v>42</v>
      </c>
      <c r="H410" s="8" t="s">
        <v>367</v>
      </c>
      <c r="I410" s="8">
        <v>0.8</v>
      </c>
      <c r="J410" s="8">
        <v>104.0</v>
      </c>
      <c r="K410" s="8">
        <v>426.0</v>
      </c>
      <c r="L410" s="8">
        <v>0.244131455</v>
      </c>
      <c r="M410" s="8">
        <v>426.0</v>
      </c>
      <c r="N410" s="8">
        <v>-1.130160646</v>
      </c>
      <c r="O410" s="8">
        <v>2.8</v>
      </c>
      <c r="P410" s="8" t="s">
        <v>368</v>
      </c>
    </row>
    <row r="411">
      <c r="A411" s="8" t="s">
        <v>421</v>
      </c>
      <c r="B411" s="8">
        <v>2006.0</v>
      </c>
      <c r="C411" s="8" t="s">
        <v>39</v>
      </c>
      <c r="D411" s="8" t="s">
        <v>371</v>
      </c>
      <c r="E411" s="8">
        <v>2050.0</v>
      </c>
      <c r="F411" s="8" t="s">
        <v>41</v>
      </c>
      <c r="G411" s="8" t="s">
        <v>42</v>
      </c>
      <c r="H411" s="8" t="s">
        <v>367</v>
      </c>
      <c r="I411" s="8">
        <v>1.0</v>
      </c>
      <c r="J411" s="8">
        <v>0.0</v>
      </c>
      <c r="K411" s="8">
        <v>159.0</v>
      </c>
      <c r="L411" s="8">
        <v>0.0</v>
      </c>
      <c r="M411" s="8">
        <v>159.0</v>
      </c>
      <c r="N411" s="8">
        <v>-5.765191103</v>
      </c>
      <c r="O411" s="8">
        <v>2.19</v>
      </c>
      <c r="P411" s="8" t="s">
        <v>368</v>
      </c>
    </row>
    <row r="412">
      <c r="A412" s="8" t="s">
        <v>421</v>
      </c>
      <c r="B412" s="8">
        <v>2006.0</v>
      </c>
      <c r="C412" s="8" t="s">
        <v>39</v>
      </c>
      <c r="D412" s="8" t="s">
        <v>371</v>
      </c>
      <c r="E412" s="8">
        <v>2050.0</v>
      </c>
      <c r="F412" s="8" t="s">
        <v>41</v>
      </c>
      <c r="G412" s="8" t="s">
        <v>42</v>
      </c>
      <c r="H412" s="8" t="s">
        <v>367</v>
      </c>
      <c r="I412" s="8">
        <v>0.8</v>
      </c>
      <c r="J412" s="8">
        <v>13.0</v>
      </c>
      <c r="K412" s="8">
        <v>159.0</v>
      </c>
      <c r="L412" s="8">
        <v>0.081761006</v>
      </c>
      <c r="M412" s="8">
        <v>159.0</v>
      </c>
      <c r="N412" s="8">
        <v>-2.418657264</v>
      </c>
      <c r="O412" s="8">
        <v>2.19</v>
      </c>
      <c r="P412" s="8" t="s">
        <v>368</v>
      </c>
    </row>
    <row r="413">
      <c r="A413" s="8" t="s">
        <v>421</v>
      </c>
      <c r="B413" s="8">
        <v>2006.0</v>
      </c>
      <c r="C413" s="8" t="s">
        <v>39</v>
      </c>
      <c r="D413" s="8" t="s">
        <v>371</v>
      </c>
      <c r="E413" s="8">
        <v>2050.0</v>
      </c>
      <c r="F413" s="8" t="s">
        <v>41</v>
      </c>
      <c r="G413" s="8" t="s">
        <v>42</v>
      </c>
      <c r="H413" s="8" t="s">
        <v>374</v>
      </c>
      <c r="I413" s="8">
        <v>1.0</v>
      </c>
      <c r="J413" s="8">
        <v>0.0</v>
      </c>
      <c r="K413" s="8">
        <v>159.0</v>
      </c>
      <c r="L413" s="8">
        <v>0.0</v>
      </c>
      <c r="M413" s="8">
        <v>159.0</v>
      </c>
      <c r="N413" s="8">
        <v>-5.765191103</v>
      </c>
      <c r="O413" s="8">
        <v>2.19</v>
      </c>
      <c r="P413" s="8" t="s">
        <v>368</v>
      </c>
    </row>
    <row r="414">
      <c r="A414" s="8" t="s">
        <v>421</v>
      </c>
      <c r="B414" s="8">
        <v>2006.0</v>
      </c>
      <c r="C414" s="8" t="s">
        <v>39</v>
      </c>
      <c r="D414" s="8" t="s">
        <v>371</v>
      </c>
      <c r="E414" s="8">
        <v>2050.0</v>
      </c>
      <c r="F414" s="8" t="s">
        <v>41</v>
      </c>
      <c r="G414" s="8" t="s">
        <v>42</v>
      </c>
      <c r="H414" s="8" t="s">
        <v>374</v>
      </c>
      <c r="I414" s="8">
        <v>0.8</v>
      </c>
      <c r="J414" s="8">
        <v>3.0</v>
      </c>
      <c r="K414" s="8">
        <v>159.0</v>
      </c>
      <c r="L414" s="8">
        <v>0.018867925</v>
      </c>
      <c r="M414" s="8">
        <v>159.0</v>
      </c>
      <c r="N414" s="8">
        <v>-3.951243719</v>
      </c>
      <c r="O414" s="8">
        <v>2.19</v>
      </c>
      <c r="P414" s="8" t="s">
        <v>368</v>
      </c>
    </row>
    <row r="415">
      <c r="A415" s="8" t="s">
        <v>421</v>
      </c>
      <c r="B415" s="8">
        <v>2006.0</v>
      </c>
      <c r="C415" s="8" t="s">
        <v>39</v>
      </c>
      <c r="D415" s="8" t="s">
        <v>371</v>
      </c>
      <c r="E415" s="8">
        <v>2080.0</v>
      </c>
      <c r="F415" s="8" t="s">
        <v>41</v>
      </c>
      <c r="G415" s="8" t="s">
        <v>42</v>
      </c>
      <c r="H415" s="8" t="s">
        <v>367</v>
      </c>
      <c r="I415" s="8">
        <v>1.0</v>
      </c>
      <c r="J415" s="8">
        <v>2.0</v>
      </c>
      <c r="K415" s="8">
        <v>159.0</v>
      </c>
      <c r="L415" s="8">
        <v>0.012578616</v>
      </c>
      <c r="M415" s="8">
        <v>159.0</v>
      </c>
      <c r="N415" s="8">
        <v>-4.363098625</v>
      </c>
      <c r="O415" s="8">
        <v>3.57</v>
      </c>
      <c r="P415" s="8" t="s">
        <v>368</v>
      </c>
    </row>
    <row r="416">
      <c r="A416" s="8" t="s">
        <v>421</v>
      </c>
      <c r="B416" s="8">
        <v>2006.0</v>
      </c>
      <c r="C416" s="8" t="s">
        <v>39</v>
      </c>
      <c r="D416" s="8" t="s">
        <v>371</v>
      </c>
      <c r="E416" s="8">
        <v>2080.0</v>
      </c>
      <c r="F416" s="8" t="s">
        <v>41</v>
      </c>
      <c r="G416" s="8" t="s">
        <v>42</v>
      </c>
      <c r="H416" s="8" t="s">
        <v>367</v>
      </c>
      <c r="I416" s="8">
        <v>0.8</v>
      </c>
      <c r="J416" s="8">
        <v>28.0</v>
      </c>
      <c r="K416" s="8">
        <v>159.0</v>
      </c>
      <c r="L416" s="8">
        <v>0.176100629</v>
      </c>
      <c r="M416" s="8">
        <v>159.0</v>
      </c>
      <c r="N416" s="8">
        <v>-1.542992813</v>
      </c>
      <c r="O416" s="8">
        <v>3.57</v>
      </c>
      <c r="P416" s="8" t="s">
        <v>368</v>
      </c>
    </row>
    <row r="417">
      <c r="A417" s="8" t="s">
        <v>421</v>
      </c>
      <c r="B417" s="8">
        <v>2006.0</v>
      </c>
      <c r="C417" s="8" t="s">
        <v>39</v>
      </c>
      <c r="D417" s="8" t="s">
        <v>371</v>
      </c>
      <c r="E417" s="8">
        <v>2080.0</v>
      </c>
      <c r="F417" s="8" t="s">
        <v>41</v>
      </c>
      <c r="G417" s="8" t="s">
        <v>42</v>
      </c>
      <c r="H417" s="8" t="s">
        <v>374</v>
      </c>
      <c r="I417" s="8">
        <v>1.0</v>
      </c>
      <c r="J417" s="8">
        <v>1.0</v>
      </c>
      <c r="K417" s="8">
        <v>159.0</v>
      </c>
      <c r="L417" s="8">
        <v>0.006289308</v>
      </c>
      <c r="M417" s="8">
        <v>159.0</v>
      </c>
      <c r="N417" s="8">
        <v>-5.062595033</v>
      </c>
      <c r="O417" s="8">
        <v>3.57</v>
      </c>
      <c r="P417" s="8" t="s">
        <v>368</v>
      </c>
    </row>
    <row r="418">
      <c r="A418" s="8" t="s">
        <v>421</v>
      </c>
      <c r="B418" s="8">
        <v>2006.0</v>
      </c>
      <c r="C418" s="8" t="s">
        <v>39</v>
      </c>
      <c r="D418" s="8" t="s">
        <v>371</v>
      </c>
      <c r="E418" s="8">
        <v>2080.0</v>
      </c>
      <c r="F418" s="8" t="s">
        <v>41</v>
      </c>
      <c r="G418" s="8" t="s">
        <v>42</v>
      </c>
      <c r="H418" s="8" t="s">
        <v>374</v>
      </c>
      <c r="I418" s="8">
        <v>0.8</v>
      </c>
      <c r="J418" s="8">
        <v>14.0</v>
      </c>
      <c r="K418" s="8">
        <v>159.0</v>
      </c>
      <c r="L418" s="8">
        <v>0.088050314</v>
      </c>
      <c r="M418" s="8">
        <v>159.0</v>
      </c>
      <c r="N418" s="8">
        <v>-2.337676413</v>
      </c>
      <c r="O418" s="8">
        <v>3.57</v>
      </c>
      <c r="P418" s="8" t="s">
        <v>368</v>
      </c>
    </row>
    <row r="419">
      <c r="A419" s="8" t="s">
        <v>396</v>
      </c>
      <c r="B419" s="8">
        <v>2006.0</v>
      </c>
      <c r="C419" s="8" t="s">
        <v>39</v>
      </c>
      <c r="D419" s="8" t="s">
        <v>371</v>
      </c>
      <c r="E419" s="8">
        <v>2050.0</v>
      </c>
      <c r="F419" s="8" t="s">
        <v>34</v>
      </c>
      <c r="G419" s="8" t="s">
        <v>42</v>
      </c>
      <c r="H419" s="8" t="s">
        <v>374</v>
      </c>
      <c r="I419" s="8">
        <v>1.0</v>
      </c>
      <c r="J419" s="8">
        <v>11.0</v>
      </c>
      <c r="K419" s="8">
        <v>336.0</v>
      </c>
      <c r="L419" s="8">
        <v>0.032738095</v>
      </c>
      <c r="M419" s="8">
        <v>336.0</v>
      </c>
      <c r="N419" s="8">
        <v>-3.38592991</v>
      </c>
      <c r="O419" s="8">
        <v>2.35</v>
      </c>
      <c r="P419" s="8" t="s">
        <v>368</v>
      </c>
    </row>
    <row r="420">
      <c r="A420" s="8" t="s">
        <v>396</v>
      </c>
      <c r="B420" s="8">
        <v>2006.0</v>
      </c>
      <c r="C420" s="8" t="s">
        <v>39</v>
      </c>
      <c r="D420" s="8" t="s">
        <v>371</v>
      </c>
      <c r="E420" s="8">
        <v>2050.0</v>
      </c>
      <c r="F420" s="8" t="s">
        <v>34</v>
      </c>
      <c r="G420" s="8" t="s">
        <v>42</v>
      </c>
      <c r="H420" s="8" t="s">
        <v>367</v>
      </c>
      <c r="I420" s="8">
        <v>1.0</v>
      </c>
      <c r="J420" s="8">
        <v>38.0</v>
      </c>
      <c r="K420" s="8">
        <v>336.0</v>
      </c>
      <c r="L420" s="8">
        <v>0.113095238</v>
      </c>
      <c r="M420" s="8">
        <v>336.0</v>
      </c>
      <c r="N420" s="8">
        <v>-2.059507327</v>
      </c>
      <c r="O420" s="8">
        <v>2.35</v>
      </c>
      <c r="P420" s="8" t="s">
        <v>368</v>
      </c>
    </row>
    <row r="421">
      <c r="A421" s="8" t="s">
        <v>396</v>
      </c>
      <c r="B421" s="8">
        <v>2006.0</v>
      </c>
      <c r="C421" s="8" t="s">
        <v>39</v>
      </c>
      <c r="D421" s="8" t="s">
        <v>371</v>
      </c>
      <c r="E421" s="8">
        <v>2050.0</v>
      </c>
      <c r="F421" s="8" t="s">
        <v>34</v>
      </c>
      <c r="G421" s="8" t="s">
        <v>42</v>
      </c>
      <c r="H421" s="8" t="s">
        <v>416</v>
      </c>
      <c r="I421" s="8">
        <v>1.0</v>
      </c>
      <c r="J421" s="8">
        <v>23.0</v>
      </c>
      <c r="K421" s="8">
        <v>336.0</v>
      </c>
      <c r="L421" s="8">
        <v>0.068452381</v>
      </c>
      <c r="M421" s="8">
        <v>336.0</v>
      </c>
      <c r="N421" s="8">
        <v>-2.610708975</v>
      </c>
      <c r="O421" s="8">
        <v>2.35</v>
      </c>
      <c r="P421" s="8" t="s">
        <v>368</v>
      </c>
    </row>
    <row r="422">
      <c r="A422" s="8" t="s">
        <v>433</v>
      </c>
      <c r="B422" s="8">
        <v>2006.0</v>
      </c>
      <c r="C422" s="8" t="s">
        <v>32</v>
      </c>
      <c r="D422" s="8" t="s">
        <v>371</v>
      </c>
      <c r="E422" s="8">
        <v>2095.0</v>
      </c>
      <c r="F422" s="8" t="s">
        <v>34</v>
      </c>
      <c r="G422" s="8" t="s">
        <v>42</v>
      </c>
      <c r="H422" s="8" t="s">
        <v>374</v>
      </c>
      <c r="I422" s="8">
        <v>1.0</v>
      </c>
      <c r="J422" s="8">
        <v>0.0</v>
      </c>
      <c r="K422" s="8">
        <v>17.0</v>
      </c>
      <c r="L422" s="8">
        <v>0.0</v>
      </c>
      <c r="M422" s="8">
        <v>17.0</v>
      </c>
      <c r="N422" s="8">
        <v>-3.555348061</v>
      </c>
      <c r="O422" s="8">
        <v>2.3</v>
      </c>
      <c r="P422" s="8" t="s">
        <v>368</v>
      </c>
    </row>
    <row r="423">
      <c r="A423" s="8" t="s">
        <v>433</v>
      </c>
      <c r="B423" s="8">
        <v>2006.0</v>
      </c>
      <c r="C423" s="8" t="s">
        <v>32</v>
      </c>
      <c r="D423" s="8" t="s">
        <v>371</v>
      </c>
      <c r="E423" s="8">
        <v>2095.0</v>
      </c>
      <c r="F423" s="8" t="s">
        <v>34</v>
      </c>
      <c r="G423" s="8" t="s">
        <v>42</v>
      </c>
      <c r="H423" s="8" t="s">
        <v>374</v>
      </c>
      <c r="I423" s="8">
        <v>0.95</v>
      </c>
      <c r="J423" s="8">
        <v>2.0</v>
      </c>
      <c r="K423" s="8">
        <v>17.0</v>
      </c>
      <c r="L423" s="8">
        <v>0.117647059</v>
      </c>
      <c r="M423" s="8">
        <v>17.0</v>
      </c>
      <c r="N423" s="8">
        <v>-2.014903021</v>
      </c>
      <c r="O423" s="8">
        <v>2.3</v>
      </c>
      <c r="P423" s="8" t="s">
        <v>368</v>
      </c>
    </row>
    <row r="424">
      <c r="A424" s="8" t="s">
        <v>433</v>
      </c>
      <c r="B424" s="8">
        <v>2006.0</v>
      </c>
      <c r="C424" s="8" t="s">
        <v>32</v>
      </c>
      <c r="D424" s="8" t="s">
        <v>371</v>
      </c>
      <c r="E424" s="8">
        <v>2095.0</v>
      </c>
      <c r="F424" s="8" t="s">
        <v>34</v>
      </c>
      <c r="G424" s="8" t="s">
        <v>42</v>
      </c>
      <c r="H424" s="8" t="s">
        <v>374</v>
      </c>
      <c r="I424" s="8">
        <v>0.8</v>
      </c>
      <c r="J424" s="8">
        <v>3.0</v>
      </c>
      <c r="K424" s="8">
        <v>17.0</v>
      </c>
      <c r="L424" s="8">
        <v>0.176470588</v>
      </c>
      <c r="M424" s="8">
        <v>17.0</v>
      </c>
      <c r="N424" s="8">
        <v>-1.540445041</v>
      </c>
      <c r="O424" s="8">
        <v>2.3</v>
      </c>
      <c r="P424" s="8" t="s">
        <v>368</v>
      </c>
    </row>
    <row r="425">
      <c r="A425" s="8" t="s">
        <v>433</v>
      </c>
      <c r="B425" s="8">
        <v>2006.0</v>
      </c>
      <c r="C425" s="8" t="s">
        <v>32</v>
      </c>
      <c r="D425" s="8" t="s">
        <v>371</v>
      </c>
      <c r="E425" s="8">
        <v>2095.0</v>
      </c>
      <c r="F425" s="8" t="s">
        <v>34</v>
      </c>
      <c r="G425" s="8" t="s">
        <v>42</v>
      </c>
      <c r="H425" s="8" t="s">
        <v>374</v>
      </c>
      <c r="I425" s="8">
        <v>1.0</v>
      </c>
      <c r="J425" s="8">
        <v>0.0</v>
      </c>
      <c r="K425" s="8">
        <v>17.0</v>
      </c>
      <c r="L425" s="8">
        <v>0.0</v>
      </c>
      <c r="M425" s="8">
        <v>17.0</v>
      </c>
      <c r="N425" s="8">
        <v>-3.555348061</v>
      </c>
      <c r="O425" s="8">
        <v>5.1</v>
      </c>
      <c r="P425" s="8" t="s">
        <v>368</v>
      </c>
    </row>
    <row r="426">
      <c r="A426" s="8" t="s">
        <v>433</v>
      </c>
      <c r="B426" s="8">
        <v>2006.0</v>
      </c>
      <c r="C426" s="8" t="s">
        <v>32</v>
      </c>
      <c r="D426" s="8" t="s">
        <v>371</v>
      </c>
      <c r="E426" s="8">
        <v>2095.0</v>
      </c>
      <c r="F426" s="8" t="s">
        <v>34</v>
      </c>
      <c r="G426" s="8" t="s">
        <v>42</v>
      </c>
      <c r="H426" s="8" t="s">
        <v>374</v>
      </c>
      <c r="I426" s="8">
        <v>0.95</v>
      </c>
      <c r="J426" s="8">
        <v>2.0</v>
      </c>
      <c r="K426" s="8">
        <v>17.0</v>
      </c>
      <c r="L426" s="8">
        <v>0.117647059</v>
      </c>
      <c r="M426" s="8">
        <v>17.0</v>
      </c>
      <c r="N426" s="8">
        <v>-2.014903021</v>
      </c>
      <c r="O426" s="8">
        <v>5.1</v>
      </c>
      <c r="P426" s="8" t="s">
        <v>368</v>
      </c>
    </row>
    <row r="427">
      <c r="A427" s="8" t="s">
        <v>433</v>
      </c>
      <c r="B427" s="8">
        <v>2006.0</v>
      </c>
      <c r="C427" s="8" t="s">
        <v>32</v>
      </c>
      <c r="D427" s="8" t="s">
        <v>371</v>
      </c>
      <c r="E427" s="8">
        <v>2095.0</v>
      </c>
      <c r="F427" s="8" t="s">
        <v>34</v>
      </c>
      <c r="G427" s="8" t="s">
        <v>42</v>
      </c>
      <c r="H427" s="8" t="s">
        <v>374</v>
      </c>
      <c r="I427" s="8">
        <v>0.8</v>
      </c>
      <c r="J427" s="8">
        <v>4.0</v>
      </c>
      <c r="K427" s="8">
        <v>17.0</v>
      </c>
      <c r="L427" s="8">
        <v>0.235294118</v>
      </c>
      <c r="M427" s="8">
        <v>17.0</v>
      </c>
      <c r="N427" s="8">
        <v>-1.178654996</v>
      </c>
      <c r="O427" s="8">
        <v>5.1</v>
      </c>
      <c r="P427" s="8" t="s">
        <v>368</v>
      </c>
    </row>
    <row r="428">
      <c r="A428" s="8" t="s">
        <v>433</v>
      </c>
      <c r="B428" s="8">
        <v>2006.0</v>
      </c>
      <c r="C428" s="8" t="s">
        <v>32</v>
      </c>
      <c r="D428" s="8" t="s">
        <v>371</v>
      </c>
      <c r="E428" s="8">
        <v>2095.0</v>
      </c>
      <c r="F428" s="8" t="s">
        <v>34</v>
      </c>
      <c r="G428" s="8" t="s">
        <v>42</v>
      </c>
      <c r="H428" s="8" t="s">
        <v>367</v>
      </c>
      <c r="I428" s="8">
        <v>1.0</v>
      </c>
      <c r="J428" s="8">
        <v>2.0</v>
      </c>
      <c r="K428" s="8">
        <v>17.0</v>
      </c>
      <c r="L428" s="8">
        <v>0.117647059</v>
      </c>
      <c r="M428" s="8">
        <v>17.0</v>
      </c>
      <c r="N428" s="8">
        <v>-2.014903021</v>
      </c>
      <c r="O428" s="8">
        <v>2.3</v>
      </c>
      <c r="P428" s="8" t="s">
        <v>368</v>
      </c>
    </row>
    <row r="429">
      <c r="A429" s="8" t="s">
        <v>433</v>
      </c>
      <c r="B429" s="8">
        <v>2006.0</v>
      </c>
      <c r="C429" s="8" t="s">
        <v>32</v>
      </c>
      <c r="D429" s="8" t="s">
        <v>371</v>
      </c>
      <c r="E429" s="8">
        <v>2095.0</v>
      </c>
      <c r="F429" s="8" t="s">
        <v>34</v>
      </c>
      <c r="G429" s="8" t="s">
        <v>42</v>
      </c>
      <c r="H429" s="8" t="s">
        <v>367</v>
      </c>
      <c r="I429" s="8">
        <v>0.95</v>
      </c>
      <c r="J429" s="8">
        <v>2.0</v>
      </c>
      <c r="K429" s="8">
        <v>17.0</v>
      </c>
      <c r="L429" s="8">
        <v>0.117647059</v>
      </c>
      <c r="M429" s="8">
        <v>17.0</v>
      </c>
      <c r="N429" s="8">
        <v>-2.014903021</v>
      </c>
      <c r="O429" s="8">
        <v>2.3</v>
      </c>
      <c r="P429" s="8" t="s">
        <v>368</v>
      </c>
    </row>
    <row r="430">
      <c r="A430" s="8" t="s">
        <v>433</v>
      </c>
      <c r="B430" s="8">
        <v>2006.0</v>
      </c>
      <c r="C430" s="8" t="s">
        <v>32</v>
      </c>
      <c r="D430" s="8" t="s">
        <v>371</v>
      </c>
      <c r="E430" s="8">
        <v>2095.0</v>
      </c>
      <c r="F430" s="8" t="s">
        <v>34</v>
      </c>
      <c r="G430" s="8" t="s">
        <v>42</v>
      </c>
      <c r="H430" s="8" t="s">
        <v>367</v>
      </c>
      <c r="I430" s="8">
        <v>0.8</v>
      </c>
      <c r="J430" s="8">
        <v>3.0</v>
      </c>
      <c r="K430" s="8">
        <v>17.0</v>
      </c>
      <c r="L430" s="8">
        <v>0.176470588</v>
      </c>
      <c r="M430" s="8">
        <v>17.0</v>
      </c>
      <c r="N430" s="8">
        <v>-1.540445041</v>
      </c>
      <c r="O430" s="8">
        <v>2.3</v>
      </c>
      <c r="P430" s="8" t="s">
        <v>368</v>
      </c>
    </row>
    <row r="431">
      <c r="A431" s="8" t="s">
        <v>433</v>
      </c>
      <c r="B431" s="8">
        <v>2006.0</v>
      </c>
      <c r="C431" s="8" t="s">
        <v>32</v>
      </c>
      <c r="D431" s="8" t="s">
        <v>371</v>
      </c>
      <c r="E431" s="8">
        <v>2095.0</v>
      </c>
      <c r="F431" s="8" t="s">
        <v>34</v>
      </c>
      <c r="G431" s="8" t="s">
        <v>42</v>
      </c>
      <c r="H431" s="8" t="s">
        <v>367</v>
      </c>
      <c r="I431" s="8">
        <v>1.0</v>
      </c>
      <c r="J431" s="8">
        <v>2.0</v>
      </c>
      <c r="K431" s="8">
        <v>17.0</v>
      </c>
      <c r="L431" s="8">
        <v>0.117647059</v>
      </c>
      <c r="M431" s="8">
        <v>17.0</v>
      </c>
      <c r="N431" s="8">
        <v>-2.014903021</v>
      </c>
      <c r="O431" s="8">
        <v>5.1</v>
      </c>
      <c r="P431" s="8" t="s">
        <v>368</v>
      </c>
    </row>
    <row r="432">
      <c r="A432" s="8" t="s">
        <v>433</v>
      </c>
      <c r="B432" s="8">
        <v>2006.0</v>
      </c>
      <c r="C432" s="8" t="s">
        <v>32</v>
      </c>
      <c r="D432" s="8" t="s">
        <v>371</v>
      </c>
      <c r="E432" s="8">
        <v>2095.0</v>
      </c>
      <c r="F432" s="8" t="s">
        <v>34</v>
      </c>
      <c r="G432" s="8" t="s">
        <v>42</v>
      </c>
      <c r="H432" s="8" t="s">
        <v>367</v>
      </c>
      <c r="I432" s="8">
        <v>0.95</v>
      </c>
      <c r="J432" s="8">
        <v>4.0</v>
      </c>
      <c r="K432" s="8">
        <v>17.0</v>
      </c>
      <c r="L432" s="8">
        <v>0.235294118</v>
      </c>
      <c r="M432" s="8">
        <v>17.0</v>
      </c>
      <c r="N432" s="8">
        <v>-1.178654996</v>
      </c>
      <c r="O432" s="8">
        <v>5.1</v>
      </c>
      <c r="P432" s="8" t="s">
        <v>368</v>
      </c>
    </row>
    <row r="433">
      <c r="A433" s="8" t="s">
        <v>433</v>
      </c>
      <c r="B433" s="8">
        <v>2006.0</v>
      </c>
      <c r="C433" s="8" t="s">
        <v>32</v>
      </c>
      <c r="D433" s="8" t="s">
        <v>371</v>
      </c>
      <c r="E433" s="8">
        <v>2095.0</v>
      </c>
      <c r="F433" s="8" t="s">
        <v>34</v>
      </c>
      <c r="G433" s="8" t="s">
        <v>42</v>
      </c>
      <c r="H433" s="8" t="s">
        <v>367</v>
      </c>
      <c r="I433" s="8">
        <v>0.8</v>
      </c>
      <c r="J433" s="8">
        <v>7.0</v>
      </c>
      <c r="K433" s="8">
        <v>17.0</v>
      </c>
      <c r="L433" s="8">
        <v>0.411764706</v>
      </c>
      <c r="M433" s="8">
        <v>17.0</v>
      </c>
      <c r="N433" s="8">
        <v>-0.356674944</v>
      </c>
      <c r="O433" s="8">
        <v>5.1</v>
      </c>
      <c r="P433" s="8" t="s">
        <v>368</v>
      </c>
    </row>
    <row r="434">
      <c r="A434" s="8" t="s">
        <v>434</v>
      </c>
      <c r="B434" s="8">
        <v>2006.0</v>
      </c>
      <c r="C434" s="8" t="s">
        <v>32</v>
      </c>
      <c r="D434" s="8" t="s">
        <v>371</v>
      </c>
      <c r="E434" s="8">
        <v>2100.0</v>
      </c>
      <c r="F434" s="8" t="s">
        <v>34</v>
      </c>
      <c r="G434" s="8" t="s">
        <v>42</v>
      </c>
      <c r="H434" s="8" t="s">
        <v>374</v>
      </c>
      <c r="I434" s="8">
        <v>1.0</v>
      </c>
      <c r="J434" s="8">
        <v>0.0</v>
      </c>
      <c r="K434" s="8">
        <v>36.0</v>
      </c>
      <c r="L434" s="8">
        <v>0.0</v>
      </c>
      <c r="M434" s="8">
        <v>36.0</v>
      </c>
      <c r="N434" s="8">
        <v>-4.290459441</v>
      </c>
      <c r="O434" s="8">
        <v>2.5</v>
      </c>
      <c r="P434" s="8" t="s">
        <v>368</v>
      </c>
    </row>
    <row r="435">
      <c r="A435" s="8" t="s">
        <v>434</v>
      </c>
      <c r="B435" s="8">
        <v>2006.0</v>
      </c>
      <c r="C435" s="8" t="s">
        <v>32</v>
      </c>
      <c r="D435" s="8" t="s">
        <v>371</v>
      </c>
      <c r="E435" s="8">
        <v>2100.0</v>
      </c>
      <c r="F435" s="8" t="s">
        <v>34</v>
      </c>
      <c r="G435" s="8" t="s">
        <v>42</v>
      </c>
      <c r="H435" s="8" t="s">
        <v>367</v>
      </c>
      <c r="I435" s="8">
        <v>1.0</v>
      </c>
      <c r="J435" s="8">
        <v>0.0</v>
      </c>
      <c r="K435" s="8">
        <v>36.0</v>
      </c>
      <c r="L435" s="8">
        <v>0.0</v>
      </c>
      <c r="M435" s="8">
        <v>36.0</v>
      </c>
      <c r="N435" s="8">
        <v>-4.290459441</v>
      </c>
      <c r="O435" s="8">
        <v>2.5</v>
      </c>
      <c r="P435" s="8" t="s">
        <v>368</v>
      </c>
    </row>
    <row r="436">
      <c r="A436" s="8" t="s">
        <v>434</v>
      </c>
      <c r="B436" s="8">
        <v>2006.0</v>
      </c>
      <c r="C436" s="8" t="s">
        <v>32</v>
      </c>
      <c r="D436" s="8" t="s">
        <v>371</v>
      </c>
      <c r="E436" s="8">
        <v>2100.0</v>
      </c>
      <c r="F436" s="8" t="s">
        <v>34</v>
      </c>
      <c r="G436" s="8" t="s">
        <v>42</v>
      </c>
      <c r="H436" s="8" t="s">
        <v>374</v>
      </c>
      <c r="I436" s="8">
        <v>1.0</v>
      </c>
      <c r="J436" s="8">
        <v>0.0</v>
      </c>
      <c r="K436" s="8">
        <v>36.0</v>
      </c>
      <c r="L436" s="8">
        <v>0.0</v>
      </c>
      <c r="M436" s="8">
        <v>36.0</v>
      </c>
      <c r="N436" s="8">
        <v>-4.290459441</v>
      </c>
      <c r="O436" s="8">
        <v>4.2</v>
      </c>
      <c r="P436" s="8" t="s">
        <v>368</v>
      </c>
    </row>
    <row r="437">
      <c r="A437" s="8" t="s">
        <v>434</v>
      </c>
      <c r="B437" s="8">
        <v>2006.0</v>
      </c>
      <c r="C437" s="8" t="s">
        <v>32</v>
      </c>
      <c r="D437" s="8" t="s">
        <v>371</v>
      </c>
      <c r="E437" s="8">
        <v>2100.0</v>
      </c>
      <c r="F437" s="8" t="s">
        <v>34</v>
      </c>
      <c r="G437" s="8" t="s">
        <v>42</v>
      </c>
      <c r="H437" s="8" t="s">
        <v>367</v>
      </c>
      <c r="I437" s="8">
        <v>1.0</v>
      </c>
      <c r="J437" s="8">
        <v>0.0</v>
      </c>
      <c r="K437" s="8">
        <v>36.0</v>
      </c>
      <c r="L437" s="8">
        <v>0.0</v>
      </c>
      <c r="M437" s="8">
        <v>36.0</v>
      </c>
      <c r="N437" s="8">
        <v>-4.290459441</v>
      </c>
      <c r="O437" s="8">
        <v>4.2</v>
      </c>
      <c r="P437" s="8" t="s">
        <v>368</v>
      </c>
    </row>
    <row r="438">
      <c r="A438" s="8" t="s">
        <v>435</v>
      </c>
      <c r="B438" s="8">
        <v>2006.0</v>
      </c>
      <c r="C438" s="8" t="s">
        <v>32</v>
      </c>
      <c r="D438" s="8" t="s">
        <v>371</v>
      </c>
      <c r="E438" s="8">
        <v>2020.0</v>
      </c>
      <c r="F438" s="8" t="s">
        <v>34</v>
      </c>
      <c r="G438" s="8" t="s">
        <v>42</v>
      </c>
      <c r="H438" s="8" t="s">
        <v>367</v>
      </c>
      <c r="I438" s="8">
        <v>1.0</v>
      </c>
      <c r="J438" s="8">
        <v>0.0</v>
      </c>
      <c r="K438" s="8">
        <v>11.0</v>
      </c>
      <c r="L438" s="8">
        <v>0.0</v>
      </c>
      <c r="M438" s="8">
        <v>11.0</v>
      </c>
      <c r="N438" s="8">
        <v>-3.135494216</v>
      </c>
      <c r="O438" s="8">
        <v>1.15</v>
      </c>
      <c r="P438" s="8" t="s">
        <v>368</v>
      </c>
    </row>
    <row r="439">
      <c r="A439" s="8" t="s">
        <v>435</v>
      </c>
      <c r="B439" s="8">
        <v>2006.0</v>
      </c>
      <c r="C439" s="8" t="s">
        <v>32</v>
      </c>
      <c r="D439" s="8" t="s">
        <v>371</v>
      </c>
      <c r="E439" s="8">
        <v>2020.0</v>
      </c>
      <c r="F439" s="8" t="s">
        <v>34</v>
      </c>
      <c r="G439" s="8" t="s">
        <v>42</v>
      </c>
      <c r="H439" s="8" t="s">
        <v>367</v>
      </c>
      <c r="I439" s="8">
        <v>0.95</v>
      </c>
      <c r="J439" s="8">
        <v>0.0</v>
      </c>
      <c r="K439" s="8">
        <v>11.0</v>
      </c>
      <c r="L439" s="8">
        <v>0.0</v>
      </c>
      <c r="M439" s="8">
        <v>11.0</v>
      </c>
      <c r="N439" s="8">
        <v>-3.135494216</v>
      </c>
      <c r="O439" s="8">
        <v>1.15</v>
      </c>
      <c r="P439" s="8" t="s">
        <v>368</v>
      </c>
    </row>
    <row r="440">
      <c r="A440" s="8" t="s">
        <v>435</v>
      </c>
      <c r="B440" s="8">
        <v>2006.0</v>
      </c>
      <c r="C440" s="8" t="s">
        <v>32</v>
      </c>
      <c r="D440" s="8" t="s">
        <v>371</v>
      </c>
      <c r="E440" s="8">
        <v>2020.0</v>
      </c>
      <c r="F440" s="8" t="s">
        <v>34</v>
      </c>
      <c r="G440" s="8" t="s">
        <v>42</v>
      </c>
      <c r="H440" s="8" t="s">
        <v>367</v>
      </c>
      <c r="I440" s="8">
        <v>0.8</v>
      </c>
      <c r="J440" s="8">
        <v>0.0</v>
      </c>
      <c r="K440" s="8">
        <v>11.0</v>
      </c>
      <c r="L440" s="8">
        <v>0.0</v>
      </c>
      <c r="M440" s="8">
        <v>11.0</v>
      </c>
      <c r="N440" s="8">
        <v>-3.135494216</v>
      </c>
      <c r="O440" s="8">
        <v>1.15</v>
      </c>
      <c r="P440" s="8" t="s">
        <v>368</v>
      </c>
    </row>
    <row r="441">
      <c r="A441" s="8" t="s">
        <v>435</v>
      </c>
      <c r="B441" s="8">
        <v>2006.0</v>
      </c>
      <c r="C441" s="8" t="s">
        <v>32</v>
      </c>
      <c r="D441" s="8" t="s">
        <v>371</v>
      </c>
      <c r="E441" s="8">
        <v>2050.0</v>
      </c>
      <c r="F441" s="8" t="s">
        <v>34</v>
      </c>
      <c r="G441" s="8" t="s">
        <v>42</v>
      </c>
      <c r="H441" s="8" t="s">
        <v>367</v>
      </c>
      <c r="I441" s="8">
        <v>1.0</v>
      </c>
      <c r="J441" s="8">
        <v>0.0</v>
      </c>
      <c r="K441" s="8">
        <v>11.0</v>
      </c>
      <c r="L441" s="8">
        <v>0.0</v>
      </c>
      <c r="M441" s="8">
        <v>11.0</v>
      </c>
      <c r="N441" s="8">
        <v>-3.135494216</v>
      </c>
      <c r="O441" s="8">
        <v>1.95</v>
      </c>
      <c r="P441" s="8" t="s">
        <v>368</v>
      </c>
    </row>
    <row r="442">
      <c r="A442" s="8" t="s">
        <v>435</v>
      </c>
      <c r="B442" s="8">
        <v>2006.0</v>
      </c>
      <c r="C442" s="8" t="s">
        <v>32</v>
      </c>
      <c r="D442" s="8" t="s">
        <v>371</v>
      </c>
      <c r="E442" s="8">
        <v>2050.0</v>
      </c>
      <c r="F442" s="8" t="s">
        <v>34</v>
      </c>
      <c r="G442" s="8" t="s">
        <v>42</v>
      </c>
      <c r="H442" s="8" t="s">
        <v>367</v>
      </c>
      <c r="I442" s="8">
        <v>0.95</v>
      </c>
      <c r="J442" s="8">
        <v>0.0</v>
      </c>
      <c r="K442" s="8">
        <v>11.0</v>
      </c>
      <c r="L442" s="8">
        <v>0.0</v>
      </c>
      <c r="M442" s="8">
        <v>11.0</v>
      </c>
      <c r="N442" s="8">
        <v>-3.135494216</v>
      </c>
      <c r="O442" s="8">
        <v>1.95</v>
      </c>
      <c r="P442" s="8" t="s">
        <v>368</v>
      </c>
    </row>
    <row r="443">
      <c r="A443" s="8" t="s">
        <v>435</v>
      </c>
      <c r="B443" s="8">
        <v>2006.0</v>
      </c>
      <c r="C443" s="8" t="s">
        <v>32</v>
      </c>
      <c r="D443" s="8" t="s">
        <v>371</v>
      </c>
      <c r="E443" s="8">
        <v>2050.0</v>
      </c>
      <c r="F443" s="8" t="s">
        <v>34</v>
      </c>
      <c r="G443" s="8" t="s">
        <v>42</v>
      </c>
      <c r="H443" s="8" t="s">
        <v>367</v>
      </c>
      <c r="I443" s="8">
        <v>0.8</v>
      </c>
      <c r="J443" s="8">
        <v>0.0</v>
      </c>
      <c r="K443" s="8">
        <v>11.0</v>
      </c>
      <c r="L443" s="8">
        <v>0.0</v>
      </c>
      <c r="M443" s="8">
        <v>11.0</v>
      </c>
      <c r="N443" s="8">
        <v>-3.135494216</v>
      </c>
      <c r="O443" s="8">
        <v>1.95</v>
      </c>
      <c r="P443" s="8" t="s">
        <v>368</v>
      </c>
    </row>
    <row r="444">
      <c r="A444" s="8" t="s">
        <v>435</v>
      </c>
      <c r="B444" s="8">
        <v>2006.0</v>
      </c>
      <c r="C444" s="8" t="s">
        <v>32</v>
      </c>
      <c r="D444" s="8" t="s">
        <v>371</v>
      </c>
      <c r="E444" s="8">
        <v>2080.0</v>
      </c>
      <c r="F444" s="8" t="s">
        <v>34</v>
      </c>
      <c r="G444" s="8" t="s">
        <v>42</v>
      </c>
      <c r="H444" s="8" t="s">
        <v>367</v>
      </c>
      <c r="I444" s="8">
        <v>1.0</v>
      </c>
      <c r="J444" s="8">
        <v>0.0</v>
      </c>
      <c r="K444" s="8">
        <v>11.0</v>
      </c>
      <c r="L444" s="8">
        <v>0.0</v>
      </c>
      <c r="M444" s="8">
        <v>11.0</v>
      </c>
      <c r="N444" s="8">
        <v>-3.135494216</v>
      </c>
      <c r="O444" s="8">
        <v>3.2</v>
      </c>
      <c r="P444" s="8" t="s">
        <v>368</v>
      </c>
    </row>
    <row r="445">
      <c r="A445" s="8" t="s">
        <v>435</v>
      </c>
      <c r="B445" s="8">
        <v>2006.0</v>
      </c>
      <c r="C445" s="8" t="s">
        <v>32</v>
      </c>
      <c r="D445" s="8" t="s">
        <v>371</v>
      </c>
      <c r="E445" s="8">
        <v>2080.0</v>
      </c>
      <c r="F445" s="8" t="s">
        <v>34</v>
      </c>
      <c r="G445" s="8" t="s">
        <v>42</v>
      </c>
      <c r="H445" s="8" t="s">
        <v>367</v>
      </c>
      <c r="I445" s="8">
        <v>0.95</v>
      </c>
      <c r="J445" s="8">
        <v>0.0</v>
      </c>
      <c r="K445" s="8">
        <v>11.0</v>
      </c>
      <c r="L445" s="8">
        <v>0.0</v>
      </c>
      <c r="M445" s="8">
        <v>11.0</v>
      </c>
      <c r="N445" s="8">
        <v>-3.135494216</v>
      </c>
      <c r="O445" s="8">
        <v>3.2</v>
      </c>
      <c r="P445" s="8" t="s">
        <v>368</v>
      </c>
    </row>
    <row r="446">
      <c r="A446" s="8" t="s">
        <v>435</v>
      </c>
      <c r="B446" s="8">
        <v>2006.0</v>
      </c>
      <c r="C446" s="8" t="s">
        <v>32</v>
      </c>
      <c r="D446" s="8" t="s">
        <v>371</v>
      </c>
      <c r="E446" s="8">
        <v>2080.0</v>
      </c>
      <c r="F446" s="8" t="s">
        <v>34</v>
      </c>
      <c r="G446" s="8" t="s">
        <v>42</v>
      </c>
      <c r="H446" s="8" t="s">
        <v>367</v>
      </c>
      <c r="I446" s="8">
        <v>0.8</v>
      </c>
      <c r="J446" s="8">
        <v>0.0</v>
      </c>
      <c r="K446" s="8">
        <v>11.0</v>
      </c>
      <c r="L446" s="8">
        <v>0.0</v>
      </c>
      <c r="M446" s="8">
        <v>11.0</v>
      </c>
      <c r="N446" s="8">
        <v>-3.135494216</v>
      </c>
      <c r="O446" s="8">
        <v>3.2</v>
      </c>
      <c r="P446" s="8" t="s">
        <v>368</v>
      </c>
    </row>
    <row r="447">
      <c r="A447" s="8" t="s">
        <v>435</v>
      </c>
      <c r="B447" s="8">
        <v>2006.0</v>
      </c>
      <c r="C447" s="8" t="s">
        <v>32</v>
      </c>
      <c r="D447" s="8" t="s">
        <v>370</v>
      </c>
      <c r="E447" s="8">
        <v>2020.0</v>
      </c>
      <c r="F447" s="8" t="s">
        <v>34</v>
      </c>
      <c r="G447" s="8" t="s">
        <v>42</v>
      </c>
      <c r="H447" s="8" t="s">
        <v>367</v>
      </c>
      <c r="I447" s="8">
        <v>1.0</v>
      </c>
      <c r="J447" s="8">
        <v>0.0</v>
      </c>
      <c r="K447" s="8">
        <v>2.0</v>
      </c>
      <c r="L447" s="8">
        <v>0.0</v>
      </c>
      <c r="M447" s="8">
        <v>2.0</v>
      </c>
      <c r="N447" s="8">
        <v>-1.609437912</v>
      </c>
      <c r="O447" s="8">
        <v>1.15</v>
      </c>
      <c r="P447" s="8" t="s">
        <v>368</v>
      </c>
    </row>
    <row r="448">
      <c r="A448" s="8" t="s">
        <v>435</v>
      </c>
      <c r="B448" s="8">
        <v>2006.0</v>
      </c>
      <c r="C448" s="8" t="s">
        <v>32</v>
      </c>
      <c r="D448" s="8" t="s">
        <v>370</v>
      </c>
      <c r="E448" s="8">
        <v>2020.0</v>
      </c>
      <c r="F448" s="8" t="s">
        <v>34</v>
      </c>
      <c r="G448" s="8" t="s">
        <v>42</v>
      </c>
      <c r="H448" s="8" t="s">
        <v>367</v>
      </c>
      <c r="I448" s="8">
        <v>0.95</v>
      </c>
      <c r="J448" s="8">
        <v>0.0</v>
      </c>
      <c r="K448" s="8">
        <v>2.0</v>
      </c>
      <c r="L448" s="8">
        <v>0.0</v>
      </c>
      <c r="M448" s="8">
        <v>2.0</v>
      </c>
      <c r="N448" s="8">
        <v>-1.609437912</v>
      </c>
      <c r="O448" s="8">
        <v>1.15</v>
      </c>
      <c r="P448" s="8" t="s">
        <v>368</v>
      </c>
    </row>
    <row r="449">
      <c r="A449" s="8" t="s">
        <v>435</v>
      </c>
      <c r="B449" s="8">
        <v>2006.0</v>
      </c>
      <c r="C449" s="8" t="s">
        <v>32</v>
      </c>
      <c r="D449" s="8" t="s">
        <v>370</v>
      </c>
      <c r="E449" s="8">
        <v>2020.0</v>
      </c>
      <c r="F449" s="8" t="s">
        <v>34</v>
      </c>
      <c r="G449" s="8" t="s">
        <v>42</v>
      </c>
      <c r="H449" s="8" t="s">
        <v>367</v>
      </c>
      <c r="I449" s="8">
        <v>0.8</v>
      </c>
      <c r="J449" s="8">
        <v>0.0</v>
      </c>
      <c r="K449" s="8">
        <v>2.0</v>
      </c>
      <c r="L449" s="8">
        <v>0.0</v>
      </c>
      <c r="M449" s="8">
        <v>2.0</v>
      </c>
      <c r="N449" s="8">
        <v>-1.609437912</v>
      </c>
      <c r="O449" s="8">
        <v>1.15</v>
      </c>
      <c r="P449" s="8" t="s">
        <v>368</v>
      </c>
    </row>
    <row r="450">
      <c r="A450" s="8" t="s">
        <v>435</v>
      </c>
      <c r="B450" s="8">
        <v>2006.0</v>
      </c>
      <c r="C450" s="8" t="s">
        <v>32</v>
      </c>
      <c r="D450" s="8" t="s">
        <v>370</v>
      </c>
      <c r="E450" s="8">
        <v>2050.0</v>
      </c>
      <c r="F450" s="8" t="s">
        <v>34</v>
      </c>
      <c r="G450" s="8" t="s">
        <v>42</v>
      </c>
      <c r="H450" s="8" t="s">
        <v>367</v>
      </c>
      <c r="I450" s="8">
        <v>1.0</v>
      </c>
      <c r="J450" s="8">
        <v>0.0</v>
      </c>
      <c r="K450" s="8">
        <v>2.0</v>
      </c>
      <c r="L450" s="8">
        <v>0.0</v>
      </c>
      <c r="M450" s="8">
        <v>2.0</v>
      </c>
      <c r="N450" s="8">
        <v>-1.609437912</v>
      </c>
      <c r="O450" s="8">
        <v>1.95</v>
      </c>
      <c r="P450" s="8" t="s">
        <v>368</v>
      </c>
    </row>
    <row r="451">
      <c r="A451" s="8" t="s">
        <v>435</v>
      </c>
      <c r="B451" s="8">
        <v>2006.0</v>
      </c>
      <c r="C451" s="8" t="s">
        <v>32</v>
      </c>
      <c r="D451" s="8" t="s">
        <v>370</v>
      </c>
      <c r="E451" s="8">
        <v>2050.0</v>
      </c>
      <c r="F451" s="8" t="s">
        <v>34</v>
      </c>
      <c r="G451" s="8" t="s">
        <v>42</v>
      </c>
      <c r="H451" s="8" t="s">
        <v>367</v>
      </c>
      <c r="I451" s="8">
        <v>0.95</v>
      </c>
      <c r="J451" s="8">
        <v>0.0</v>
      </c>
      <c r="K451" s="8">
        <v>2.0</v>
      </c>
      <c r="L451" s="8">
        <v>0.0</v>
      </c>
      <c r="M451" s="8">
        <v>2.0</v>
      </c>
      <c r="N451" s="8">
        <v>-1.609437912</v>
      </c>
      <c r="O451" s="8">
        <v>1.95</v>
      </c>
      <c r="P451" s="8" t="s">
        <v>368</v>
      </c>
    </row>
    <row r="452">
      <c r="A452" s="8" t="s">
        <v>435</v>
      </c>
      <c r="B452" s="8">
        <v>2006.0</v>
      </c>
      <c r="C452" s="8" t="s">
        <v>32</v>
      </c>
      <c r="D452" s="8" t="s">
        <v>370</v>
      </c>
      <c r="E452" s="8">
        <v>2050.0</v>
      </c>
      <c r="F452" s="8" t="s">
        <v>34</v>
      </c>
      <c r="G452" s="8" t="s">
        <v>42</v>
      </c>
      <c r="H452" s="8" t="s">
        <v>367</v>
      </c>
      <c r="I452" s="8">
        <v>0.8</v>
      </c>
      <c r="J452" s="8">
        <v>0.0</v>
      </c>
      <c r="K452" s="8">
        <v>2.0</v>
      </c>
      <c r="L452" s="8">
        <v>0.0</v>
      </c>
      <c r="M452" s="8">
        <v>2.0</v>
      </c>
      <c r="N452" s="8">
        <v>-1.609437912</v>
      </c>
      <c r="O452" s="8">
        <v>1.95</v>
      </c>
      <c r="P452" s="8" t="s">
        <v>368</v>
      </c>
    </row>
    <row r="453">
      <c r="A453" s="8" t="s">
        <v>435</v>
      </c>
      <c r="B453" s="8">
        <v>2006.0</v>
      </c>
      <c r="C453" s="8" t="s">
        <v>32</v>
      </c>
      <c r="D453" s="8" t="s">
        <v>370</v>
      </c>
      <c r="E453" s="8">
        <v>2080.0</v>
      </c>
      <c r="F453" s="8" t="s">
        <v>34</v>
      </c>
      <c r="G453" s="8" t="s">
        <v>42</v>
      </c>
      <c r="H453" s="8" t="s">
        <v>367</v>
      </c>
      <c r="I453" s="8">
        <v>1.0</v>
      </c>
      <c r="J453" s="8">
        <v>0.0</v>
      </c>
      <c r="K453" s="8">
        <v>2.0</v>
      </c>
      <c r="L453" s="8">
        <v>0.0</v>
      </c>
      <c r="M453" s="8">
        <v>2.0</v>
      </c>
      <c r="N453" s="8">
        <v>-1.609437912</v>
      </c>
      <c r="O453" s="8">
        <v>3.2</v>
      </c>
      <c r="P453" s="8" t="s">
        <v>368</v>
      </c>
    </row>
    <row r="454">
      <c r="A454" s="8" t="s">
        <v>435</v>
      </c>
      <c r="B454" s="8">
        <v>2006.0</v>
      </c>
      <c r="C454" s="8" t="s">
        <v>32</v>
      </c>
      <c r="D454" s="8" t="s">
        <v>370</v>
      </c>
      <c r="E454" s="8">
        <v>2080.0</v>
      </c>
      <c r="F454" s="8" t="s">
        <v>34</v>
      </c>
      <c r="G454" s="8" t="s">
        <v>42</v>
      </c>
      <c r="H454" s="8" t="s">
        <v>367</v>
      </c>
      <c r="I454" s="8">
        <v>0.95</v>
      </c>
      <c r="J454" s="8">
        <v>0.0</v>
      </c>
      <c r="K454" s="8">
        <v>2.0</v>
      </c>
      <c r="L454" s="8">
        <v>0.0</v>
      </c>
      <c r="M454" s="8">
        <v>2.0</v>
      </c>
      <c r="N454" s="8">
        <v>-1.609437912</v>
      </c>
      <c r="O454" s="8">
        <v>3.2</v>
      </c>
      <c r="P454" s="8" t="s">
        <v>368</v>
      </c>
    </row>
    <row r="455">
      <c r="A455" s="8" t="s">
        <v>435</v>
      </c>
      <c r="B455" s="8">
        <v>2006.0</v>
      </c>
      <c r="C455" s="8" t="s">
        <v>32</v>
      </c>
      <c r="D455" s="8" t="s">
        <v>370</v>
      </c>
      <c r="E455" s="8">
        <v>2080.0</v>
      </c>
      <c r="F455" s="8" t="s">
        <v>34</v>
      </c>
      <c r="G455" s="8" t="s">
        <v>42</v>
      </c>
      <c r="H455" s="8" t="s">
        <v>367</v>
      </c>
      <c r="I455" s="8">
        <v>0.8</v>
      </c>
      <c r="J455" s="8">
        <v>0.0</v>
      </c>
      <c r="K455" s="8">
        <v>2.0</v>
      </c>
      <c r="L455" s="8">
        <v>0.0</v>
      </c>
      <c r="M455" s="8">
        <v>2.0</v>
      </c>
      <c r="N455" s="8">
        <v>-1.609437912</v>
      </c>
      <c r="O455" s="8">
        <v>3.2</v>
      </c>
      <c r="P455" s="8" t="s">
        <v>368</v>
      </c>
    </row>
    <row r="456">
      <c r="A456" s="8" t="s">
        <v>435</v>
      </c>
      <c r="B456" s="8">
        <v>2006.0</v>
      </c>
      <c r="C456" s="8" t="s">
        <v>32</v>
      </c>
      <c r="D456" s="8" t="s">
        <v>371</v>
      </c>
      <c r="E456" s="8">
        <v>2020.0</v>
      </c>
      <c r="F456" s="8" t="s">
        <v>34</v>
      </c>
      <c r="G456" s="8" t="s">
        <v>42</v>
      </c>
      <c r="H456" s="8" t="s">
        <v>374</v>
      </c>
      <c r="I456" s="8">
        <v>1.0</v>
      </c>
      <c r="J456" s="8">
        <v>0.0</v>
      </c>
      <c r="K456" s="8">
        <v>11.0</v>
      </c>
      <c r="L456" s="8">
        <v>0.0</v>
      </c>
      <c r="M456" s="8">
        <v>11.0</v>
      </c>
      <c r="N456" s="8">
        <v>-3.135494216</v>
      </c>
      <c r="O456" s="8">
        <v>1.15</v>
      </c>
      <c r="P456" s="8" t="s">
        <v>368</v>
      </c>
    </row>
    <row r="457">
      <c r="A457" s="8" t="s">
        <v>435</v>
      </c>
      <c r="B457" s="8">
        <v>2006.0</v>
      </c>
      <c r="C457" s="8" t="s">
        <v>32</v>
      </c>
      <c r="D457" s="8" t="s">
        <v>371</v>
      </c>
      <c r="E457" s="8">
        <v>2020.0</v>
      </c>
      <c r="F457" s="8" t="s">
        <v>34</v>
      </c>
      <c r="G457" s="8" t="s">
        <v>42</v>
      </c>
      <c r="H457" s="8" t="s">
        <v>374</v>
      </c>
      <c r="I457" s="8">
        <v>0.95</v>
      </c>
      <c r="J457" s="8">
        <v>0.0</v>
      </c>
      <c r="K457" s="8">
        <v>11.0</v>
      </c>
      <c r="L457" s="8">
        <v>0.0</v>
      </c>
      <c r="M457" s="8">
        <v>11.0</v>
      </c>
      <c r="N457" s="8">
        <v>-3.135494216</v>
      </c>
      <c r="O457" s="8">
        <v>1.15</v>
      </c>
      <c r="P457" s="8" t="s">
        <v>368</v>
      </c>
    </row>
    <row r="458">
      <c r="A458" s="8" t="s">
        <v>435</v>
      </c>
      <c r="B458" s="8">
        <v>2006.0</v>
      </c>
      <c r="C458" s="8" t="s">
        <v>32</v>
      </c>
      <c r="D458" s="8" t="s">
        <v>371</v>
      </c>
      <c r="E458" s="8">
        <v>2020.0</v>
      </c>
      <c r="F458" s="8" t="s">
        <v>34</v>
      </c>
      <c r="G458" s="8" t="s">
        <v>42</v>
      </c>
      <c r="H458" s="8" t="s">
        <v>374</v>
      </c>
      <c r="I458" s="8">
        <v>0.8</v>
      </c>
      <c r="J458" s="8">
        <v>0.0</v>
      </c>
      <c r="K458" s="8">
        <v>11.0</v>
      </c>
      <c r="L458" s="8">
        <v>0.0</v>
      </c>
      <c r="M458" s="8">
        <v>11.0</v>
      </c>
      <c r="N458" s="8">
        <v>-3.135494216</v>
      </c>
      <c r="O458" s="8">
        <v>1.15</v>
      </c>
      <c r="P458" s="8" t="s">
        <v>368</v>
      </c>
    </row>
    <row r="459">
      <c r="A459" s="8" t="s">
        <v>435</v>
      </c>
      <c r="B459" s="8">
        <v>2006.0</v>
      </c>
      <c r="C459" s="8" t="s">
        <v>32</v>
      </c>
      <c r="D459" s="8" t="s">
        <v>371</v>
      </c>
      <c r="E459" s="8">
        <v>2050.0</v>
      </c>
      <c r="F459" s="8" t="s">
        <v>34</v>
      </c>
      <c r="G459" s="8" t="s">
        <v>42</v>
      </c>
      <c r="H459" s="8" t="s">
        <v>374</v>
      </c>
      <c r="I459" s="8">
        <v>1.0</v>
      </c>
      <c r="J459" s="8">
        <v>0.0</v>
      </c>
      <c r="K459" s="8">
        <v>11.0</v>
      </c>
      <c r="L459" s="8">
        <v>0.0</v>
      </c>
      <c r="M459" s="8">
        <v>11.0</v>
      </c>
      <c r="N459" s="8">
        <v>-3.135494216</v>
      </c>
      <c r="O459" s="8">
        <v>1.95</v>
      </c>
      <c r="P459" s="8" t="s">
        <v>368</v>
      </c>
    </row>
    <row r="460">
      <c r="A460" s="8" t="s">
        <v>435</v>
      </c>
      <c r="B460" s="8">
        <v>2006.0</v>
      </c>
      <c r="C460" s="8" t="s">
        <v>32</v>
      </c>
      <c r="D460" s="8" t="s">
        <v>371</v>
      </c>
      <c r="E460" s="8">
        <v>2050.0</v>
      </c>
      <c r="F460" s="8" t="s">
        <v>34</v>
      </c>
      <c r="G460" s="8" t="s">
        <v>42</v>
      </c>
      <c r="H460" s="8" t="s">
        <v>374</v>
      </c>
      <c r="I460" s="8">
        <v>0.95</v>
      </c>
      <c r="J460" s="8">
        <v>0.0</v>
      </c>
      <c r="K460" s="8">
        <v>11.0</v>
      </c>
      <c r="L460" s="8">
        <v>0.0</v>
      </c>
      <c r="M460" s="8">
        <v>11.0</v>
      </c>
      <c r="N460" s="8">
        <v>-3.135494216</v>
      </c>
      <c r="O460" s="8">
        <v>1.95</v>
      </c>
      <c r="P460" s="8" t="s">
        <v>368</v>
      </c>
    </row>
    <row r="461">
      <c r="A461" s="8" t="s">
        <v>435</v>
      </c>
      <c r="B461" s="8">
        <v>2006.0</v>
      </c>
      <c r="C461" s="8" t="s">
        <v>32</v>
      </c>
      <c r="D461" s="8" t="s">
        <v>371</v>
      </c>
      <c r="E461" s="8">
        <v>2050.0</v>
      </c>
      <c r="F461" s="8" t="s">
        <v>34</v>
      </c>
      <c r="G461" s="8" t="s">
        <v>42</v>
      </c>
      <c r="H461" s="8" t="s">
        <v>374</v>
      </c>
      <c r="I461" s="8">
        <v>0.8</v>
      </c>
      <c r="J461" s="8">
        <v>0.0</v>
      </c>
      <c r="K461" s="8">
        <v>11.0</v>
      </c>
      <c r="L461" s="8">
        <v>0.0</v>
      </c>
      <c r="M461" s="8">
        <v>11.0</v>
      </c>
      <c r="N461" s="8">
        <v>-3.135494216</v>
      </c>
      <c r="O461" s="8">
        <v>1.95</v>
      </c>
      <c r="P461" s="8" t="s">
        <v>368</v>
      </c>
    </row>
    <row r="462">
      <c r="A462" s="8" t="s">
        <v>435</v>
      </c>
      <c r="B462" s="8">
        <v>2006.0</v>
      </c>
      <c r="C462" s="8" t="s">
        <v>32</v>
      </c>
      <c r="D462" s="8" t="s">
        <v>371</v>
      </c>
      <c r="E462" s="8">
        <v>2080.0</v>
      </c>
      <c r="F462" s="8" t="s">
        <v>34</v>
      </c>
      <c r="G462" s="8" t="s">
        <v>42</v>
      </c>
      <c r="H462" s="8" t="s">
        <v>374</v>
      </c>
      <c r="I462" s="8">
        <v>1.0</v>
      </c>
      <c r="J462" s="8">
        <v>0.0</v>
      </c>
      <c r="K462" s="8">
        <v>11.0</v>
      </c>
      <c r="L462" s="8">
        <v>0.0</v>
      </c>
      <c r="M462" s="8">
        <v>11.0</v>
      </c>
      <c r="N462" s="8">
        <v>-3.135494216</v>
      </c>
      <c r="O462" s="8">
        <v>3.2</v>
      </c>
      <c r="P462" s="8" t="s">
        <v>368</v>
      </c>
    </row>
    <row r="463">
      <c r="A463" s="8" t="s">
        <v>435</v>
      </c>
      <c r="B463" s="8">
        <v>2006.0</v>
      </c>
      <c r="C463" s="8" t="s">
        <v>32</v>
      </c>
      <c r="D463" s="8" t="s">
        <v>371</v>
      </c>
      <c r="E463" s="8">
        <v>2080.0</v>
      </c>
      <c r="F463" s="8" t="s">
        <v>34</v>
      </c>
      <c r="G463" s="8" t="s">
        <v>42</v>
      </c>
      <c r="H463" s="8" t="s">
        <v>374</v>
      </c>
      <c r="I463" s="8">
        <v>0.95</v>
      </c>
      <c r="J463" s="8">
        <v>0.0</v>
      </c>
      <c r="K463" s="8">
        <v>11.0</v>
      </c>
      <c r="L463" s="8">
        <v>0.0</v>
      </c>
      <c r="M463" s="8">
        <v>11.0</v>
      </c>
      <c r="N463" s="8">
        <v>-3.135494216</v>
      </c>
      <c r="O463" s="8">
        <v>3.2</v>
      </c>
      <c r="P463" s="8" t="s">
        <v>368</v>
      </c>
    </row>
    <row r="464">
      <c r="A464" s="8" t="s">
        <v>435</v>
      </c>
      <c r="B464" s="8">
        <v>2006.0</v>
      </c>
      <c r="C464" s="8" t="s">
        <v>32</v>
      </c>
      <c r="D464" s="8" t="s">
        <v>371</v>
      </c>
      <c r="E464" s="8">
        <v>2080.0</v>
      </c>
      <c r="F464" s="8" t="s">
        <v>34</v>
      </c>
      <c r="G464" s="8" t="s">
        <v>42</v>
      </c>
      <c r="H464" s="8" t="s">
        <v>374</v>
      </c>
      <c r="I464" s="8">
        <v>0.8</v>
      </c>
      <c r="J464" s="8">
        <v>0.0</v>
      </c>
      <c r="K464" s="8">
        <v>11.0</v>
      </c>
      <c r="L464" s="8">
        <v>0.0</v>
      </c>
      <c r="M464" s="8">
        <v>11.0</v>
      </c>
      <c r="N464" s="8">
        <v>-3.135494216</v>
      </c>
      <c r="O464" s="8">
        <v>3.2</v>
      </c>
      <c r="P464" s="8" t="s">
        <v>368</v>
      </c>
    </row>
    <row r="465">
      <c r="A465" s="8" t="s">
        <v>435</v>
      </c>
      <c r="B465" s="8">
        <v>2006.0</v>
      </c>
      <c r="C465" s="8" t="s">
        <v>32</v>
      </c>
      <c r="D465" s="8" t="s">
        <v>370</v>
      </c>
      <c r="E465" s="8">
        <v>2020.0</v>
      </c>
      <c r="F465" s="8" t="s">
        <v>34</v>
      </c>
      <c r="G465" s="8" t="s">
        <v>42</v>
      </c>
      <c r="H465" s="8" t="s">
        <v>374</v>
      </c>
      <c r="I465" s="8">
        <v>1.0</v>
      </c>
      <c r="J465" s="8">
        <v>0.0</v>
      </c>
      <c r="K465" s="8">
        <v>2.0</v>
      </c>
      <c r="L465" s="8">
        <v>0.0</v>
      </c>
      <c r="M465" s="8">
        <v>2.0</v>
      </c>
      <c r="N465" s="8">
        <v>-1.609437912</v>
      </c>
      <c r="O465" s="8">
        <v>1.15</v>
      </c>
      <c r="P465" s="8" t="s">
        <v>368</v>
      </c>
    </row>
    <row r="466">
      <c r="A466" s="8" t="s">
        <v>435</v>
      </c>
      <c r="B466" s="8">
        <v>2006.0</v>
      </c>
      <c r="C466" s="8" t="s">
        <v>32</v>
      </c>
      <c r="D466" s="8" t="s">
        <v>370</v>
      </c>
      <c r="E466" s="8">
        <v>2020.0</v>
      </c>
      <c r="F466" s="8" t="s">
        <v>34</v>
      </c>
      <c r="G466" s="8" t="s">
        <v>42</v>
      </c>
      <c r="H466" s="8" t="s">
        <v>374</v>
      </c>
      <c r="I466" s="8">
        <v>0.95</v>
      </c>
      <c r="J466" s="8">
        <v>0.0</v>
      </c>
      <c r="K466" s="8">
        <v>2.0</v>
      </c>
      <c r="L466" s="8">
        <v>0.0</v>
      </c>
      <c r="M466" s="8">
        <v>2.0</v>
      </c>
      <c r="N466" s="8">
        <v>-1.609437912</v>
      </c>
      <c r="O466" s="8">
        <v>1.15</v>
      </c>
      <c r="P466" s="8" t="s">
        <v>368</v>
      </c>
    </row>
    <row r="467">
      <c r="A467" s="8" t="s">
        <v>435</v>
      </c>
      <c r="B467" s="8">
        <v>2006.0</v>
      </c>
      <c r="C467" s="8" t="s">
        <v>32</v>
      </c>
      <c r="D467" s="8" t="s">
        <v>370</v>
      </c>
      <c r="E467" s="8">
        <v>2020.0</v>
      </c>
      <c r="F467" s="8" t="s">
        <v>34</v>
      </c>
      <c r="G467" s="8" t="s">
        <v>42</v>
      </c>
      <c r="H467" s="8" t="s">
        <v>374</v>
      </c>
      <c r="I467" s="8">
        <v>0.8</v>
      </c>
      <c r="J467" s="8">
        <v>0.0</v>
      </c>
      <c r="K467" s="8">
        <v>2.0</v>
      </c>
      <c r="L467" s="8">
        <v>0.0</v>
      </c>
      <c r="M467" s="8">
        <v>2.0</v>
      </c>
      <c r="N467" s="8">
        <v>-1.609437912</v>
      </c>
      <c r="O467" s="8">
        <v>1.15</v>
      </c>
      <c r="P467" s="8" t="s">
        <v>368</v>
      </c>
    </row>
    <row r="468">
      <c r="A468" s="8" t="s">
        <v>435</v>
      </c>
      <c r="B468" s="8">
        <v>2006.0</v>
      </c>
      <c r="C468" s="8" t="s">
        <v>32</v>
      </c>
      <c r="D468" s="8" t="s">
        <v>370</v>
      </c>
      <c r="E468" s="8">
        <v>2050.0</v>
      </c>
      <c r="F468" s="8" t="s">
        <v>34</v>
      </c>
      <c r="G468" s="8" t="s">
        <v>42</v>
      </c>
      <c r="H468" s="8" t="s">
        <v>374</v>
      </c>
      <c r="I468" s="8">
        <v>1.0</v>
      </c>
      <c r="J468" s="8">
        <v>0.0</v>
      </c>
      <c r="K468" s="8">
        <v>2.0</v>
      </c>
      <c r="L468" s="8">
        <v>0.0</v>
      </c>
      <c r="M468" s="8">
        <v>2.0</v>
      </c>
      <c r="N468" s="8">
        <v>-1.609437912</v>
      </c>
      <c r="O468" s="8">
        <v>1.95</v>
      </c>
      <c r="P468" s="8" t="s">
        <v>368</v>
      </c>
    </row>
    <row r="469">
      <c r="A469" s="8" t="s">
        <v>435</v>
      </c>
      <c r="B469" s="8">
        <v>2006.0</v>
      </c>
      <c r="C469" s="8" t="s">
        <v>32</v>
      </c>
      <c r="D469" s="8" t="s">
        <v>370</v>
      </c>
      <c r="E469" s="8">
        <v>2050.0</v>
      </c>
      <c r="F469" s="8" t="s">
        <v>34</v>
      </c>
      <c r="G469" s="8" t="s">
        <v>42</v>
      </c>
      <c r="H469" s="8" t="s">
        <v>374</v>
      </c>
      <c r="I469" s="8">
        <v>0.95</v>
      </c>
      <c r="J469" s="8">
        <v>0.0</v>
      </c>
      <c r="K469" s="8">
        <v>2.0</v>
      </c>
      <c r="L469" s="8">
        <v>0.0</v>
      </c>
      <c r="M469" s="8">
        <v>2.0</v>
      </c>
      <c r="N469" s="8">
        <v>-1.609437912</v>
      </c>
      <c r="O469" s="8">
        <v>1.95</v>
      </c>
      <c r="P469" s="8" t="s">
        <v>368</v>
      </c>
    </row>
    <row r="470">
      <c r="A470" s="8" t="s">
        <v>435</v>
      </c>
      <c r="B470" s="8">
        <v>2006.0</v>
      </c>
      <c r="C470" s="8" t="s">
        <v>32</v>
      </c>
      <c r="D470" s="8" t="s">
        <v>370</v>
      </c>
      <c r="E470" s="8">
        <v>2050.0</v>
      </c>
      <c r="F470" s="8" t="s">
        <v>34</v>
      </c>
      <c r="G470" s="8" t="s">
        <v>42</v>
      </c>
      <c r="H470" s="8" t="s">
        <v>374</v>
      </c>
      <c r="I470" s="8">
        <v>0.8</v>
      </c>
      <c r="J470" s="8">
        <v>0.0</v>
      </c>
      <c r="K470" s="8">
        <v>2.0</v>
      </c>
      <c r="L470" s="8">
        <v>0.0</v>
      </c>
      <c r="M470" s="8">
        <v>2.0</v>
      </c>
      <c r="N470" s="8">
        <v>-1.609437912</v>
      </c>
      <c r="O470" s="8">
        <v>1.95</v>
      </c>
      <c r="P470" s="8" t="s">
        <v>368</v>
      </c>
    </row>
    <row r="471">
      <c r="A471" s="8" t="s">
        <v>435</v>
      </c>
      <c r="B471" s="8">
        <v>2006.0</v>
      </c>
      <c r="C471" s="8" t="s">
        <v>32</v>
      </c>
      <c r="D471" s="8" t="s">
        <v>370</v>
      </c>
      <c r="E471" s="8">
        <v>2080.0</v>
      </c>
      <c r="F471" s="8" t="s">
        <v>34</v>
      </c>
      <c r="G471" s="8" t="s">
        <v>42</v>
      </c>
      <c r="H471" s="8" t="s">
        <v>374</v>
      </c>
      <c r="I471" s="8">
        <v>1.0</v>
      </c>
      <c r="J471" s="8">
        <v>0.0</v>
      </c>
      <c r="K471" s="8">
        <v>2.0</v>
      </c>
      <c r="L471" s="8">
        <v>0.0</v>
      </c>
      <c r="M471" s="8">
        <v>2.0</v>
      </c>
      <c r="N471" s="8">
        <v>-1.609437912</v>
      </c>
      <c r="O471" s="8">
        <v>3.2</v>
      </c>
      <c r="P471" s="8" t="s">
        <v>368</v>
      </c>
    </row>
    <row r="472">
      <c r="A472" s="8" t="s">
        <v>435</v>
      </c>
      <c r="B472" s="8">
        <v>2006.0</v>
      </c>
      <c r="C472" s="8" t="s">
        <v>32</v>
      </c>
      <c r="D472" s="8" t="s">
        <v>370</v>
      </c>
      <c r="E472" s="8">
        <v>2080.0</v>
      </c>
      <c r="F472" s="8" t="s">
        <v>34</v>
      </c>
      <c r="G472" s="8" t="s">
        <v>42</v>
      </c>
      <c r="H472" s="8" t="s">
        <v>374</v>
      </c>
      <c r="I472" s="8">
        <v>0.95</v>
      </c>
      <c r="J472" s="8">
        <v>0.0</v>
      </c>
      <c r="K472" s="8">
        <v>2.0</v>
      </c>
      <c r="L472" s="8">
        <v>0.0</v>
      </c>
      <c r="M472" s="8">
        <v>2.0</v>
      </c>
      <c r="N472" s="8">
        <v>-1.609437912</v>
      </c>
      <c r="O472" s="8">
        <v>3.2</v>
      </c>
      <c r="P472" s="8" t="s">
        <v>368</v>
      </c>
    </row>
    <row r="473">
      <c r="A473" s="8" t="s">
        <v>435</v>
      </c>
      <c r="B473" s="8">
        <v>2006.0</v>
      </c>
      <c r="C473" s="8" t="s">
        <v>32</v>
      </c>
      <c r="D473" s="8" t="s">
        <v>370</v>
      </c>
      <c r="E473" s="8">
        <v>2080.0</v>
      </c>
      <c r="F473" s="8" t="s">
        <v>34</v>
      </c>
      <c r="G473" s="8" t="s">
        <v>42</v>
      </c>
      <c r="H473" s="8" t="s">
        <v>374</v>
      </c>
      <c r="I473" s="8">
        <v>0.8</v>
      </c>
      <c r="J473" s="8">
        <v>0.0</v>
      </c>
      <c r="K473" s="8">
        <v>2.0</v>
      </c>
      <c r="L473" s="8">
        <v>0.0</v>
      </c>
      <c r="M473" s="8">
        <v>2.0</v>
      </c>
      <c r="N473" s="8">
        <v>-1.609437912</v>
      </c>
      <c r="O473" s="8">
        <v>3.2</v>
      </c>
      <c r="P473" s="8" t="s">
        <v>368</v>
      </c>
    </row>
    <row r="474">
      <c r="A474" s="8" t="s">
        <v>435</v>
      </c>
      <c r="B474" s="8">
        <v>2006.0</v>
      </c>
      <c r="C474" s="8" t="s">
        <v>32</v>
      </c>
      <c r="D474" s="8" t="s">
        <v>371</v>
      </c>
      <c r="E474" s="8">
        <v>2020.0</v>
      </c>
      <c r="F474" s="8" t="s">
        <v>34</v>
      </c>
      <c r="G474" s="8" t="s">
        <v>42</v>
      </c>
      <c r="H474" s="8" t="s">
        <v>416</v>
      </c>
      <c r="I474" s="8">
        <v>1.0</v>
      </c>
      <c r="J474" s="8">
        <v>0.0</v>
      </c>
      <c r="K474" s="8">
        <v>4.0</v>
      </c>
      <c r="L474" s="8">
        <v>0.0</v>
      </c>
      <c r="M474" s="8">
        <v>4.0</v>
      </c>
      <c r="N474" s="8">
        <v>-2.197224577</v>
      </c>
      <c r="O474" s="8">
        <v>1.15</v>
      </c>
      <c r="P474" s="8" t="s">
        <v>368</v>
      </c>
    </row>
    <row r="475">
      <c r="A475" s="8" t="s">
        <v>435</v>
      </c>
      <c r="B475" s="8">
        <v>2006.0</v>
      </c>
      <c r="C475" s="8" t="s">
        <v>32</v>
      </c>
      <c r="D475" s="8" t="s">
        <v>371</v>
      </c>
      <c r="E475" s="8">
        <v>2020.0</v>
      </c>
      <c r="F475" s="8" t="s">
        <v>34</v>
      </c>
      <c r="G475" s="8" t="s">
        <v>42</v>
      </c>
      <c r="H475" s="8" t="s">
        <v>416</v>
      </c>
      <c r="I475" s="8">
        <v>0.95</v>
      </c>
      <c r="J475" s="8">
        <v>0.0</v>
      </c>
      <c r="K475" s="8">
        <v>4.0</v>
      </c>
      <c r="L475" s="8">
        <v>0.0</v>
      </c>
      <c r="M475" s="8">
        <v>4.0</v>
      </c>
      <c r="N475" s="8">
        <v>-2.197224577</v>
      </c>
      <c r="O475" s="8">
        <v>1.15</v>
      </c>
      <c r="P475" s="8" t="s">
        <v>368</v>
      </c>
    </row>
    <row r="476">
      <c r="A476" s="8" t="s">
        <v>435</v>
      </c>
      <c r="B476" s="8">
        <v>2006.0</v>
      </c>
      <c r="C476" s="8" t="s">
        <v>32</v>
      </c>
      <c r="D476" s="8" t="s">
        <v>371</v>
      </c>
      <c r="E476" s="8">
        <v>2020.0</v>
      </c>
      <c r="F476" s="8" t="s">
        <v>34</v>
      </c>
      <c r="G476" s="8" t="s">
        <v>42</v>
      </c>
      <c r="H476" s="8" t="s">
        <v>416</v>
      </c>
      <c r="I476" s="8">
        <v>0.8</v>
      </c>
      <c r="J476" s="8">
        <v>0.0</v>
      </c>
      <c r="K476" s="8">
        <v>4.0</v>
      </c>
      <c r="L476" s="8">
        <v>0.0</v>
      </c>
      <c r="M476" s="8">
        <v>4.0</v>
      </c>
      <c r="N476" s="8">
        <v>-2.197224577</v>
      </c>
      <c r="O476" s="8">
        <v>1.15</v>
      </c>
      <c r="P476" s="8" t="s">
        <v>368</v>
      </c>
    </row>
    <row r="477">
      <c r="A477" s="8" t="s">
        <v>435</v>
      </c>
      <c r="B477" s="8">
        <v>2006.0</v>
      </c>
      <c r="C477" s="8" t="s">
        <v>32</v>
      </c>
      <c r="D477" s="8" t="s">
        <v>371</v>
      </c>
      <c r="E477" s="8">
        <v>2050.0</v>
      </c>
      <c r="F477" s="8" t="s">
        <v>34</v>
      </c>
      <c r="G477" s="8" t="s">
        <v>42</v>
      </c>
      <c r="H477" s="8" t="s">
        <v>416</v>
      </c>
      <c r="I477" s="8">
        <v>1.0</v>
      </c>
      <c r="J477" s="8">
        <v>0.0</v>
      </c>
      <c r="K477" s="8">
        <v>4.0</v>
      </c>
      <c r="L477" s="8">
        <v>0.0</v>
      </c>
      <c r="M477" s="8">
        <v>4.0</v>
      </c>
      <c r="N477" s="8">
        <v>-2.197224577</v>
      </c>
      <c r="O477" s="8">
        <v>1.95</v>
      </c>
      <c r="P477" s="8" t="s">
        <v>368</v>
      </c>
    </row>
    <row r="478">
      <c r="A478" s="8" t="s">
        <v>435</v>
      </c>
      <c r="B478" s="8">
        <v>2006.0</v>
      </c>
      <c r="C478" s="8" t="s">
        <v>32</v>
      </c>
      <c r="D478" s="8" t="s">
        <v>371</v>
      </c>
      <c r="E478" s="8">
        <v>2050.0</v>
      </c>
      <c r="F478" s="8" t="s">
        <v>34</v>
      </c>
      <c r="G478" s="8" t="s">
        <v>42</v>
      </c>
      <c r="H478" s="8" t="s">
        <v>416</v>
      </c>
      <c r="I478" s="8">
        <v>0.95</v>
      </c>
      <c r="J478" s="8">
        <v>0.0</v>
      </c>
      <c r="K478" s="8">
        <v>4.0</v>
      </c>
      <c r="L478" s="8">
        <v>0.0</v>
      </c>
      <c r="M478" s="8">
        <v>4.0</v>
      </c>
      <c r="N478" s="8">
        <v>-2.197224577</v>
      </c>
      <c r="O478" s="8">
        <v>1.95</v>
      </c>
      <c r="P478" s="8" t="s">
        <v>368</v>
      </c>
    </row>
    <row r="479">
      <c r="A479" s="8" t="s">
        <v>435</v>
      </c>
      <c r="B479" s="8">
        <v>2006.0</v>
      </c>
      <c r="C479" s="8" t="s">
        <v>32</v>
      </c>
      <c r="D479" s="8" t="s">
        <v>371</v>
      </c>
      <c r="E479" s="8">
        <v>2050.0</v>
      </c>
      <c r="F479" s="8" t="s">
        <v>34</v>
      </c>
      <c r="G479" s="8" t="s">
        <v>42</v>
      </c>
      <c r="H479" s="8" t="s">
        <v>416</v>
      </c>
      <c r="I479" s="8">
        <v>0.8</v>
      </c>
      <c r="J479" s="8">
        <v>0.0</v>
      </c>
      <c r="K479" s="8">
        <v>4.0</v>
      </c>
      <c r="L479" s="8">
        <v>0.0</v>
      </c>
      <c r="M479" s="8">
        <v>4.0</v>
      </c>
      <c r="N479" s="8">
        <v>-2.197224577</v>
      </c>
      <c r="O479" s="8">
        <v>1.95</v>
      </c>
      <c r="P479" s="8" t="s">
        <v>368</v>
      </c>
    </row>
    <row r="480">
      <c r="A480" s="8" t="s">
        <v>435</v>
      </c>
      <c r="B480" s="8">
        <v>2006.0</v>
      </c>
      <c r="C480" s="8" t="s">
        <v>32</v>
      </c>
      <c r="D480" s="8" t="s">
        <v>371</v>
      </c>
      <c r="E480" s="8">
        <v>2080.0</v>
      </c>
      <c r="F480" s="8" t="s">
        <v>34</v>
      </c>
      <c r="G480" s="8" t="s">
        <v>42</v>
      </c>
      <c r="H480" s="8" t="s">
        <v>416</v>
      </c>
      <c r="I480" s="8">
        <v>1.0</v>
      </c>
      <c r="J480" s="8">
        <v>0.0</v>
      </c>
      <c r="K480" s="8">
        <v>4.0</v>
      </c>
      <c r="L480" s="8">
        <v>0.0</v>
      </c>
      <c r="M480" s="8">
        <v>4.0</v>
      </c>
      <c r="N480" s="8">
        <v>-2.197224577</v>
      </c>
      <c r="O480" s="8">
        <v>3.2</v>
      </c>
      <c r="P480" s="8" t="s">
        <v>368</v>
      </c>
    </row>
    <row r="481">
      <c r="A481" s="8" t="s">
        <v>435</v>
      </c>
      <c r="B481" s="8">
        <v>2006.0</v>
      </c>
      <c r="C481" s="8" t="s">
        <v>32</v>
      </c>
      <c r="D481" s="8" t="s">
        <v>371</v>
      </c>
      <c r="E481" s="8">
        <v>2080.0</v>
      </c>
      <c r="F481" s="8" t="s">
        <v>34</v>
      </c>
      <c r="G481" s="8" t="s">
        <v>42</v>
      </c>
      <c r="H481" s="8" t="s">
        <v>416</v>
      </c>
      <c r="I481" s="8">
        <v>0.95</v>
      </c>
      <c r="J481" s="8">
        <v>0.0</v>
      </c>
      <c r="K481" s="8">
        <v>4.0</v>
      </c>
      <c r="L481" s="8">
        <v>0.0</v>
      </c>
      <c r="M481" s="8">
        <v>4.0</v>
      </c>
      <c r="N481" s="8">
        <v>-2.197224577</v>
      </c>
      <c r="O481" s="8">
        <v>3.2</v>
      </c>
      <c r="P481" s="8" t="s">
        <v>368</v>
      </c>
    </row>
    <row r="482">
      <c r="A482" s="8" t="s">
        <v>435</v>
      </c>
      <c r="B482" s="8">
        <v>2006.0</v>
      </c>
      <c r="C482" s="8" t="s">
        <v>32</v>
      </c>
      <c r="D482" s="8" t="s">
        <v>371</v>
      </c>
      <c r="E482" s="8">
        <v>2080.0</v>
      </c>
      <c r="F482" s="8" t="s">
        <v>34</v>
      </c>
      <c r="G482" s="8" t="s">
        <v>42</v>
      </c>
      <c r="H482" s="8" t="s">
        <v>416</v>
      </c>
      <c r="I482" s="8">
        <v>0.8</v>
      </c>
      <c r="J482" s="8">
        <v>0.0</v>
      </c>
      <c r="K482" s="8">
        <v>4.0</v>
      </c>
      <c r="L482" s="8">
        <v>0.0</v>
      </c>
      <c r="M482" s="8">
        <v>4.0</v>
      </c>
      <c r="N482" s="8">
        <v>-2.197224577</v>
      </c>
      <c r="O482" s="8">
        <v>3.2</v>
      </c>
      <c r="P482" s="8" t="s">
        <v>368</v>
      </c>
    </row>
    <row r="483">
      <c r="A483" s="8" t="s">
        <v>421</v>
      </c>
      <c r="B483" s="8">
        <v>2006.0</v>
      </c>
      <c r="C483" s="8" t="s">
        <v>39</v>
      </c>
      <c r="D483" s="8" t="s">
        <v>366</v>
      </c>
      <c r="E483" s="8">
        <v>2050.0</v>
      </c>
      <c r="F483" s="8" t="s">
        <v>41</v>
      </c>
      <c r="G483" s="8" t="s">
        <v>42</v>
      </c>
      <c r="H483" s="8" t="s">
        <v>367</v>
      </c>
      <c r="I483" s="8">
        <v>1.0</v>
      </c>
      <c r="J483" s="8">
        <v>3.0</v>
      </c>
      <c r="K483" s="8">
        <v>277.0</v>
      </c>
      <c r="L483" s="8">
        <v>0.010830325</v>
      </c>
      <c r="M483" s="8">
        <v>277.0</v>
      </c>
      <c r="N483" s="8">
        <v>-4.514515818</v>
      </c>
      <c r="O483" s="8">
        <v>2.19</v>
      </c>
      <c r="P483" s="8" t="s">
        <v>368</v>
      </c>
    </row>
    <row r="484">
      <c r="A484" s="8" t="s">
        <v>421</v>
      </c>
      <c r="B484" s="8">
        <v>2006.0</v>
      </c>
      <c r="C484" s="8" t="s">
        <v>39</v>
      </c>
      <c r="D484" s="8" t="s">
        <v>366</v>
      </c>
      <c r="E484" s="8">
        <v>2050.0</v>
      </c>
      <c r="F484" s="8" t="s">
        <v>41</v>
      </c>
      <c r="G484" s="8" t="s">
        <v>42</v>
      </c>
      <c r="H484" s="8" t="s">
        <v>367</v>
      </c>
      <c r="I484" s="8">
        <v>0.8</v>
      </c>
      <c r="J484" s="8">
        <v>34.0</v>
      </c>
      <c r="K484" s="8">
        <v>277.0</v>
      </c>
      <c r="L484" s="8">
        <v>0.122743682</v>
      </c>
      <c r="M484" s="8">
        <v>277.0</v>
      </c>
      <c r="N484" s="8">
        <v>-1.966700919</v>
      </c>
      <c r="O484" s="8">
        <v>2.19</v>
      </c>
      <c r="P484" s="8" t="s">
        <v>368</v>
      </c>
    </row>
    <row r="485">
      <c r="A485" s="8" t="s">
        <v>421</v>
      </c>
      <c r="B485" s="8">
        <v>2006.0</v>
      </c>
      <c r="C485" s="8" t="s">
        <v>39</v>
      </c>
      <c r="D485" s="8" t="s">
        <v>366</v>
      </c>
      <c r="E485" s="8">
        <v>2050.0</v>
      </c>
      <c r="F485" s="8" t="s">
        <v>41</v>
      </c>
      <c r="G485" s="8" t="s">
        <v>42</v>
      </c>
      <c r="H485" s="8" t="s">
        <v>367</v>
      </c>
      <c r="I485" s="8">
        <v>1.0</v>
      </c>
      <c r="J485" s="8">
        <v>2.0</v>
      </c>
      <c r="K485" s="8">
        <v>277.0</v>
      </c>
      <c r="L485" s="8">
        <v>0.007220217</v>
      </c>
      <c r="M485" s="8">
        <v>277.0</v>
      </c>
      <c r="N485" s="8">
        <v>-4.923623917</v>
      </c>
      <c r="O485" s="8">
        <v>1.91</v>
      </c>
      <c r="P485" s="8" t="s">
        <v>368</v>
      </c>
    </row>
    <row r="486">
      <c r="A486" s="8" t="s">
        <v>421</v>
      </c>
      <c r="B486" s="8">
        <v>2006.0</v>
      </c>
      <c r="C486" s="8" t="s">
        <v>39</v>
      </c>
      <c r="D486" s="8" t="s">
        <v>366</v>
      </c>
      <c r="E486" s="8">
        <v>2050.0</v>
      </c>
      <c r="F486" s="8" t="s">
        <v>41</v>
      </c>
      <c r="G486" s="8" t="s">
        <v>42</v>
      </c>
      <c r="H486" s="8" t="s">
        <v>367</v>
      </c>
      <c r="I486" s="8">
        <v>0.8</v>
      </c>
      <c r="J486" s="8">
        <v>18.0</v>
      </c>
      <c r="K486" s="8">
        <v>277.0</v>
      </c>
      <c r="L486" s="8">
        <v>0.064981949</v>
      </c>
      <c r="M486" s="8">
        <v>277.0</v>
      </c>
      <c r="N486" s="8">
        <v>-2.666456304</v>
      </c>
      <c r="O486" s="8">
        <v>1.91</v>
      </c>
      <c r="P486" s="8" t="s">
        <v>368</v>
      </c>
    </row>
    <row r="487">
      <c r="A487" s="8" t="s">
        <v>421</v>
      </c>
      <c r="B487" s="8">
        <v>2006.0</v>
      </c>
      <c r="C487" s="8" t="s">
        <v>39</v>
      </c>
      <c r="D487" s="8" t="s">
        <v>366</v>
      </c>
      <c r="E487" s="8">
        <v>2080.0</v>
      </c>
      <c r="F487" s="8" t="s">
        <v>41</v>
      </c>
      <c r="G487" s="8" t="s">
        <v>42</v>
      </c>
      <c r="H487" s="8" t="s">
        <v>367</v>
      </c>
      <c r="I487" s="8">
        <v>1.0</v>
      </c>
      <c r="J487" s="8">
        <v>10.0</v>
      </c>
      <c r="K487" s="8">
        <v>277.0</v>
      </c>
      <c r="L487" s="8">
        <v>0.036101083</v>
      </c>
      <c r="M487" s="8">
        <v>277.0</v>
      </c>
      <c r="N487" s="8">
        <v>-3.284663565</v>
      </c>
      <c r="O487" s="8">
        <v>3.57</v>
      </c>
      <c r="P487" s="8" t="s">
        <v>368</v>
      </c>
    </row>
    <row r="488">
      <c r="A488" s="8" t="s">
        <v>421</v>
      </c>
      <c r="B488" s="8">
        <v>2006.0</v>
      </c>
      <c r="C488" s="8" t="s">
        <v>39</v>
      </c>
      <c r="D488" s="8" t="s">
        <v>366</v>
      </c>
      <c r="E488" s="8">
        <v>2080.0</v>
      </c>
      <c r="F488" s="8" t="s">
        <v>41</v>
      </c>
      <c r="G488" s="8" t="s">
        <v>42</v>
      </c>
      <c r="H488" s="8" t="s">
        <v>367</v>
      </c>
      <c r="I488" s="8">
        <v>0.8</v>
      </c>
      <c r="J488" s="8">
        <v>114.0</v>
      </c>
      <c r="K488" s="8">
        <v>277.0</v>
      </c>
      <c r="L488" s="8">
        <v>0.411552347</v>
      </c>
      <c r="M488" s="8">
        <v>277.0</v>
      </c>
      <c r="N488" s="8">
        <v>-0.357551752</v>
      </c>
      <c r="O488" s="8">
        <v>3.57</v>
      </c>
      <c r="P488" s="8" t="s">
        <v>368</v>
      </c>
    </row>
    <row r="489">
      <c r="A489" s="8" t="s">
        <v>421</v>
      </c>
      <c r="B489" s="8">
        <v>2006.0</v>
      </c>
      <c r="C489" s="8" t="s">
        <v>39</v>
      </c>
      <c r="D489" s="8" t="s">
        <v>366</v>
      </c>
      <c r="E489" s="8">
        <v>2080.0</v>
      </c>
      <c r="F489" s="8" t="s">
        <v>41</v>
      </c>
      <c r="G489" s="8" t="s">
        <v>42</v>
      </c>
      <c r="H489" s="8" t="s">
        <v>367</v>
      </c>
      <c r="I489" s="8">
        <v>1.0</v>
      </c>
      <c r="J489" s="8">
        <v>6.0</v>
      </c>
      <c r="K489" s="8">
        <v>277.0</v>
      </c>
      <c r="L489" s="8">
        <v>0.02166065</v>
      </c>
      <c r="M489" s="8">
        <v>277.0</v>
      </c>
      <c r="N489" s="8">
        <v>-3.810359352</v>
      </c>
      <c r="O489" s="8">
        <v>2.68</v>
      </c>
      <c r="P489" s="8" t="s">
        <v>368</v>
      </c>
    </row>
    <row r="490">
      <c r="A490" s="8" t="s">
        <v>421</v>
      </c>
      <c r="B490" s="8">
        <v>2006.0</v>
      </c>
      <c r="C490" s="8" t="s">
        <v>39</v>
      </c>
      <c r="D490" s="8" t="s">
        <v>366</v>
      </c>
      <c r="E490" s="8">
        <v>2080.0</v>
      </c>
      <c r="F490" s="8" t="s">
        <v>41</v>
      </c>
      <c r="G490" s="8" t="s">
        <v>42</v>
      </c>
      <c r="H490" s="8" t="s">
        <v>367</v>
      </c>
      <c r="I490" s="8">
        <v>0.8</v>
      </c>
      <c r="J490" s="8">
        <v>55.0</v>
      </c>
      <c r="K490" s="8">
        <v>277.0</v>
      </c>
      <c r="L490" s="8">
        <v>0.198555957</v>
      </c>
      <c r="M490" s="8">
        <v>277.0</v>
      </c>
      <c r="N490" s="8">
        <v>-1.395344197</v>
      </c>
      <c r="O490" s="8">
        <v>2.68</v>
      </c>
      <c r="P490" s="8" t="s">
        <v>368</v>
      </c>
    </row>
    <row r="491">
      <c r="A491" s="8" t="s">
        <v>421</v>
      </c>
      <c r="B491" s="8">
        <v>2006.0</v>
      </c>
      <c r="C491" s="8" t="s">
        <v>39</v>
      </c>
      <c r="D491" s="8" t="s">
        <v>366</v>
      </c>
      <c r="E491" s="8">
        <v>2050.0</v>
      </c>
      <c r="F491" s="8" t="s">
        <v>41</v>
      </c>
      <c r="G491" s="8" t="s">
        <v>42</v>
      </c>
      <c r="H491" s="8" t="s">
        <v>374</v>
      </c>
      <c r="I491" s="8">
        <v>1.0</v>
      </c>
      <c r="J491" s="8">
        <v>0.0</v>
      </c>
      <c r="K491" s="8">
        <v>277.0</v>
      </c>
      <c r="L491" s="8">
        <v>0.0</v>
      </c>
      <c r="M491" s="8">
        <v>277.0</v>
      </c>
      <c r="N491" s="8">
        <v>-6.318968114</v>
      </c>
      <c r="O491" s="8">
        <v>2.19</v>
      </c>
      <c r="P491" s="8" t="s">
        <v>368</v>
      </c>
    </row>
    <row r="492">
      <c r="A492" s="8" t="s">
        <v>421</v>
      </c>
      <c r="B492" s="8">
        <v>2006.0</v>
      </c>
      <c r="C492" s="8" t="s">
        <v>39</v>
      </c>
      <c r="D492" s="8" t="s">
        <v>366</v>
      </c>
      <c r="E492" s="8">
        <v>2050.0</v>
      </c>
      <c r="F492" s="8" t="s">
        <v>41</v>
      </c>
      <c r="G492" s="8" t="s">
        <v>42</v>
      </c>
      <c r="H492" s="8" t="s">
        <v>374</v>
      </c>
      <c r="I492" s="8">
        <v>0.8</v>
      </c>
      <c r="J492" s="8">
        <v>18.0</v>
      </c>
      <c r="K492" s="8">
        <v>277.0</v>
      </c>
      <c r="L492" s="8">
        <v>0.064981949</v>
      </c>
      <c r="M492" s="8">
        <v>277.0</v>
      </c>
      <c r="N492" s="8">
        <v>-2.666456304</v>
      </c>
      <c r="O492" s="8">
        <v>2.19</v>
      </c>
      <c r="P492" s="8" t="s">
        <v>368</v>
      </c>
    </row>
    <row r="493">
      <c r="A493" s="8" t="s">
        <v>421</v>
      </c>
      <c r="B493" s="8">
        <v>2006.0</v>
      </c>
      <c r="C493" s="8" t="s">
        <v>39</v>
      </c>
      <c r="D493" s="8" t="s">
        <v>366</v>
      </c>
      <c r="E493" s="8">
        <v>2050.0</v>
      </c>
      <c r="F493" s="8" t="s">
        <v>41</v>
      </c>
      <c r="G493" s="8" t="s">
        <v>42</v>
      </c>
      <c r="H493" s="8" t="s">
        <v>374</v>
      </c>
      <c r="I493" s="8">
        <v>1.0</v>
      </c>
      <c r="J493" s="8">
        <v>0.0</v>
      </c>
      <c r="K493" s="8">
        <v>277.0</v>
      </c>
      <c r="L493" s="8">
        <v>0.0</v>
      </c>
      <c r="M493" s="8">
        <v>277.0</v>
      </c>
      <c r="N493" s="8">
        <v>-6.318968114</v>
      </c>
      <c r="O493" s="8">
        <v>1.91</v>
      </c>
      <c r="P493" s="8" t="s">
        <v>368</v>
      </c>
    </row>
    <row r="494">
      <c r="A494" s="8" t="s">
        <v>421</v>
      </c>
      <c r="B494" s="8">
        <v>2006.0</v>
      </c>
      <c r="C494" s="8" t="s">
        <v>39</v>
      </c>
      <c r="D494" s="8" t="s">
        <v>366</v>
      </c>
      <c r="E494" s="8">
        <v>2050.0</v>
      </c>
      <c r="F494" s="8" t="s">
        <v>41</v>
      </c>
      <c r="G494" s="8" t="s">
        <v>42</v>
      </c>
      <c r="H494" s="8" t="s">
        <v>374</v>
      </c>
      <c r="I494" s="8">
        <v>0.8</v>
      </c>
      <c r="J494" s="8">
        <v>8.0</v>
      </c>
      <c r="K494" s="8">
        <v>277.0</v>
      </c>
      <c r="L494" s="8">
        <v>0.028880866</v>
      </c>
      <c r="M494" s="8">
        <v>277.0</v>
      </c>
      <c r="N494" s="8">
        <v>-3.515269838</v>
      </c>
      <c r="O494" s="8">
        <v>1.91</v>
      </c>
      <c r="P494" s="8" t="s">
        <v>368</v>
      </c>
    </row>
    <row r="495">
      <c r="A495" s="8" t="s">
        <v>421</v>
      </c>
      <c r="B495" s="8">
        <v>2006.0</v>
      </c>
      <c r="C495" s="8" t="s">
        <v>39</v>
      </c>
      <c r="D495" s="8" t="s">
        <v>366</v>
      </c>
      <c r="E495" s="8">
        <v>2080.0</v>
      </c>
      <c r="F495" s="8" t="s">
        <v>41</v>
      </c>
      <c r="G495" s="8" t="s">
        <v>42</v>
      </c>
      <c r="H495" s="8" t="s">
        <v>374</v>
      </c>
      <c r="I495" s="8">
        <v>1.0</v>
      </c>
      <c r="J495" s="8">
        <v>0.0</v>
      </c>
      <c r="K495" s="8">
        <v>277.0</v>
      </c>
      <c r="L495" s="8">
        <v>0.0</v>
      </c>
      <c r="M495" s="8">
        <v>277.0</v>
      </c>
      <c r="N495" s="8">
        <v>-6.318968114</v>
      </c>
      <c r="O495" s="8">
        <v>3.57</v>
      </c>
      <c r="P495" s="8" t="s">
        <v>368</v>
      </c>
    </row>
    <row r="496">
      <c r="A496" s="8" t="s">
        <v>421</v>
      </c>
      <c r="B496" s="8">
        <v>2006.0</v>
      </c>
      <c r="C496" s="8" t="s">
        <v>39</v>
      </c>
      <c r="D496" s="8" t="s">
        <v>366</v>
      </c>
      <c r="E496" s="8">
        <v>2080.0</v>
      </c>
      <c r="F496" s="8" t="s">
        <v>41</v>
      </c>
      <c r="G496" s="8" t="s">
        <v>42</v>
      </c>
      <c r="H496" s="8" t="s">
        <v>374</v>
      </c>
      <c r="I496" s="8">
        <v>0.8</v>
      </c>
      <c r="J496" s="8">
        <v>80.0</v>
      </c>
      <c r="K496" s="8">
        <v>277.0</v>
      </c>
      <c r="L496" s="8">
        <v>0.288808664</v>
      </c>
      <c r="M496" s="8">
        <v>277.0</v>
      </c>
      <c r="N496" s="8">
        <v>-0.901177094</v>
      </c>
      <c r="O496" s="8">
        <v>3.57</v>
      </c>
      <c r="P496" s="8" t="s">
        <v>368</v>
      </c>
    </row>
    <row r="497">
      <c r="A497" s="8" t="s">
        <v>421</v>
      </c>
      <c r="B497" s="8">
        <v>2006.0</v>
      </c>
      <c r="C497" s="8" t="s">
        <v>39</v>
      </c>
      <c r="D497" s="8" t="s">
        <v>366</v>
      </c>
      <c r="E497" s="8">
        <v>2080.0</v>
      </c>
      <c r="F497" s="8" t="s">
        <v>41</v>
      </c>
      <c r="G497" s="8" t="s">
        <v>42</v>
      </c>
      <c r="H497" s="8" t="s">
        <v>374</v>
      </c>
      <c r="I497" s="8">
        <v>1.0</v>
      </c>
      <c r="J497" s="8">
        <v>0.0</v>
      </c>
      <c r="K497" s="8">
        <v>277.0</v>
      </c>
      <c r="L497" s="8">
        <v>0.0</v>
      </c>
      <c r="M497" s="8">
        <v>277.0</v>
      </c>
      <c r="N497" s="8">
        <v>-6.318968114</v>
      </c>
      <c r="O497" s="8">
        <v>2.68</v>
      </c>
      <c r="P497" s="8" t="s">
        <v>368</v>
      </c>
    </row>
    <row r="498">
      <c r="A498" s="8" t="s">
        <v>421</v>
      </c>
      <c r="B498" s="8">
        <v>2006.0</v>
      </c>
      <c r="C498" s="8" t="s">
        <v>39</v>
      </c>
      <c r="D498" s="8" t="s">
        <v>366</v>
      </c>
      <c r="E498" s="8">
        <v>2080.0</v>
      </c>
      <c r="F498" s="8" t="s">
        <v>41</v>
      </c>
      <c r="G498" s="8" t="s">
        <v>42</v>
      </c>
      <c r="H498" s="8" t="s">
        <v>374</v>
      </c>
      <c r="I498" s="8">
        <v>0.8</v>
      </c>
      <c r="J498" s="8">
        <v>32.0</v>
      </c>
      <c r="K498" s="8">
        <v>277.0</v>
      </c>
      <c r="L498" s="8">
        <v>0.115523466</v>
      </c>
      <c r="M498" s="8">
        <v>277.0</v>
      </c>
      <c r="N498" s="8">
        <v>-2.035522308</v>
      </c>
      <c r="O498" s="8">
        <v>2.68</v>
      </c>
      <c r="P498" s="8" t="s">
        <v>368</v>
      </c>
    </row>
    <row r="499">
      <c r="A499" s="8" t="s">
        <v>436</v>
      </c>
      <c r="B499" s="8">
        <v>2006.0</v>
      </c>
      <c r="C499" s="8" t="s">
        <v>437</v>
      </c>
      <c r="D499" s="8" t="s">
        <v>366</v>
      </c>
      <c r="E499" s="8">
        <v>2075.0</v>
      </c>
      <c r="F499" s="8" t="s">
        <v>41</v>
      </c>
      <c r="G499" s="8" t="s">
        <v>42</v>
      </c>
      <c r="H499" s="8" t="s">
        <v>374</v>
      </c>
      <c r="I499" s="8">
        <v>1.0</v>
      </c>
      <c r="J499" s="8">
        <v>3.0</v>
      </c>
      <c r="K499" s="8">
        <v>100.0</v>
      </c>
      <c r="L499" s="8">
        <v>0.03</v>
      </c>
      <c r="M499" s="8">
        <v>100.0</v>
      </c>
      <c r="N499" s="8">
        <v>-3.47609869</v>
      </c>
      <c r="O499" s="8">
        <v>2.0</v>
      </c>
      <c r="P499" s="8" t="s">
        <v>368</v>
      </c>
    </row>
    <row r="500">
      <c r="A500" s="8" t="s">
        <v>436</v>
      </c>
      <c r="B500" s="8">
        <v>2006.0</v>
      </c>
      <c r="C500" s="8" t="s">
        <v>437</v>
      </c>
      <c r="D500" s="8" t="s">
        <v>366</v>
      </c>
      <c r="E500" s="8">
        <v>2075.0</v>
      </c>
      <c r="F500" s="8" t="s">
        <v>41</v>
      </c>
      <c r="G500" s="8" t="s">
        <v>42</v>
      </c>
      <c r="H500" s="8" t="s">
        <v>374</v>
      </c>
      <c r="I500" s="8">
        <v>0.95</v>
      </c>
      <c r="J500" s="8">
        <v>7.0</v>
      </c>
      <c r="K500" s="8">
        <v>100.0</v>
      </c>
      <c r="L500" s="8">
        <v>0.07</v>
      </c>
      <c r="M500" s="8">
        <v>100.0</v>
      </c>
      <c r="N500" s="8">
        <v>-2.586689344</v>
      </c>
      <c r="O500" s="8">
        <v>2.0</v>
      </c>
      <c r="P500" s="8" t="s">
        <v>368</v>
      </c>
    </row>
    <row r="501">
      <c r="A501" s="8" t="s">
        <v>436</v>
      </c>
      <c r="B501" s="8">
        <v>2006.0</v>
      </c>
      <c r="C501" s="8" t="s">
        <v>437</v>
      </c>
      <c r="D501" s="8" t="s">
        <v>366</v>
      </c>
      <c r="E501" s="8">
        <v>2075.0</v>
      </c>
      <c r="F501" s="8" t="s">
        <v>41</v>
      </c>
      <c r="G501" s="8" t="s">
        <v>42</v>
      </c>
      <c r="H501" s="8" t="s">
        <v>374</v>
      </c>
      <c r="I501" s="8">
        <v>0.8</v>
      </c>
      <c r="J501" s="8">
        <v>14.0</v>
      </c>
      <c r="K501" s="8">
        <v>100.0</v>
      </c>
      <c r="L501" s="8">
        <v>0.14</v>
      </c>
      <c r="M501" s="8">
        <v>100.0</v>
      </c>
      <c r="N501" s="8">
        <v>-1.815289967</v>
      </c>
      <c r="O501" s="8">
        <v>2.0</v>
      </c>
      <c r="P501" s="8" t="s">
        <v>368</v>
      </c>
    </row>
    <row r="502">
      <c r="A502" s="8" t="s">
        <v>436</v>
      </c>
      <c r="B502" s="8">
        <v>2006.0</v>
      </c>
      <c r="C502" s="8" t="s">
        <v>437</v>
      </c>
      <c r="D502" s="8" t="s">
        <v>366</v>
      </c>
      <c r="E502" s="8">
        <v>2075.0</v>
      </c>
      <c r="F502" s="8" t="s">
        <v>41</v>
      </c>
      <c r="G502" s="8" t="s">
        <v>42</v>
      </c>
      <c r="H502" s="8" t="s">
        <v>367</v>
      </c>
      <c r="I502" s="8">
        <v>1.0</v>
      </c>
      <c r="J502" s="8">
        <v>7.0</v>
      </c>
      <c r="K502" s="8">
        <v>100.0</v>
      </c>
      <c r="L502" s="8">
        <v>0.07</v>
      </c>
      <c r="M502" s="8">
        <v>100.0</v>
      </c>
      <c r="N502" s="8">
        <v>-2.586689344</v>
      </c>
      <c r="O502" s="8">
        <v>2.0</v>
      </c>
      <c r="P502" s="8" t="s">
        <v>368</v>
      </c>
    </row>
    <row r="503">
      <c r="A503" s="8" t="s">
        <v>436</v>
      </c>
      <c r="B503" s="8">
        <v>2006.0</v>
      </c>
      <c r="C503" s="8" t="s">
        <v>437</v>
      </c>
      <c r="D503" s="8" t="s">
        <v>366</v>
      </c>
      <c r="E503" s="8">
        <v>2075.0</v>
      </c>
      <c r="F503" s="8" t="s">
        <v>41</v>
      </c>
      <c r="G503" s="8" t="s">
        <v>42</v>
      </c>
      <c r="H503" s="8" t="s">
        <v>367</v>
      </c>
      <c r="I503" s="8">
        <v>0.95</v>
      </c>
      <c r="J503" s="8">
        <v>14.0</v>
      </c>
      <c r="K503" s="8">
        <v>100.0</v>
      </c>
      <c r="L503" s="8">
        <v>0.14</v>
      </c>
      <c r="M503" s="8">
        <v>100.0</v>
      </c>
      <c r="N503" s="8">
        <v>-1.815289967</v>
      </c>
      <c r="O503" s="8">
        <v>2.0</v>
      </c>
      <c r="P503" s="8" t="s">
        <v>368</v>
      </c>
    </row>
    <row r="504">
      <c r="A504" s="8" t="s">
        <v>436</v>
      </c>
      <c r="B504" s="8">
        <v>2006.0</v>
      </c>
      <c r="C504" s="8" t="s">
        <v>437</v>
      </c>
      <c r="D504" s="8" t="s">
        <v>366</v>
      </c>
      <c r="E504" s="8">
        <v>2075.0</v>
      </c>
      <c r="F504" s="8" t="s">
        <v>41</v>
      </c>
      <c r="G504" s="8" t="s">
        <v>42</v>
      </c>
      <c r="H504" s="8" t="s">
        <v>367</v>
      </c>
      <c r="I504" s="8">
        <v>0.8</v>
      </c>
      <c r="J504" s="8">
        <v>28.0</v>
      </c>
      <c r="K504" s="8">
        <v>100.0</v>
      </c>
      <c r="L504" s="8">
        <v>0.28</v>
      </c>
      <c r="M504" s="8">
        <v>100.0</v>
      </c>
      <c r="N504" s="8">
        <v>-0.944461609</v>
      </c>
      <c r="O504" s="8">
        <v>2.0</v>
      </c>
      <c r="P504" s="8" t="s">
        <v>368</v>
      </c>
    </row>
    <row r="505">
      <c r="A505" s="8" t="s">
        <v>438</v>
      </c>
      <c r="B505" s="8">
        <v>2006.0</v>
      </c>
      <c r="C505" s="8" t="s">
        <v>365</v>
      </c>
      <c r="D505" s="8" t="s">
        <v>381</v>
      </c>
      <c r="E505" s="8">
        <v>2100.0</v>
      </c>
      <c r="F505" s="8" t="s">
        <v>34</v>
      </c>
      <c r="G505" s="8" t="s">
        <v>382</v>
      </c>
      <c r="H505" s="8" t="s">
        <v>374</v>
      </c>
      <c r="I505" s="8">
        <v>1.0</v>
      </c>
      <c r="J505" s="8">
        <v>0.0</v>
      </c>
      <c r="K505" s="8">
        <v>8.0</v>
      </c>
      <c r="L505" s="8">
        <v>0.0</v>
      </c>
      <c r="M505" s="8">
        <v>8.0</v>
      </c>
      <c r="N505" s="8">
        <v>-2.833213344</v>
      </c>
      <c r="O505" s="8">
        <v>3.9</v>
      </c>
      <c r="P505" s="8" t="s">
        <v>384</v>
      </c>
    </row>
    <row r="506">
      <c r="A506" s="8" t="s">
        <v>438</v>
      </c>
      <c r="B506" s="8">
        <v>2006.0</v>
      </c>
      <c r="C506" s="8" t="s">
        <v>365</v>
      </c>
      <c r="D506" s="8" t="s">
        <v>381</v>
      </c>
      <c r="E506" s="8">
        <v>2100.0</v>
      </c>
      <c r="F506" s="8" t="s">
        <v>34</v>
      </c>
      <c r="G506" s="8" t="s">
        <v>382</v>
      </c>
      <c r="H506" s="8" t="s">
        <v>374</v>
      </c>
      <c r="I506" s="8">
        <v>0.95</v>
      </c>
      <c r="J506" s="8">
        <v>0.0</v>
      </c>
      <c r="K506" s="8">
        <v>8.0</v>
      </c>
      <c r="L506" s="8">
        <v>0.0</v>
      </c>
      <c r="M506" s="8">
        <v>8.0</v>
      </c>
      <c r="N506" s="8">
        <v>-2.833213344</v>
      </c>
      <c r="O506" s="8">
        <v>3.9</v>
      </c>
      <c r="P506" s="8" t="s">
        <v>384</v>
      </c>
    </row>
    <row r="507">
      <c r="A507" s="8" t="s">
        <v>438</v>
      </c>
      <c r="B507" s="8">
        <v>2006.0</v>
      </c>
      <c r="C507" s="8" t="s">
        <v>365</v>
      </c>
      <c r="D507" s="8" t="s">
        <v>381</v>
      </c>
      <c r="E507" s="8">
        <v>2100.0</v>
      </c>
      <c r="F507" s="8" t="s">
        <v>34</v>
      </c>
      <c r="G507" s="8" t="s">
        <v>382</v>
      </c>
      <c r="H507" s="8" t="s">
        <v>374</v>
      </c>
      <c r="I507" s="8">
        <v>0.8</v>
      </c>
      <c r="J507" s="8">
        <v>0.0</v>
      </c>
      <c r="K507" s="8">
        <v>8.0</v>
      </c>
      <c r="L507" s="8">
        <v>0.0</v>
      </c>
      <c r="M507" s="8">
        <v>8.0</v>
      </c>
      <c r="N507" s="8">
        <v>-2.833213344</v>
      </c>
      <c r="O507" s="8">
        <v>3.9</v>
      </c>
      <c r="P507" s="8" t="s">
        <v>384</v>
      </c>
    </row>
    <row r="508">
      <c r="A508" s="8" t="s">
        <v>439</v>
      </c>
      <c r="B508" s="8">
        <v>2006.0</v>
      </c>
      <c r="C508" s="8" t="s">
        <v>365</v>
      </c>
      <c r="D508" s="8" t="s">
        <v>375</v>
      </c>
      <c r="E508" s="8">
        <v>2100.0</v>
      </c>
      <c r="F508" s="8" t="s">
        <v>34</v>
      </c>
      <c r="G508" s="8" t="s">
        <v>42</v>
      </c>
      <c r="H508" s="8" t="s">
        <v>367</v>
      </c>
      <c r="I508" s="8">
        <v>1.0</v>
      </c>
      <c r="J508" s="8">
        <v>1.0</v>
      </c>
      <c r="K508" s="8">
        <v>116.0</v>
      </c>
      <c r="L508" s="8">
        <v>0.00862069</v>
      </c>
      <c r="M508" s="8">
        <v>116.0</v>
      </c>
      <c r="N508" s="8">
        <v>-4.744932128</v>
      </c>
      <c r="O508" s="8">
        <v>2.7</v>
      </c>
      <c r="P508" s="8" t="s">
        <v>368</v>
      </c>
    </row>
    <row r="509">
      <c r="A509" s="8" t="s">
        <v>439</v>
      </c>
      <c r="B509" s="8">
        <v>2006.0</v>
      </c>
      <c r="C509" s="8" t="s">
        <v>365</v>
      </c>
      <c r="D509" s="8" t="s">
        <v>375</v>
      </c>
      <c r="E509" s="8">
        <v>2100.0</v>
      </c>
      <c r="F509" s="8" t="s">
        <v>34</v>
      </c>
      <c r="G509" s="8" t="s">
        <v>42</v>
      </c>
      <c r="H509" s="8" t="s">
        <v>367</v>
      </c>
      <c r="I509" s="8">
        <v>0.95</v>
      </c>
      <c r="J509" s="8">
        <v>1.0</v>
      </c>
      <c r="K509" s="8">
        <v>116.0</v>
      </c>
      <c r="L509" s="8">
        <v>0.00862069</v>
      </c>
      <c r="M509" s="8">
        <v>116.0</v>
      </c>
      <c r="N509" s="8">
        <v>-4.744932128</v>
      </c>
      <c r="O509" s="8">
        <v>2.7</v>
      </c>
      <c r="P509" s="8" t="s">
        <v>368</v>
      </c>
    </row>
    <row r="510">
      <c r="A510" s="8" t="s">
        <v>439</v>
      </c>
      <c r="B510" s="8">
        <v>2006.0</v>
      </c>
      <c r="C510" s="8" t="s">
        <v>365</v>
      </c>
      <c r="D510" s="8" t="s">
        <v>375</v>
      </c>
      <c r="E510" s="8">
        <v>2100.0</v>
      </c>
      <c r="F510" s="8" t="s">
        <v>34</v>
      </c>
      <c r="G510" s="8" t="s">
        <v>42</v>
      </c>
      <c r="H510" s="8" t="s">
        <v>367</v>
      </c>
      <c r="I510" s="8">
        <v>0.8</v>
      </c>
      <c r="J510" s="8">
        <v>4.0</v>
      </c>
      <c r="K510" s="8">
        <v>116.0</v>
      </c>
      <c r="L510" s="8">
        <v>0.034482759</v>
      </c>
      <c r="M510" s="8">
        <v>116.0</v>
      </c>
      <c r="N510" s="8">
        <v>-3.33220451</v>
      </c>
      <c r="O510" s="8">
        <v>2.7</v>
      </c>
      <c r="P510" s="8" t="s">
        <v>368</v>
      </c>
    </row>
    <row r="511">
      <c r="A511" s="8" t="s">
        <v>439</v>
      </c>
      <c r="B511" s="8">
        <v>2006.0</v>
      </c>
      <c r="C511" s="8" t="s">
        <v>365</v>
      </c>
      <c r="D511" s="8" t="s">
        <v>371</v>
      </c>
      <c r="E511" s="8">
        <v>2100.0</v>
      </c>
      <c r="F511" s="8" t="s">
        <v>34</v>
      </c>
      <c r="G511" s="8" t="s">
        <v>42</v>
      </c>
      <c r="H511" s="8" t="s">
        <v>367</v>
      </c>
      <c r="I511" s="8">
        <v>1.0</v>
      </c>
      <c r="J511" s="8">
        <v>0.0</v>
      </c>
      <c r="K511" s="8">
        <v>142.0</v>
      </c>
      <c r="L511" s="8">
        <v>0.0</v>
      </c>
      <c r="M511" s="8">
        <v>142.0</v>
      </c>
      <c r="N511" s="8">
        <v>-5.65248918</v>
      </c>
      <c r="O511" s="8">
        <v>2.7</v>
      </c>
      <c r="P511" s="8" t="s">
        <v>368</v>
      </c>
    </row>
    <row r="512">
      <c r="A512" s="8" t="s">
        <v>439</v>
      </c>
      <c r="B512" s="8">
        <v>2006.0</v>
      </c>
      <c r="C512" s="8" t="s">
        <v>365</v>
      </c>
      <c r="D512" s="8" t="s">
        <v>371</v>
      </c>
      <c r="E512" s="8">
        <v>2100.0</v>
      </c>
      <c r="F512" s="8" t="s">
        <v>34</v>
      </c>
      <c r="G512" s="8" t="s">
        <v>42</v>
      </c>
      <c r="H512" s="8" t="s">
        <v>367</v>
      </c>
      <c r="I512" s="8">
        <v>0.95</v>
      </c>
      <c r="J512" s="8">
        <v>0.0</v>
      </c>
      <c r="K512" s="8">
        <v>142.0</v>
      </c>
      <c r="L512" s="8">
        <v>0.0</v>
      </c>
      <c r="M512" s="8">
        <v>142.0</v>
      </c>
      <c r="N512" s="8">
        <v>-5.65248918</v>
      </c>
      <c r="O512" s="8">
        <v>2.7</v>
      </c>
      <c r="P512" s="8" t="s">
        <v>368</v>
      </c>
    </row>
    <row r="513">
      <c r="A513" s="8" t="s">
        <v>439</v>
      </c>
      <c r="B513" s="8">
        <v>2006.0</v>
      </c>
      <c r="C513" s="8" t="s">
        <v>365</v>
      </c>
      <c r="D513" s="8" t="s">
        <v>371</v>
      </c>
      <c r="E513" s="8">
        <v>2100.0</v>
      </c>
      <c r="F513" s="8" t="s">
        <v>34</v>
      </c>
      <c r="G513" s="8" t="s">
        <v>42</v>
      </c>
      <c r="H513" s="8" t="s">
        <v>367</v>
      </c>
      <c r="I513" s="8">
        <v>0.8</v>
      </c>
      <c r="J513" s="8">
        <v>5.0</v>
      </c>
      <c r="K513" s="8">
        <v>142.0</v>
      </c>
      <c r="L513" s="8">
        <v>0.035211268</v>
      </c>
      <c r="M513" s="8">
        <v>142.0</v>
      </c>
      <c r="N513" s="8">
        <v>-3.310543013</v>
      </c>
      <c r="O513" s="8">
        <v>2.7</v>
      </c>
      <c r="P513" s="8" t="s">
        <v>368</v>
      </c>
    </row>
    <row r="514">
      <c r="A514" s="8" t="s">
        <v>440</v>
      </c>
      <c r="B514" s="8">
        <v>2007.0</v>
      </c>
      <c r="C514" s="8" t="s">
        <v>32</v>
      </c>
      <c r="D514" s="8" t="s">
        <v>366</v>
      </c>
      <c r="E514" s="8">
        <v>2085.0</v>
      </c>
      <c r="F514" s="8" t="s">
        <v>41</v>
      </c>
      <c r="G514" s="8" t="s">
        <v>42</v>
      </c>
      <c r="H514" s="8" t="s">
        <v>374</v>
      </c>
      <c r="I514" s="8">
        <v>1.0</v>
      </c>
      <c r="J514" s="8">
        <v>1.0</v>
      </c>
      <c r="K514" s="8">
        <v>40.0</v>
      </c>
      <c r="L514" s="8">
        <v>0.025</v>
      </c>
      <c r="M514" s="8">
        <v>40.0</v>
      </c>
      <c r="N514" s="8">
        <v>-3.663561646</v>
      </c>
      <c r="O514" s="8">
        <v>2.36</v>
      </c>
      <c r="P514" s="8" t="s">
        <v>368</v>
      </c>
    </row>
    <row r="515">
      <c r="A515" s="8" t="s">
        <v>440</v>
      </c>
      <c r="B515" s="8">
        <v>2007.0</v>
      </c>
      <c r="C515" s="8" t="s">
        <v>32</v>
      </c>
      <c r="D515" s="8" t="s">
        <v>366</v>
      </c>
      <c r="E515" s="8">
        <v>2085.0</v>
      </c>
      <c r="F515" s="8" t="s">
        <v>41</v>
      </c>
      <c r="G515" s="8" t="s">
        <v>42</v>
      </c>
      <c r="H515" s="8" t="s">
        <v>374</v>
      </c>
      <c r="I515" s="8">
        <v>1.0</v>
      </c>
      <c r="J515" s="8">
        <v>1.0</v>
      </c>
      <c r="K515" s="8">
        <v>40.0</v>
      </c>
      <c r="L515" s="8">
        <v>0.025</v>
      </c>
      <c r="M515" s="8">
        <v>40.0</v>
      </c>
      <c r="N515" s="8">
        <v>-3.663561646</v>
      </c>
      <c r="O515" s="8">
        <v>3.57</v>
      </c>
      <c r="P515" s="8" t="s">
        <v>368</v>
      </c>
    </row>
    <row r="516">
      <c r="A516" s="8" t="s">
        <v>440</v>
      </c>
      <c r="B516" s="8">
        <v>2007.0</v>
      </c>
      <c r="C516" s="8" t="s">
        <v>32</v>
      </c>
      <c r="D516" s="8" t="s">
        <v>366</v>
      </c>
      <c r="E516" s="8">
        <v>2085.0</v>
      </c>
      <c r="F516" s="8" t="s">
        <v>41</v>
      </c>
      <c r="G516" s="8" t="s">
        <v>42</v>
      </c>
      <c r="H516" s="8" t="s">
        <v>367</v>
      </c>
      <c r="I516" s="8">
        <v>1.0</v>
      </c>
      <c r="J516" s="8">
        <v>2.0</v>
      </c>
      <c r="K516" s="8">
        <v>40.0</v>
      </c>
      <c r="L516" s="8">
        <v>0.05</v>
      </c>
      <c r="M516" s="8">
        <v>40.0</v>
      </c>
      <c r="N516" s="8">
        <v>-2.944438979</v>
      </c>
      <c r="O516" s="8">
        <v>2.36</v>
      </c>
      <c r="P516" s="8" t="s">
        <v>368</v>
      </c>
    </row>
    <row r="517">
      <c r="A517" s="8" t="s">
        <v>440</v>
      </c>
      <c r="B517" s="8">
        <v>2007.0</v>
      </c>
      <c r="C517" s="8" t="s">
        <v>32</v>
      </c>
      <c r="D517" s="8" t="s">
        <v>366</v>
      </c>
      <c r="E517" s="8">
        <v>2085.0</v>
      </c>
      <c r="F517" s="8" t="s">
        <v>41</v>
      </c>
      <c r="G517" s="8" t="s">
        <v>42</v>
      </c>
      <c r="H517" s="8" t="s">
        <v>367</v>
      </c>
      <c r="I517" s="8">
        <v>1.0</v>
      </c>
      <c r="J517" s="8">
        <v>5.0</v>
      </c>
      <c r="K517" s="8">
        <v>40.0</v>
      </c>
      <c r="L517" s="8">
        <v>0.125</v>
      </c>
      <c r="M517" s="8">
        <v>40.0</v>
      </c>
      <c r="N517" s="8">
        <v>-1.945910149</v>
      </c>
      <c r="O517" s="8">
        <v>3.57</v>
      </c>
      <c r="P517" s="8" t="s">
        <v>368</v>
      </c>
    </row>
    <row r="518">
      <c r="A518" s="8" t="s">
        <v>395</v>
      </c>
      <c r="B518" s="8">
        <v>2007.0</v>
      </c>
      <c r="C518" s="8" t="s">
        <v>373</v>
      </c>
      <c r="D518" s="8" t="s">
        <v>370</v>
      </c>
      <c r="E518" s="8">
        <v>2030.0</v>
      </c>
      <c r="F518" s="8" t="s">
        <v>41</v>
      </c>
      <c r="G518" s="8" t="s">
        <v>42</v>
      </c>
      <c r="H518" s="8" t="s">
        <v>374</v>
      </c>
      <c r="I518" s="8">
        <v>1.0</v>
      </c>
      <c r="J518" s="8">
        <v>0.0</v>
      </c>
      <c r="K518" s="8">
        <v>9.0</v>
      </c>
      <c r="L518" s="8">
        <v>0.0</v>
      </c>
      <c r="M518" s="8">
        <v>9.0</v>
      </c>
      <c r="N518" s="8">
        <v>-2.944438979</v>
      </c>
      <c r="O518" s="8">
        <v>0.8</v>
      </c>
      <c r="P518" s="8" t="s">
        <v>368</v>
      </c>
    </row>
    <row r="519">
      <c r="A519" s="8" t="s">
        <v>395</v>
      </c>
      <c r="B519" s="8">
        <v>2007.0</v>
      </c>
      <c r="C519" s="8" t="s">
        <v>373</v>
      </c>
      <c r="D519" s="8" t="s">
        <v>370</v>
      </c>
      <c r="E519" s="8">
        <v>2030.0</v>
      </c>
      <c r="F519" s="8" t="s">
        <v>41</v>
      </c>
      <c r="G519" s="8" t="s">
        <v>42</v>
      </c>
      <c r="H519" s="8" t="s">
        <v>374</v>
      </c>
      <c r="I519" s="8">
        <v>0.95</v>
      </c>
      <c r="J519" s="8">
        <v>1.0</v>
      </c>
      <c r="K519" s="8">
        <v>9.0</v>
      </c>
      <c r="L519" s="8">
        <v>0.111111111</v>
      </c>
      <c r="M519" s="8">
        <v>9.0</v>
      </c>
      <c r="N519" s="8">
        <v>-2.079441542</v>
      </c>
      <c r="O519" s="8">
        <v>0.8</v>
      </c>
      <c r="P519" s="8" t="s">
        <v>368</v>
      </c>
    </row>
    <row r="520">
      <c r="A520" s="8" t="s">
        <v>395</v>
      </c>
      <c r="B520" s="8">
        <v>2007.0</v>
      </c>
      <c r="C520" s="8" t="s">
        <v>373</v>
      </c>
      <c r="D520" s="8" t="s">
        <v>370</v>
      </c>
      <c r="E520" s="8">
        <v>2030.0</v>
      </c>
      <c r="F520" s="8" t="s">
        <v>41</v>
      </c>
      <c r="G520" s="8" t="s">
        <v>42</v>
      </c>
      <c r="H520" s="8" t="s">
        <v>374</v>
      </c>
      <c r="I520" s="8">
        <v>0.8</v>
      </c>
      <c r="J520" s="8">
        <v>3.0</v>
      </c>
      <c r="K520" s="8">
        <v>9.0</v>
      </c>
      <c r="L520" s="8">
        <v>0.333333333</v>
      </c>
      <c r="M520" s="8">
        <v>9.0</v>
      </c>
      <c r="N520" s="8">
        <v>-0.693147181</v>
      </c>
      <c r="O520" s="8">
        <v>0.8</v>
      </c>
      <c r="P520" s="8" t="s">
        <v>368</v>
      </c>
    </row>
    <row r="521">
      <c r="A521" s="8" t="s">
        <v>441</v>
      </c>
      <c r="B521" s="8">
        <v>2007.0</v>
      </c>
      <c r="C521" s="8" t="s">
        <v>77</v>
      </c>
      <c r="D521" s="8" t="s">
        <v>375</v>
      </c>
      <c r="E521" s="8">
        <v>2050.0</v>
      </c>
      <c r="F521" s="8" t="s">
        <v>41</v>
      </c>
      <c r="G521" s="8" t="s">
        <v>42</v>
      </c>
      <c r="H521" s="8" t="s">
        <v>367</v>
      </c>
      <c r="I521" s="8">
        <v>1.0</v>
      </c>
      <c r="J521" s="8">
        <v>48.0</v>
      </c>
      <c r="K521" s="8">
        <v>8750.0</v>
      </c>
      <c r="L521" s="8">
        <v>0.005485714</v>
      </c>
      <c r="M521" s="8">
        <v>8750.0</v>
      </c>
      <c r="N521" s="8">
        <v>-5.200107152</v>
      </c>
      <c r="O521" s="8">
        <v>1.9</v>
      </c>
      <c r="P521" s="8" t="s">
        <v>368</v>
      </c>
    </row>
    <row r="522">
      <c r="A522" s="8" t="s">
        <v>441</v>
      </c>
      <c r="B522" s="8">
        <v>2007.0</v>
      </c>
      <c r="C522" s="8" t="s">
        <v>77</v>
      </c>
      <c r="D522" s="8" t="s">
        <v>375</v>
      </c>
      <c r="E522" s="8">
        <v>2100.0</v>
      </c>
      <c r="F522" s="8" t="s">
        <v>41</v>
      </c>
      <c r="G522" s="8" t="s">
        <v>42</v>
      </c>
      <c r="H522" s="8" t="s">
        <v>367</v>
      </c>
      <c r="I522" s="8">
        <v>1.0</v>
      </c>
      <c r="J522" s="8">
        <v>51.0</v>
      </c>
      <c r="K522" s="8">
        <v>8750.0</v>
      </c>
      <c r="L522" s="8">
        <v>0.005828571</v>
      </c>
      <c r="M522" s="8">
        <v>8750.0</v>
      </c>
      <c r="N522" s="8">
        <v>-5.139137723</v>
      </c>
      <c r="O522" s="8">
        <v>2.2</v>
      </c>
      <c r="P522" s="8" t="s">
        <v>368</v>
      </c>
    </row>
    <row r="523">
      <c r="A523" s="8" t="s">
        <v>441</v>
      </c>
      <c r="B523" s="8">
        <v>2007.0</v>
      </c>
      <c r="C523" s="8" t="s">
        <v>77</v>
      </c>
      <c r="D523" s="8" t="s">
        <v>375</v>
      </c>
      <c r="E523" s="8">
        <v>2050.0</v>
      </c>
      <c r="F523" s="8" t="s">
        <v>41</v>
      </c>
      <c r="G523" s="8" t="s">
        <v>42</v>
      </c>
      <c r="H523" s="8" t="s">
        <v>367</v>
      </c>
      <c r="I523" s="8">
        <v>1.0</v>
      </c>
      <c r="J523" s="8">
        <v>48.0</v>
      </c>
      <c r="K523" s="8">
        <v>8750.0</v>
      </c>
      <c r="L523" s="8">
        <v>0.005485714</v>
      </c>
      <c r="M523" s="8">
        <v>8750.0</v>
      </c>
      <c r="N523" s="8">
        <v>-5.200107152</v>
      </c>
      <c r="O523" s="8">
        <v>2.2</v>
      </c>
      <c r="P523" s="8" t="s">
        <v>368</v>
      </c>
    </row>
    <row r="524">
      <c r="A524" s="8" t="s">
        <v>441</v>
      </c>
      <c r="B524" s="8">
        <v>2007.0</v>
      </c>
      <c r="C524" s="8" t="s">
        <v>77</v>
      </c>
      <c r="D524" s="8" t="s">
        <v>375</v>
      </c>
      <c r="E524" s="8">
        <v>2100.0</v>
      </c>
      <c r="F524" s="8" t="s">
        <v>41</v>
      </c>
      <c r="G524" s="8" t="s">
        <v>42</v>
      </c>
      <c r="H524" s="8" t="s">
        <v>367</v>
      </c>
      <c r="I524" s="8">
        <v>1.0</v>
      </c>
      <c r="J524" s="8">
        <v>61.0</v>
      </c>
      <c r="K524" s="8">
        <v>8750.0</v>
      </c>
      <c r="L524" s="8">
        <v>0.006971429</v>
      </c>
      <c r="M524" s="8">
        <v>8750.0</v>
      </c>
      <c r="N524" s="8">
        <v>-4.958939273</v>
      </c>
      <c r="O524" s="8">
        <v>3.3</v>
      </c>
      <c r="P524" s="8" t="s">
        <v>368</v>
      </c>
    </row>
    <row r="525">
      <c r="A525" s="8" t="s">
        <v>441</v>
      </c>
      <c r="B525" s="8">
        <v>2007.0</v>
      </c>
      <c r="C525" s="8" t="s">
        <v>77</v>
      </c>
      <c r="D525" s="8" t="s">
        <v>375</v>
      </c>
      <c r="E525" s="8">
        <v>2050.0</v>
      </c>
      <c r="F525" s="8" t="s">
        <v>41</v>
      </c>
      <c r="G525" s="8" t="s">
        <v>42</v>
      </c>
      <c r="H525" s="8" t="s">
        <v>367</v>
      </c>
      <c r="I525" s="8">
        <v>1.0</v>
      </c>
      <c r="J525" s="8">
        <v>52.0</v>
      </c>
      <c r="K525" s="8">
        <v>8750.0</v>
      </c>
      <c r="L525" s="8">
        <v>0.005942857</v>
      </c>
      <c r="M525" s="8">
        <v>8750.0</v>
      </c>
      <c r="N525" s="8">
        <v>-5.119604675</v>
      </c>
      <c r="O525" s="8">
        <v>2.4</v>
      </c>
      <c r="P525" s="8" t="s">
        <v>368</v>
      </c>
    </row>
    <row r="526">
      <c r="A526" s="8" t="s">
        <v>441</v>
      </c>
      <c r="B526" s="8">
        <v>2007.0</v>
      </c>
      <c r="C526" s="8" t="s">
        <v>77</v>
      </c>
      <c r="D526" s="8" t="s">
        <v>375</v>
      </c>
      <c r="E526" s="8">
        <v>2100.0</v>
      </c>
      <c r="F526" s="8" t="s">
        <v>41</v>
      </c>
      <c r="G526" s="8" t="s">
        <v>42</v>
      </c>
      <c r="H526" s="8" t="s">
        <v>367</v>
      </c>
      <c r="I526" s="8">
        <v>1.0</v>
      </c>
      <c r="J526" s="8">
        <v>73.0</v>
      </c>
      <c r="K526" s="8">
        <v>8750.0</v>
      </c>
      <c r="L526" s="8">
        <v>0.008342857</v>
      </c>
      <c r="M526" s="8">
        <v>8750.0</v>
      </c>
      <c r="N526" s="8">
        <v>-4.777971685</v>
      </c>
      <c r="O526" s="8">
        <v>3.7</v>
      </c>
      <c r="P526" s="8" t="s">
        <v>368</v>
      </c>
    </row>
    <row r="527">
      <c r="A527" s="8" t="s">
        <v>441</v>
      </c>
      <c r="B527" s="8">
        <v>2007.0</v>
      </c>
      <c r="C527" s="8" t="s">
        <v>77</v>
      </c>
      <c r="D527" s="8" t="s">
        <v>375</v>
      </c>
      <c r="E527" s="8">
        <v>2050.0</v>
      </c>
      <c r="F527" s="8" t="s">
        <v>41</v>
      </c>
      <c r="G527" s="8" t="s">
        <v>42</v>
      </c>
      <c r="H527" s="8" t="s">
        <v>367</v>
      </c>
      <c r="I527" s="8">
        <v>1.0</v>
      </c>
      <c r="J527" s="8">
        <v>51.0</v>
      </c>
      <c r="K527" s="8">
        <v>8750.0</v>
      </c>
      <c r="L527" s="8">
        <v>0.005828571</v>
      </c>
      <c r="M527" s="8">
        <v>8750.0</v>
      </c>
      <c r="N527" s="8">
        <v>-5.139137723</v>
      </c>
      <c r="O527" s="8">
        <v>2.1</v>
      </c>
      <c r="P527" s="8" t="s">
        <v>368</v>
      </c>
    </row>
    <row r="528">
      <c r="A528" s="8" t="s">
        <v>441</v>
      </c>
      <c r="B528" s="8">
        <v>2007.0</v>
      </c>
      <c r="C528" s="8" t="s">
        <v>77</v>
      </c>
      <c r="D528" s="8" t="s">
        <v>375</v>
      </c>
      <c r="E528" s="8">
        <v>2100.0</v>
      </c>
      <c r="F528" s="8" t="s">
        <v>41</v>
      </c>
      <c r="G528" s="8" t="s">
        <v>42</v>
      </c>
      <c r="H528" s="8" t="s">
        <v>367</v>
      </c>
      <c r="I528" s="8">
        <v>1.0</v>
      </c>
      <c r="J528" s="8">
        <v>80.0</v>
      </c>
      <c r="K528" s="8">
        <v>8750.0</v>
      </c>
      <c r="L528" s="8">
        <v>0.009142857</v>
      </c>
      <c r="M528" s="8">
        <v>8750.0</v>
      </c>
      <c r="N528" s="8">
        <v>-4.685597435</v>
      </c>
      <c r="O528" s="8">
        <v>3.5</v>
      </c>
      <c r="P528" s="8" t="s">
        <v>368</v>
      </c>
    </row>
    <row r="529">
      <c r="A529" s="8" t="s">
        <v>442</v>
      </c>
      <c r="B529" s="8">
        <v>2007.0</v>
      </c>
      <c r="C529" s="8" t="s">
        <v>365</v>
      </c>
      <c r="D529" s="8" t="s">
        <v>366</v>
      </c>
      <c r="E529" s="8">
        <v>2055.0</v>
      </c>
      <c r="F529" s="8" t="s">
        <v>34</v>
      </c>
      <c r="G529" s="8" t="s">
        <v>382</v>
      </c>
      <c r="H529" s="8" t="s">
        <v>416</v>
      </c>
      <c r="I529" s="8">
        <v>1.0</v>
      </c>
      <c r="J529" s="8">
        <v>0.0</v>
      </c>
      <c r="K529" s="8">
        <v>2.0</v>
      </c>
      <c r="L529" s="8">
        <v>0.0</v>
      </c>
      <c r="M529" s="8">
        <v>2.0</v>
      </c>
      <c r="N529" s="8">
        <v>-1.609437912</v>
      </c>
      <c r="O529" s="8">
        <v>1.7</v>
      </c>
      <c r="P529" s="8" t="s">
        <v>368</v>
      </c>
    </row>
    <row r="530">
      <c r="A530" s="8" t="s">
        <v>442</v>
      </c>
      <c r="B530" s="8">
        <v>2007.0</v>
      </c>
      <c r="C530" s="8" t="s">
        <v>365</v>
      </c>
      <c r="D530" s="8" t="s">
        <v>366</v>
      </c>
      <c r="E530" s="8">
        <v>2055.0</v>
      </c>
      <c r="F530" s="8" t="s">
        <v>34</v>
      </c>
      <c r="G530" s="8" t="s">
        <v>382</v>
      </c>
      <c r="H530" s="8" t="s">
        <v>416</v>
      </c>
      <c r="I530" s="8">
        <v>0.95</v>
      </c>
      <c r="J530" s="8">
        <v>0.0</v>
      </c>
      <c r="K530" s="8">
        <v>2.0</v>
      </c>
      <c r="L530" s="8">
        <v>0.0</v>
      </c>
      <c r="M530" s="8">
        <v>2.0</v>
      </c>
      <c r="N530" s="8">
        <v>-1.609437912</v>
      </c>
      <c r="O530" s="8">
        <v>1.7</v>
      </c>
      <c r="P530" s="8" t="s">
        <v>368</v>
      </c>
    </row>
    <row r="531">
      <c r="A531" s="8" t="s">
        <v>442</v>
      </c>
      <c r="B531" s="8">
        <v>2007.0</v>
      </c>
      <c r="C531" s="8" t="s">
        <v>365</v>
      </c>
      <c r="D531" s="8" t="s">
        <v>366</v>
      </c>
      <c r="E531" s="8">
        <v>2055.0</v>
      </c>
      <c r="F531" s="8" t="s">
        <v>34</v>
      </c>
      <c r="G531" s="8" t="s">
        <v>382</v>
      </c>
      <c r="H531" s="8" t="s">
        <v>416</v>
      </c>
      <c r="I531" s="8">
        <v>0.8</v>
      </c>
      <c r="J531" s="8">
        <v>0.0</v>
      </c>
      <c r="K531" s="8">
        <v>2.0</v>
      </c>
      <c r="L531" s="8">
        <v>0.0</v>
      </c>
      <c r="M531" s="8">
        <v>2.0</v>
      </c>
      <c r="N531" s="8">
        <v>-1.609437912</v>
      </c>
      <c r="O531" s="8">
        <v>1.7</v>
      </c>
      <c r="P531" s="8" t="s">
        <v>368</v>
      </c>
    </row>
    <row r="532">
      <c r="A532" s="8" t="s">
        <v>390</v>
      </c>
      <c r="B532" s="8">
        <v>2007.0</v>
      </c>
      <c r="C532" s="8" t="s">
        <v>39</v>
      </c>
      <c r="D532" s="8" t="s">
        <v>366</v>
      </c>
      <c r="E532" s="8">
        <v>2050.0</v>
      </c>
      <c r="F532" s="8" t="s">
        <v>41</v>
      </c>
      <c r="G532" s="8" t="s">
        <v>42</v>
      </c>
      <c r="H532" s="8" t="s">
        <v>367</v>
      </c>
      <c r="I532" s="8">
        <v>1.0</v>
      </c>
      <c r="J532" s="8">
        <v>1.0</v>
      </c>
      <c r="K532" s="8">
        <v>17.0</v>
      </c>
      <c r="L532" s="8">
        <v>0.058823529</v>
      </c>
      <c r="M532" s="8">
        <v>17.0</v>
      </c>
      <c r="N532" s="8">
        <v>-2.772588722</v>
      </c>
      <c r="O532" s="8">
        <v>2.05</v>
      </c>
      <c r="P532" s="8" t="s">
        <v>368</v>
      </c>
    </row>
    <row r="533">
      <c r="A533" s="8" t="s">
        <v>390</v>
      </c>
      <c r="B533" s="8">
        <v>2007.0</v>
      </c>
      <c r="C533" s="8" t="s">
        <v>39</v>
      </c>
      <c r="D533" s="8" t="s">
        <v>366</v>
      </c>
      <c r="E533" s="8">
        <v>2050.0</v>
      </c>
      <c r="F533" s="8" t="s">
        <v>41</v>
      </c>
      <c r="G533" s="8" t="s">
        <v>42</v>
      </c>
      <c r="H533" s="8" t="s">
        <v>367</v>
      </c>
      <c r="I533" s="8">
        <v>0.95</v>
      </c>
      <c r="J533" s="8">
        <v>1.0</v>
      </c>
      <c r="K533" s="8">
        <v>17.0</v>
      </c>
      <c r="L533" s="8">
        <v>0.058823529</v>
      </c>
      <c r="M533" s="8">
        <v>17.0</v>
      </c>
      <c r="N533" s="8">
        <v>-2.772588722</v>
      </c>
      <c r="O533" s="8">
        <v>2.05</v>
      </c>
      <c r="P533" s="8" t="s">
        <v>368</v>
      </c>
    </row>
    <row r="534">
      <c r="A534" s="8" t="s">
        <v>390</v>
      </c>
      <c r="B534" s="8">
        <v>2007.0</v>
      </c>
      <c r="C534" s="8" t="s">
        <v>39</v>
      </c>
      <c r="D534" s="8" t="s">
        <v>366</v>
      </c>
      <c r="E534" s="8">
        <v>2050.0</v>
      </c>
      <c r="F534" s="8" t="s">
        <v>41</v>
      </c>
      <c r="G534" s="8" t="s">
        <v>42</v>
      </c>
      <c r="H534" s="8" t="s">
        <v>367</v>
      </c>
      <c r="I534" s="8">
        <v>0.8</v>
      </c>
      <c r="J534" s="8">
        <v>5.0</v>
      </c>
      <c r="K534" s="8">
        <v>17.0</v>
      </c>
      <c r="L534" s="8">
        <v>0.294117647</v>
      </c>
      <c r="M534" s="8">
        <v>17.0</v>
      </c>
      <c r="N534" s="8">
        <v>-0.875468737</v>
      </c>
      <c r="O534" s="8">
        <v>2.05</v>
      </c>
      <c r="P534" s="8" t="s">
        <v>368</v>
      </c>
    </row>
    <row r="535">
      <c r="A535" s="8" t="s">
        <v>443</v>
      </c>
      <c r="B535" s="8">
        <v>2007.0</v>
      </c>
      <c r="C535" s="8" t="s">
        <v>32</v>
      </c>
      <c r="D535" s="8" t="s">
        <v>371</v>
      </c>
      <c r="E535" s="8">
        <v>2100.0</v>
      </c>
      <c r="F535" s="8" t="s">
        <v>34</v>
      </c>
      <c r="G535" s="8" t="s">
        <v>42</v>
      </c>
      <c r="H535" s="8" t="s">
        <v>367</v>
      </c>
      <c r="I535" s="8">
        <v>1.0</v>
      </c>
      <c r="J535" s="8">
        <v>0.0</v>
      </c>
      <c r="K535" s="8">
        <v>84.0</v>
      </c>
      <c r="L535" s="8">
        <v>0.0</v>
      </c>
      <c r="M535" s="8">
        <v>84.0</v>
      </c>
      <c r="N535" s="8">
        <v>-5.129898715</v>
      </c>
      <c r="O535" s="8">
        <v>2.8</v>
      </c>
      <c r="P535" s="8" t="s">
        <v>368</v>
      </c>
    </row>
    <row r="536">
      <c r="A536" s="8" t="s">
        <v>443</v>
      </c>
      <c r="B536" s="8">
        <v>2007.0</v>
      </c>
      <c r="C536" s="8" t="s">
        <v>32</v>
      </c>
      <c r="D536" s="8" t="s">
        <v>371</v>
      </c>
      <c r="E536" s="8">
        <v>2100.0</v>
      </c>
      <c r="F536" s="8" t="s">
        <v>34</v>
      </c>
      <c r="G536" s="8" t="s">
        <v>42</v>
      </c>
      <c r="H536" s="8" t="s">
        <v>367</v>
      </c>
      <c r="I536" s="8">
        <v>0.8</v>
      </c>
      <c r="J536" s="8">
        <v>0.0</v>
      </c>
      <c r="K536" s="8">
        <v>84.0</v>
      </c>
      <c r="L536" s="8">
        <v>0.0</v>
      </c>
      <c r="M536" s="8">
        <v>84.0</v>
      </c>
      <c r="N536" s="8">
        <v>-5.129898715</v>
      </c>
      <c r="O536" s="8">
        <v>2.8</v>
      </c>
      <c r="P536" s="8" t="s">
        <v>368</v>
      </c>
    </row>
    <row r="537">
      <c r="A537" s="8" t="s">
        <v>443</v>
      </c>
      <c r="B537" s="8">
        <v>2007.0</v>
      </c>
      <c r="C537" s="8" t="s">
        <v>32</v>
      </c>
      <c r="D537" s="8" t="s">
        <v>371</v>
      </c>
      <c r="E537" s="8">
        <v>2100.0</v>
      </c>
      <c r="F537" s="8" t="s">
        <v>34</v>
      </c>
      <c r="G537" s="8" t="s">
        <v>42</v>
      </c>
      <c r="H537" s="8" t="s">
        <v>374</v>
      </c>
      <c r="I537" s="8">
        <v>1.0</v>
      </c>
      <c r="J537" s="8">
        <v>0.0</v>
      </c>
      <c r="K537" s="8">
        <v>84.0</v>
      </c>
      <c r="L537" s="8">
        <v>0.0</v>
      </c>
      <c r="M537" s="8">
        <v>84.0</v>
      </c>
      <c r="N537" s="8">
        <v>-5.129898715</v>
      </c>
      <c r="O537" s="8">
        <v>2.8</v>
      </c>
      <c r="P537" s="8" t="s">
        <v>368</v>
      </c>
    </row>
    <row r="538">
      <c r="A538" s="8" t="s">
        <v>443</v>
      </c>
      <c r="B538" s="8">
        <v>2007.0</v>
      </c>
      <c r="C538" s="8" t="s">
        <v>32</v>
      </c>
      <c r="D538" s="8" t="s">
        <v>371</v>
      </c>
      <c r="E538" s="8">
        <v>2100.0</v>
      </c>
      <c r="F538" s="8" t="s">
        <v>34</v>
      </c>
      <c r="G538" s="8" t="s">
        <v>42</v>
      </c>
      <c r="H538" s="8" t="s">
        <v>374</v>
      </c>
      <c r="I538" s="8">
        <v>0.8</v>
      </c>
      <c r="J538" s="8">
        <v>0.0</v>
      </c>
      <c r="K538" s="8">
        <v>84.0</v>
      </c>
      <c r="L538" s="8">
        <v>0.0</v>
      </c>
      <c r="M538" s="8">
        <v>84.0</v>
      </c>
      <c r="N538" s="8">
        <v>-5.129898715</v>
      </c>
      <c r="O538" s="8">
        <v>2.8</v>
      </c>
      <c r="P538" s="8" t="s">
        <v>368</v>
      </c>
    </row>
    <row r="539">
      <c r="A539" s="8" t="s">
        <v>443</v>
      </c>
      <c r="B539" s="8">
        <v>2007.0</v>
      </c>
      <c r="C539" s="8" t="s">
        <v>32</v>
      </c>
      <c r="D539" s="8" t="s">
        <v>371</v>
      </c>
      <c r="E539" s="8">
        <v>2100.0</v>
      </c>
      <c r="F539" s="8" t="s">
        <v>34</v>
      </c>
      <c r="G539" s="8" t="s">
        <v>42</v>
      </c>
      <c r="H539" s="8" t="s">
        <v>367</v>
      </c>
      <c r="I539" s="8">
        <v>1.0</v>
      </c>
      <c r="J539" s="8">
        <v>0.0</v>
      </c>
      <c r="K539" s="8">
        <v>84.0</v>
      </c>
      <c r="L539" s="8">
        <v>0.0</v>
      </c>
      <c r="M539" s="8">
        <v>84.0</v>
      </c>
      <c r="N539" s="8">
        <v>-5.129898715</v>
      </c>
      <c r="O539" s="8">
        <v>4.2</v>
      </c>
      <c r="P539" s="8" t="s">
        <v>368</v>
      </c>
    </row>
    <row r="540">
      <c r="A540" s="8" t="s">
        <v>443</v>
      </c>
      <c r="B540" s="8">
        <v>2007.0</v>
      </c>
      <c r="C540" s="8" t="s">
        <v>32</v>
      </c>
      <c r="D540" s="8" t="s">
        <v>371</v>
      </c>
      <c r="E540" s="8">
        <v>2100.0</v>
      </c>
      <c r="F540" s="8" t="s">
        <v>34</v>
      </c>
      <c r="G540" s="8" t="s">
        <v>42</v>
      </c>
      <c r="H540" s="8" t="s">
        <v>367</v>
      </c>
      <c r="I540" s="8">
        <v>0.8</v>
      </c>
      <c r="J540" s="8">
        <v>1.0</v>
      </c>
      <c r="K540" s="8">
        <v>84.0</v>
      </c>
      <c r="L540" s="8">
        <v>0.011904762</v>
      </c>
      <c r="M540" s="8">
        <v>84.0</v>
      </c>
      <c r="N540" s="8">
        <v>-4.418840608</v>
      </c>
      <c r="O540" s="8">
        <v>4.2</v>
      </c>
      <c r="P540" s="8" t="s">
        <v>368</v>
      </c>
    </row>
    <row r="541">
      <c r="A541" s="8" t="s">
        <v>443</v>
      </c>
      <c r="B541" s="8">
        <v>2007.0</v>
      </c>
      <c r="C541" s="8" t="s">
        <v>32</v>
      </c>
      <c r="D541" s="8" t="s">
        <v>371</v>
      </c>
      <c r="E541" s="8">
        <v>2100.0</v>
      </c>
      <c r="F541" s="8" t="s">
        <v>34</v>
      </c>
      <c r="G541" s="8" t="s">
        <v>42</v>
      </c>
      <c r="H541" s="8" t="s">
        <v>374</v>
      </c>
      <c r="I541" s="8">
        <v>1.0</v>
      </c>
      <c r="J541" s="8">
        <v>0.0</v>
      </c>
      <c r="K541" s="8">
        <v>84.0</v>
      </c>
      <c r="L541" s="8">
        <v>0.0</v>
      </c>
      <c r="M541" s="8">
        <v>84.0</v>
      </c>
      <c r="N541" s="8">
        <v>-5.129898715</v>
      </c>
      <c r="O541" s="8">
        <v>4.2</v>
      </c>
      <c r="P541" s="8" t="s">
        <v>368</v>
      </c>
    </row>
    <row r="542">
      <c r="A542" s="8" t="s">
        <v>443</v>
      </c>
      <c r="B542" s="8">
        <v>2007.0</v>
      </c>
      <c r="C542" s="8" t="s">
        <v>32</v>
      </c>
      <c r="D542" s="8" t="s">
        <v>371</v>
      </c>
      <c r="E542" s="8">
        <v>2100.0</v>
      </c>
      <c r="F542" s="8" t="s">
        <v>34</v>
      </c>
      <c r="G542" s="8" t="s">
        <v>42</v>
      </c>
      <c r="H542" s="8" t="s">
        <v>374</v>
      </c>
      <c r="I542" s="8">
        <v>0.8</v>
      </c>
      <c r="J542" s="8">
        <v>0.0</v>
      </c>
      <c r="K542" s="8">
        <v>84.0</v>
      </c>
      <c r="L542" s="8">
        <v>0.0</v>
      </c>
      <c r="M542" s="8">
        <v>84.0</v>
      </c>
      <c r="N542" s="8">
        <v>-5.129898715</v>
      </c>
      <c r="O542" s="8">
        <v>4.2</v>
      </c>
      <c r="P542" s="8" t="s">
        <v>368</v>
      </c>
    </row>
    <row r="543">
      <c r="A543" s="8" t="s">
        <v>444</v>
      </c>
      <c r="B543" s="8">
        <v>2007.0</v>
      </c>
      <c r="C543" s="8" t="s">
        <v>365</v>
      </c>
      <c r="D543" s="8" t="s">
        <v>371</v>
      </c>
      <c r="E543" s="8">
        <v>2050.0</v>
      </c>
      <c r="F543" s="8" t="s">
        <v>41</v>
      </c>
      <c r="G543" s="8" t="s">
        <v>42</v>
      </c>
      <c r="H543" s="8" t="s">
        <v>374</v>
      </c>
      <c r="I543" s="8">
        <v>1.0</v>
      </c>
      <c r="J543" s="8">
        <v>0.0</v>
      </c>
      <c r="K543" s="8">
        <v>34.0</v>
      </c>
      <c r="L543" s="8">
        <v>0.0</v>
      </c>
      <c r="M543" s="8">
        <v>34.0</v>
      </c>
      <c r="N543" s="8">
        <v>-4.234106505</v>
      </c>
      <c r="O543" s="8">
        <v>2.35</v>
      </c>
      <c r="P543" s="8" t="s">
        <v>368</v>
      </c>
    </row>
    <row r="544">
      <c r="A544" s="8" t="s">
        <v>444</v>
      </c>
      <c r="B544" s="8">
        <v>2007.0</v>
      </c>
      <c r="C544" s="8" t="s">
        <v>365</v>
      </c>
      <c r="D544" s="8" t="s">
        <v>371</v>
      </c>
      <c r="E544" s="8">
        <v>2050.0</v>
      </c>
      <c r="F544" s="8" t="s">
        <v>41</v>
      </c>
      <c r="G544" s="8" t="s">
        <v>42</v>
      </c>
      <c r="H544" s="8" t="s">
        <v>374</v>
      </c>
      <c r="I544" s="8">
        <v>0.95</v>
      </c>
      <c r="J544" s="8">
        <v>0.0</v>
      </c>
      <c r="K544" s="8">
        <v>34.0</v>
      </c>
      <c r="L544" s="8">
        <v>0.0</v>
      </c>
      <c r="M544" s="8">
        <v>34.0</v>
      </c>
      <c r="N544" s="8">
        <v>-4.234106505</v>
      </c>
      <c r="O544" s="8">
        <v>2.35</v>
      </c>
      <c r="P544" s="8" t="s">
        <v>368</v>
      </c>
    </row>
    <row r="545">
      <c r="A545" s="8" t="s">
        <v>444</v>
      </c>
      <c r="B545" s="8">
        <v>2007.0</v>
      </c>
      <c r="C545" s="8" t="s">
        <v>365</v>
      </c>
      <c r="D545" s="8" t="s">
        <v>371</v>
      </c>
      <c r="E545" s="8">
        <v>2050.0</v>
      </c>
      <c r="F545" s="8" t="s">
        <v>41</v>
      </c>
      <c r="G545" s="8" t="s">
        <v>42</v>
      </c>
      <c r="H545" s="8" t="s">
        <v>374</v>
      </c>
      <c r="I545" s="8">
        <v>0.8</v>
      </c>
      <c r="J545" s="8">
        <v>0.0</v>
      </c>
      <c r="K545" s="8">
        <v>34.0</v>
      </c>
      <c r="L545" s="8">
        <v>0.0</v>
      </c>
      <c r="M545" s="8">
        <v>34.0</v>
      </c>
      <c r="N545" s="8">
        <v>-4.234106505</v>
      </c>
      <c r="O545" s="8">
        <v>2.35</v>
      </c>
      <c r="P545" s="8" t="s">
        <v>368</v>
      </c>
    </row>
    <row r="546">
      <c r="A546" s="8" t="s">
        <v>444</v>
      </c>
      <c r="B546" s="8">
        <v>2007.0</v>
      </c>
      <c r="C546" s="8" t="s">
        <v>365</v>
      </c>
      <c r="D546" s="8" t="s">
        <v>371</v>
      </c>
      <c r="E546" s="8">
        <v>2050.0</v>
      </c>
      <c r="F546" s="8" t="s">
        <v>41</v>
      </c>
      <c r="G546" s="8" t="s">
        <v>42</v>
      </c>
      <c r="H546" s="8" t="s">
        <v>374</v>
      </c>
      <c r="I546" s="8">
        <v>1.0</v>
      </c>
      <c r="J546" s="8">
        <v>0.0</v>
      </c>
      <c r="K546" s="8">
        <v>34.0</v>
      </c>
      <c r="L546" s="8">
        <v>0.0</v>
      </c>
      <c r="M546" s="8">
        <v>34.0</v>
      </c>
      <c r="N546" s="8">
        <v>-4.234106505</v>
      </c>
      <c r="O546" s="8">
        <v>1.8</v>
      </c>
      <c r="P546" s="8" t="s">
        <v>368</v>
      </c>
    </row>
    <row r="547">
      <c r="A547" s="8" t="s">
        <v>444</v>
      </c>
      <c r="B547" s="8">
        <v>2007.0</v>
      </c>
      <c r="C547" s="8" t="s">
        <v>365</v>
      </c>
      <c r="D547" s="8" t="s">
        <v>371</v>
      </c>
      <c r="E547" s="8">
        <v>2050.0</v>
      </c>
      <c r="F547" s="8" t="s">
        <v>41</v>
      </c>
      <c r="G547" s="8" t="s">
        <v>42</v>
      </c>
      <c r="H547" s="8" t="s">
        <v>374</v>
      </c>
      <c r="I547" s="8">
        <v>0.95</v>
      </c>
      <c r="J547" s="8">
        <v>0.0</v>
      </c>
      <c r="K547" s="8">
        <v>34.0</v>
      </c>
      <c r="L547" s="8">
        <v>0.0</v>
      </c>
      <c r="M547" s="8">
        <v>34.0</v>
      </c>
      <c r="N547" s="8">
        <v>-4.234106505</v>
      </c>
      <c r="O547" s="8">
        <v>1.8</v>
      </c>
      <c r="P547" s="8" t="s">
        <v>368</v>
      </c>
    </row>
    <row r="548">
      <c r="A548" s="8" t="s">
        <v>444</v>
      </c>
      <c r="B548" s="8">
        <v>2007.0</v>
      </c>
      <c r="C548" s="8" t="s">
        <v>365</v>
      </c>
      <c r="D548" s="8" t="s">
        <v>371</v>
      </c>
      <c r="E548" s="8">
        <v>2050.0</v>
      </c>
      <c r="F548" s="8" t="s">
        <v>41</v>
      </c>
      <c r="G548" s="8" t="s">
        <v>42</v>
      </c>
      <c r="H548" s="8" t="s">
        <v>374</v>
      </c>
      <c r="I548" s="8">
        <v>0.8</v>
      </c>
      <c r="J548" s="8">
        <v>0.0</v>
      </c>
      <c r="K548" s="8">
        <v>34.0</v>
      </c>
      <c r="L548" s="8">
        <v>0.0</v>
      </c>
      <c r="M548" s="8">
        <v>34.0</v>
      </c>
      <c r="N548" s="8">
        <v>-4.234106505</v>
      </c>
      <c r="O548" s="8">
        <v>1.8</v>
      </c>
      <c r="P548" s="8" t="s">
        <v>368</v>
      </c>
    </row>
    <row r="549">
      <c r="A549" s="8" t="s">
        <v>445</v>
      </c>
      <c r="B549" s="8">
        <v>2008.0</v>
      </c>
      <c r="C549" s="8" t="s">
        <v>403</v>
      </c>
      <c r="D549" s="8" t="s">
        <v>371</v>
      </c>
      <c r="E549" s="8">
        <v>2100.0</v>
      </c>
      <c r="F549" s="8" t="s">
        <v>34</v>
      </c>
      <c r="G549" s="8" t="s">
        <v>42</v>
      </c>
      <c r="H549" s="8" t="s">
        <v>374</v>
      </c>
      <c r="I549" s="8">
        <v>1.0</v>
      </c>
      <c r="J549" s="8">
        <v>18.0</v>
      </c>
      <c r="K549" s="8">
        <v>555.0</v>
      </c>
      <c r="L549" s="8">
        <v>0.032432432</v>
      </c>
      <c r="M549" s="8">
        <v>555.0</v>
      </c>
      <c r="N549" s="8">
        <v>-3.395626337</v>
      </c>
      <c r="O549" s="8">
        <v>3.42</v>
      </c>
      <c r="P549" s="8" t="s">
        <v>368</v>
      </c>
    </row>
    <row r="550">
      <c r="A550" s="8" t="s">
        <v>445</v>
      </c>
      <c r="B550" s="8">
        <v>2008.0</v>
      </c>
      <c r="C550" s="8" t="s">
        <v>403</v>
      </c>
      <c r="D550" s="8" t="s">
        <v>371</v>
      </c>
      <c r="E550" s="8">
        <v>2100.0</v>
      </c>
      <c r="F550" s="8" t="s">
        <v>34</v>
      </c>
      <c r="G550" s="8" t="s">
        <v>42</v>
      </c>
      <c r="H550" s="8" t="s">
        <v>367</v>
      </c>
      <c r="I550" s="8">
        <v>1.0</v>
      </c>
      <c r="J550" s="8">
        <v>393.0</v>
      </c>
      <c r="K550" s="8">
        <v>555.0</v>
      </c>
      <c r="L550" s="8">
        <v>0.708108108</v>
      </c>
      <c r="M550" s="8">
        <v>555.0</v>
      </c>
      <c r="N550" s="8">
        <v>0.886213277</v>
      </c>
      <c r="O550" s="8">
        <v>3.42</v>
      </c>
      <c r="P550" s="8" t="s">
        <v>368</v>
      </c>
    </row>
    <row r="551">
      <c r="A551" s="8" t="s">
        <v>445</v>
      </c>
      <c r="B551" s="8">
        <v>2008.0</v>
      </c>
      <c r="C551" s="8" t="s">
        <v>403</v>
      </c>
      <c r="D551" s="8" t="s">
        <v>371</v>
      </c>
      <c r="E551" s="8">
        <v>2100.0</v>
      </c>
      <c r="F551" s="8" t="s">
        <v>34</v>
      </c>
      <c r="G551" s="8" t="s">
        <v>42</v>
      </c>
      <c r="H551" s="8" t="s">
        <v>374</v>
      </c>
      <c r="I551" s="8">
        <v>1.0</v>
      </c>
      <c r="J551" s="8">
        <v>1.0</v>
      </c>
      <c r="K551" s="8">
        <v>82.0</v>
      </c>
      <c r="L551" s="8">
        <v>0.012195122</v>
      </c>
      <c r="M551" s="8">
        <v>82.0</v>
      </c>
      <c r="N551" s="8">
        <v>-4.394449155</v>
      </c>
      <c r="O551" s="8">
        <v>3.42</v>
      </c>
      <c r="P551" s="8" t="s">
        <v>368</v>
      </c>
    </row>
    <row r="552">
      <c r="A552" s="8" t="s">
        <v>445</v>
      </c>
      <c r="B552" s="8">
        <v>2008.0</v>
      </c>
      <c r="C552" s="8" t="s">
        <v>403</v>
      </c>
      <c r="D552" s="8" t="s">
        <v>371</v>
      </c>
      <c r="E552" s="8">
        <v>2100.0</v>
      </c>
      <c r="F552" s="8" t="s">
        <v>34</v>
      </c>
      <c r="G552" s="8" t="s">
        <v>42</v>
      </c>
      <c r="H552" s="8" t="s">
        <v>367</v>
      </c>
      <c r="I552" s="8">
        <v>1.0</v>
      </c>
      <c r="J552" s="8">
        <v>56.0</v>
      </c>
      <c r="K552" s="8">
        <v>82.0</v>
      </c>
      <c r="L552" s="8">
        <v>0.682926829</v>
      </c>
      <c r="M552" s="8">
        <v>82.0</v>
      </c>
      <c r="N552" s="8">
        <v>0.767255153</v>
      </c>
      <c r="O552" s="8">
        <v>3.42</v>
      </c>
      <c r="P552" s="8" t="s">
        <v>368</v>
      </c>
    </row>
    <row r="553">
      <c r="A553" s="8" t="s">
        <v>445</v>
      </c>
      <c r="B553" s="8">
        <v>2008.0</v>
      </c>
      <c r="C553" s="8" t="s">
        <v>403</v>
      </c>
      <c r="D553" s="8" t="s">
        <v>370</v>
      </c>
      <c r="E553" s="8">
        <v>2100.0</v>
      </c>
      <c r="F553" s="8" t="s">
        <v>34</v>
      </c>
      <c r="G553" s="8" t="s">
        <v>42</v>
      </c>
      <c r="H553" s="8" t="s">
        <v>374</v>
      </c>
      <c r="I553" s="8">
        <v>1.0</v>
      </c>
      <c r="J553" s="8">
        <v>0.0</v>
      </c>
      <c r="K553" s="8">
        <v>739.0</v>
      </c>
      <c r="L553" s="8">
        <v>0.0</v>
      </c>
      <c r="M553" s="8">
        <v>739.0</v>
      </c>
      <c r="N553" s="8">
        <v>-7.299121463</v>
      </c>
      <c r="O553" s="8">
        <v>3.42</v>
      </c>
      <c r="P553" s="8" t="s">
        <v>368</v>
      </c>
    </row>
    <row r="554">
      <c r="A554" s="8" t="s">
        <v>445</v>
      </c>
      <c r="B554" s="8">
        <v>2008.0</v>
      </c>
      <c r="C554" s="8" t="s">
        <v>403</v>
      </c>
      <c r="D554" s="8" t="s">
        <v>370</v>
      </c>
      <c r="E554" s="8">
        <v>2100.0</v>
      </c>
      <c r="F554" s="8" t="s">
        <v>34</v>
      </c>
      <c r="G554" s="8" t="s">
        <v>42</v>
      </c>
      <c r="H554" s="8" t="s">
        <v>367</v>
      </c>
      <c r="I554" s="8">
        <v>1.0</v>
      </c>
      <c r="J554" s="8">
        <v>115.0</v>
      </c>
      <c r="K554" s="8">
        <v>739.0</v>
      </c>
      <c r="L554" s="8">
        <v>0.155615697</v>
      </c>
      <c r="M554" s="8">
        <v>739.0</v>
      </c>
      <c r="N554" s="8">
        <v>-1.69121824</v>
      </c>
      <c r="O554" s="8">
        <v>3.42</v>
      </c>
      <c r="P554" s="8" t="s">
        <v>368</v>
      </c>
    </row>
    <row r="555">
      <c r="A555" s="8" t="s">
        <v>445</v>
      </c>
      <c r="B555" s="8">
        <v>2008.0</v>
      </c>
      <c r="C555" s="8" t="s">
        <v>403</v>
      </c>
      <c r="D555" s="8" t="s">
        <v>370</v>
      </c>
      <c r="E555" s="8">
        <v>2100.0</v>
      </c>
      <c r="F555" s="8" t="s">
        <v>34</v>
      </c>
      <c r="G555" s="8" t="s">
        <v>42</v>
      </c>
      <c r="H555" s="8" t="s">
        <v>374</v>
      </c>
      <c r="I555" s="8">
        <v>1.0</v>
      </c>
      <c r="J555" s="8">
        <v>0.0</v>
      </c>
      <c r="K555" s="8">
        <v>495.0</v>
      </c>
      <c r="L555" s="8">
        <v>0.0</v>
      </c>
      <c r="M555" s="8">
        <v>495.0</v>
      </c>
      <c r="N555" s="8">
        <v>-6.898714534</v>
      </c>
      <c r="O555" s="8">
        <v>3.42</v>
      </c>
      <c r="P555" s="8" t="s">
        <v>368</v>
      </c>
    </row>
    <row r="556">
      <c r="A556" s="8" t="s">
        <v>445</v>
      </c>
      <c r="B556" s="8">
        <v>2008.0</v>
      </c>
      <c r="C556" s="8" t="s">
        <v>403</v>
      </c>
      <c r="D556" s="8" t="s">
        <v>370</v>
      </c>
      <c r="E556" s="8">
        <v>2100.0</v>
      </c>
      <c r="F556" s="8" t="s">
        <v>34</v>
      </c>
      <c r="G556" s="8" t="s">
        <v>42</v>
      </c>
      <c r="H556" s="8" t="s">
        <v>367</v>
      </c>
      <c r="I556" s="8">
        <v>1.0</v>
      </c>
      <c r="J556" s="8">
        <v>397.0</v>
      </c>
      <c r="K556" s="8">
        <v>495.0</v>
      </c>
      <c r="L556" s="8">
        <v>0.802020202</v>
      </c>
      <c r="M556" s="8">
        <v>495.0</v>
      </c>
      <c r="N556" s="8">
        <v>1.398968802</v>
      </c>
      <c r="O556" s="8">
        <v>3.42</v>
      </c>
      <c r="P556" s="8" t="s">
        <v>368</v>
      </c>
    </row>
    <row r="557">
      <c r="A557" s="8" t="s">
        <v>446</v>
      </c>
      <c r="B557" s="8">
        <v>2008.0</v>
      </c>
      <c r="C557" s="8" t="s">
        <v>77</v>
      </c>
      <c r="D557" s="8" t="s">
        <v>375</v>
      </c>
      <c r="E557" s="8">
        <v>2095.0</v>
      </c>
      <c r="F557" s="8" t="s">
        <v>41</v>
      </c>
      <c r="G557" s="8" t="s">
        <v>42</v>
      </c>
      <c r="H557" s="8" t="s">
        <v>374</v>
      </c>
      <c r="I557" s="8">
        <v>0.8</v>
      </c>
      <c r="J557" s="8">
        <v>133.0</v>
      </c>
      <c r="K557" s="8">
        <v>8459.0</v>
      </c>
      <c r="L557" s="8">
        <v>0.015722899</v>
      </c>
      <c r="M557" s="8">
        <v>8459.0</v>
      </c>
      <c r="N557" s="8">
        <v>-4.1367893</v>
      </c>
      <c r="O557" s="8">
        <v>1.7</v>
      </c>
      <c r="P557" s="8" t="s">
        <v>368</v>
      </c>
    </row>
    <row r="558">
      <c r="A558" s="8" t="s">
        <v>446</v>
      </c>
      <c r="B558" s="8">
        <v>2008.0</v>
      </c>
      <c r="C558" s="8" t="s">
        <v>77</v>
      </c>
      <c r="D558" s="8" t="s">
        <v>375</v>
      </c>
      <c r="E558" s="8">
        <v>2095.0</v>
      </c>
      <c r="F558" s="8" t="s">
        <v>41</v>
      </c>
      <c r="G558" s="8" t="s">
        <v>42</v>
      </c>
      <c r="H558" s="8" t="s">
        <v>374</v>
      </c>
      <c r="I558" s="8">
        <v>0.8</v>
      </c>
      <c r="J558" s="8">
        <v>243.0</v>
      </c>
      <c r="K558" s="8">
        <v>8459.0</v>
      </c>
      <c r="L558" s="8">
        <v>0.0287268</v>
      </c>
      <c r="M558" s="8">
        <v>8459.0</v>
      </c>
      <c r="N558" s="8">
        <v>-3.520777308</v>
      </c>
      <c r="O558" s="8">
        <v>2.4</v>
      </c>
      <c r="P558" s="8" t="s">
        <v>368</v>
      </c>
    </row>
    <row r="559">
      <c r="A559" s="8" t="s">
        <v>446</v>
      </c>
      <c r="B559" s="8">
        <v>2008.0</v>
      </c>
      <c r="C559" s="8" t="s">
        <v>77</v>
      </c>
      <c r="D559" s="8" t="s">
        <v>375</v>
      </c>
      <c r="E559" s="8">
        <v>2095.0</v>
      </c>
      <c r="F559" s="8" t="s">
        <v>41</v>
      </c>
      <c r="G559" s="8" t="s">
        <v>42</v>
      </c>
      <c r="H559" s="8" t="s">
        <v>374</v>
      </c>
      <c r="I559" s="8">
        <v>0.8</v>
      </c>
      <c r="J559" s="8">
        <v>456.0</v>
      </c>
      <c r="K559" s="8">
        <v>8459.0</v>
      </c>
      <c r="L559" s="8">
        <v>0.053907081</v>
      </c>
      <c r="M559" s="8">
        <v>8459.0</v>
      </c>
      <c r="N559" s="8">
        <v>-2.865078941</v>
      </c>
      <c r="O559" s="8">
        <v>3.4</v>
      </c>
      <c r="P559" s="8" t="s">
        <v>368</v>
      </c>
    </row>
    <row r="560">
      <c r="A560" s="8" t="s">
        <v>446</v>
      </c>
      <c r="B560" s="8">
        <v>2008.0</v>
      </c>
      <c r="C560" s="8" t="s">
        <v>77</v>
      </c>
      <c r="D560" s="8" t="s">
        <v>375</v>
      </c>
      <c r="E560" s="8">
        <v>2095.0</v>
      </c>
      <c r="F560" s="8" t="s">
        <v>41</v>
      </c>
      <c r="G560" s="8" t="s">
        <v>42</v>
      </c>
      <c r="H560" s="8" t="s">
        <v>374</v>
      </c>
      <c r="I560" s="8">
        <v>0.8</v>
      </c>
      <c r="J560" s="8">
        <v>881.0</v>
      </c>
      <c r="K560" s="8">
        <v>8459.0</v>
      </c>
      <c r="L560" s="8">
        <v>0.104149427</v>
      </c>
      <c r="M560" s="8">
        <v>8459.0</v>
      </c>
      <c r="N560" s="8">
        <v>-2.151946966</v>
      </c>
      <c r="O560" s="8">
        <v>4.6</v>
      </c>
      <c r="P560" s="8" t="s">
        <v>368</v>
      </c>
    </row>
    <row r="561">
      <c r="A561" s="8" t="s">
        <v>446</v>
      </c>
      <c r="B561" s="8">
        <v>2008.0</v>
      </c>
      <c r="C561" s="8" t="s">
        <v>77</v>
      </c>
      <c r="D561" s="8" t="s">
        <v>375</v>
      </c>
      <c r="E561" s="8">
        <v>2095.0</v>
      </c>
      <c r="F561" s="8" t="s">
        <v>41</v>
      </c>
      <c r="G561" s="8" t="s">
        <v>42</v>
      </c>
      <c r="H561" s="8" t="s">
        <v>374</v>
      </c>
      <c r="I561" s="8">
        <v>0.8</v>
      </c>
      <c r="J561" s="8">
        <v>1400.0</v>
      </c>
      <c r="K561" s="8">
        <v>8459.0</v>
      </c>
      <c r="L561" s="8">
        <v>0.165504197</v>
      </c>
      <c r="M561" s="8">
        <v>8459.0</v>
      </c>
      <c r="N561" s="8">
        <v>-1.617831162</v>
      </c>
      <c r="O561" s="8">
        <v>7.0</v>
      </c>
      <c r="P561" s="8" t="s">
        <v>368</v>
      </c>
    </row>
    <row r="562">
      <c r="A562" s="8" t="s">
        <v>446</v>
      </c>
      <c r="B562" s="8">
        <v>2008.0</v>
      </c>
      <c r="C562" s="8" t="s">
        <v>437</v>
      </c>
      <c r="D562" s="8" t="s">
        <v>375</v>
      </c>
      <c r="E562" s="8">
        <v>2095.0</v>
      </c>
      <c r="F562" s="8" t="s">
        <v>41</v>
      </c>
      <c r="G562" s="8" t="s">
        <v>42</v>
      </c>
      <c r="H562" s="8" t="s">
        <v>374</v>
      </c>
      <c r="I562" s="8">
        <v>1.0</v>
      </c>
      <c r="J562" s="8">
        <v>48.0</v>
      </c>
      <c r="K562" s="8">
        <v>3349.0</v>
      </c>
      <c r="L562" s="8">
        <v>0.014332637</v>
      </c>
      <c r="M562" s="8">
        <v>3349.0</v>
      </c>
      <c r="N562" s="8">
        <v>-4.230779721</v>
      </c>
      <c r="O562" s="8">
        <v>1.7</v>
      </c>
      <c r="P562" s="8" t="s">
        <v>368</v>
      </c>
    </row>
    <row r="563">
      <c r="A563" s="8" t="s">
        <v>446</v>
      </c>
      <c r="B563" s="8">
        <v>2008.0</v>
      </c>
      <c r="C563" s="8" t="s">
        <v>437</v>
      </c>
      <c r="D563" s="8" t="s">
        <v>375</v>
      </c>
      <c r="E563" s="8">
        <v>2095.0</v>
      </c>
      <c r="F563" s="8" t="s">
        <v>41</v>
      </c>
      <c r="G563" s="8" t="s">
        <v>42</v>
      </c>
      <c r="H563" s="8" t="s">
        <v>374</v>
      </c>
      <c r="I563" s="8">
        <v>1.0</v>
      </c>
      <c r="J563" s="8">
        <v>94.0</v>
      </c>
      <c r="K563" s="8">
        <v>3349.0</v>
      </c>
      <c r="L563" s="8">
        <v>0.02806808</v>
      </c>
      <c r="M563" s="8">
        <v>3349.0</v>
      </c>
      <c r="N563" s="8">
        <v>-3.544652772</v>
      </c>
      <c r="O563" s="8">
        <v>2.4</v>
      </c>
      <c r="P563" s="8" t="s">
        <v>368</v>
      </c>
    </row>
    <row r="564">
      <c r="A564" s="8" t="s">
        <v>446</v>
      </c>
      <c r="B564" s="8">
        <v>2008.0</v>
      </c>
      <c r="C564" s="8" t="s">
        <v>437</v>
      </c>
      <c r="D564" s="8" t="s">
        <v>375</v>
      </c>
      <c r="E564" s="8">
        <v>2095.0</v>
      </c>
      <c r="F564" s="8" t="s">
        <v>41</v>
      </c>
      <c r="G564" s="8" t="s">
        <v>42</v>
      </c>
      <c r="H564" s="8" t="s">
        <v>374</v>
      </c>
      <c r="I564" s="8">
        <v>1.0</v>
      </c>
      <c r="J564" s="8">
        <v>207.0</v>
      </c>
      <c r="K564" s="8">
        <v>3349.0</v>
      </c>
      <c r="L564" s="8">
        <v>0.061809495</v>
      </c>
      <c r="M564" s="8">
        <v>3349.0</v>
      </c>
      <c r="N564" s="8">
        <v>-2.719896026</v>
      </c>
      <c r="O564" s="8">
        <v>3.4</v>
      </c>
      <c r="P564" s="8" t="s">
        <v>368</v>
      </c>
    </row>
    <row r="565">
      <c r="A565" s="8" t="s">
        <v>446</v>
      </c>
      <c r="B565" s="8">
        <v>2008.0</v>
      </c>
      <c r="C565" s="8" t="s">
        <v>437</v>
      </c>
      <c r="D565" s="8" t="s">
        <v>375</v>
      </c>
      <c r="E565" s="8">
        <v>2095.0</v>
      </c>
      <c r="F565" s="8" t="s">
        <v>41</v>
      </c>
      <c r="G565" s="8" t="s">
        <v>42</v>
      </c>
      <c r="H565" s="8" t="s">
        <v>374</v>
      </c>
      <c r="I565" s="8">
        <v>1.0</v>
      </c>
      <c r="J565" s="8">
        <v>388.0</v>
      </c>
      <c r="K565" s="8">
        <v>3349.0</v>
      </c>
      <c r="L565" s="8">
        <v>0.115855479</v>
      </c>
      <c r="M565" s="8">
        <v>3349.0</v>
      </c>
      <c r="N565" s="8">
        <v>-2.032276988</v>
      </c>
      <c r="O565" s="8">
        <v>4.6</v>
      </c>
      <c r="P565" s="8" t="s">
        <v>368</v>
      </c>
    </row>
    <row r="566">
      <c r="A566" s="8" t="s">
        <v>446</v>
      </c>
      <c r="B566" s="8">
        <v>2008.0</v>
      </c>
      <c r="C566" s="8" t="s">
        <v>437</v>
      </c>
      <c r="D566" s="8" t="s">
        <v>375</v>
      </c>
      <c r="E566" s="8">
        <v>2095.0</v>
      </c>
      <c r="F566" s="8" t="s">
        <v>41</v>
      </c>
      <c r="G566" s="8" t="s">
        <v>42</v>
      </c>
      <c r="H566" s="8" t="s">
        <v>374</v>
      </c>
      <c r="I566" s="8">
        <v>1.0</v>
      </c>
      <c r="J566" s="8">
        <v>785.0</v>
      </c>
      <c r="K566" s="8">
        <v>3349.0</v>
      </c>
      <c r="L566" s="8">
        <v>0.234398328</v>
      </c>
      <c r="M566" s="8">
        <v>3349.0</v>
      </c>
      <c r="N566" s="8">
        <v>-1.1836401</v>
      </c>
      <c r="O566" s="8">
        <v>7.0</v>
      </c>
      <c r="P566" s="8" t="s">
        <v>368</v>
      </c>
    </row>
    <row r="567">
      <c r="A567" s="8" t="s">
        <v>446</v>
      </c>
      <c r="B567" s="8">
        <v>2008.0</v>
      </c>
      <c r="C567" s="8" t="s">
        <v>437</v>
      </c>
      <c r="D567" s="8" t="s">
        <v>375</v>
      </c>
      <c r="E567" s="8">
        <v>2095.0</v>
      </c>
      <c r="F567" s="8" t="s">
        <v>41</v>
      </c>
      <c r="G567" s="8" t="s">
        <v>42</v>
      </c>
      <c r="H567" s="8" t="s">
        <v>374</v>
      </c>
      <c r="I567" s="8">
        <v>0.8</v>
      </c>
      <c r="J567" s="8">
        <v>805.0</v>
      </c>
      <c r="K567" s="8">
        <v>3349.0</v>
      </c>
      <c r="L567" s="8">
        <v>0.24037026</v>
      </c>
      <c r="M567" s="8">
        <v>3349.0</v>
      </c>
      <c r="N567" s="8">
        <v>-1.150650647</v>
      </c>
      <c r="O567" s="8">
        <v>1.7</v>
      </c>
      <c r="P567" s="8" t="s">
        <v>368</v>
      </c>
    </row>
    <row r="568">
      <c r="A568" s="8" t="s">
        <v>446</v>
      </c>
      <c r="B568" s="8">
        <v>2008.0</v>
      </c>
      <c r="C568" s="8" t="s">
        <v>437</v>
      </c>
      <c r="D568" s="8" t="s">
        <v>375</v>
      </c>
      <c r="E568" s="8">
        <v>2095.0</v>
      </c>
      <c r="F568" s="8" t="s">
        <v>41</v>
      </c>
      <c r="G568" s="8" t="s">
        <v>42</v>
      </c>
      <c r="H568" s="8" t="s">
        <v>374</v>
      </c>
      <c r="I568" s="8">
        <v>0.8</v>
      </c>
      <c r="J568" s="8">
        <v>906.0</v>
      </c>
      <c r="K568" s="8">
        <v>3349.0</v>
      </c>
      <c r="L568" s="8">
        <v>0.270528516</v>
      </c>
      <c r="M568" s="8">
        <v>3349.0</v>
      </c>
      <c r="N568" s="8">
        <v>-0.991942765</v>
      </c>
      <c r="O568" s="8">
        <v>2.4</v>
      </c>
      <c r="P568" s="8" t="s">
        <v>368</v>
      </c>
    </row>
    <row r="569">
      <c r="A569" s="8" t="s">
        <v>446</v>
      </c>
      <c r="B569" s="8">
        <v>2008.0</v>
      </c>
      <c r="C569" s="8" t="s">
        <v>437</v>
      </c>
      <c r="D569" s="8" t="s">
        <v>375</v>
      </c>
      <c r="E569" s="8">
        <v>2095.0</v>
      </c>
      <c r="F569" s="8" t="s">
        <v>41</v>
      </c>
      <c r="G569" s="8" t="s">
        <v>42</v>
      </c>
      <c r="H569" s="8" t="s">
        <v>374</v>
      </c>
      <c r="I569" s="8">
        <v>0.8</v>
      </c>
      <c r="J569" s="8">
        <v>1090.0</v>
      </c>
      <c r="K569" s="8">
        <v>3349.0</v>
      </c>
      <c r="L569" s="8">
        <v>0.32547029</v>
      </c>
      <c r="M569" s="8">
        <v>3349.0</v>
      </c>
      <c r="N569" s="8">
        <v>-0.728744541</v>
      </c>
      <c r="O569" s="8">
        <v>3.4</v>
      </c>
      <c r="P569" s="8" t="s">
        <v>368</v>
      </c>
    </row>
    <row r="570">
      <c r="A570" s="8" t="s">
        <v>446</v>
      </c>
      <c r="B570" s="8">
        <v>2008.0</v>
      </c>
      <c r="C570" s="8" t="s">
        <v>437</v>
      </c>
      <c r="D570" s="8" t="s">
        <v>375</v>
      </c>
      <c r="E570" s="8">
        <v>2095.0</v>
      </c>
      <c r="F570" s="8" t="s">
        <v>41</v>
      </c>
      <c r="G570" s="8" t="s">
        <v>42</v>
      </c>
      <c r="H570" s="8" t="s">
        <v>374</v>
      </c>
      <c r="I570" s="8">
        <v>0.8</v>
      </c>
      <c r="J570" s="8">
        <v>1297.0</v>
      </c>
      <c r="K570" s="8">
        <v>3349.0</v>
      </c>
      <c r="L570" s="8">
        <v>0.387279785</v>
      </c>
      <c r="M570" s="8">
        <v>3349.0</v>
      </c>
      <c r="N570" s="8">
        <v>-0.458761022</v>
      </c>
      <c r="O570" s="8">
        <v>4.6</v>
      </c>
      <c r="P570" s="8" t="s">
        <v>368</v>
      </c>
    </row>
    <row r="571">
      <c r="A571" s="8" t="s">
        <v>446</v>
      </c>
      <c r="B571" s="8">
        <v>2008.0</v>
      </c>
      <c r="C571" s="8" t="s">
        <v>437</v>
      </c>
      <c r="D571" s="8" t="s">
        <v>375</v>
      </c>
      <c r="E571" s="8">
        <v>2095.0</v>
      </c>
      <c r="F571" s="8" t="s">
        <v>41</v>
      </c>
      <c r="G571" s="8" t="s">
        <v>42</v>
      </c>
      <c r="H571" s="8" t="s">
        <v>374</v>
      </c>
      <c r="I571" s="8">
        <v>0.8</v>
      </c>
      <c r="J571" s="8">
        <v>1767.0</v>
      </c>
      <c r="K571" s="8">
        <v>3349.0</v>
      </c>
      <c r="L571" s="8">
        <v>0.527620185</v>
      </c>
      <c r="M571" s="8">
        <v>3349.0</v>
      </c>
      <c r="N571" s="8">
        <v>0.110593324</v>
      </c>
      <c r="O571" s="8">
        <v>7.0</v>
      </c>
      <c r="P571" s="8" t="s">
        <v>368</v>
      </c>
    </row>
    <row r="572">
      <c r="A572" s="8" t="s">
        <v>447</v>
      </c>
      <c r="B572" s="8">
        <v>2008.0</v>
      </c>
      <c r="C572" s="8" t="s">
        <v>365</v>
      </c>
      <c r="D572" s="8" t="s">
        <v>371</v>
      </c>
      <c r="E572" s="8">
        <v>2100.0</v>
      </c>
      <c r="F572" s="8" t="s">
        <v>41</v>
      </c>
      <c r="G572" s="8" t="s">
        <v>382</v>
      </c>
      <c r="H572" s="8" t="s">
        <v>416</v>
      </c>
      <c r="I572" s="8">
        <v>0.95</v>
      </c>
      <c r="J572" s="8">
        <v>0.0</v>
      </c>
      <c r="K572" s="8">
        <v>16.0</v>
      </c>
      <c r="L572" s="8">
        <v>0.0</v>
      </c>
      <c r="M572" s="8">
        <v>16.0</v>
      </c>
      <c r="N572" s="8">
        <v>-3.496507561</v>
      </c>
      <c r="O572" s="8">
        <v>2.8</v>
      </c>
      <c r="P572" s="8" t="s">
        <v>368</v>
      </c>
    </row>
    <row r="573">
      <c r="A573" s="8" t="s">
        <v>447</v>
      </c>
      <c r="B573" s="8">
        <v>2008.0</v>
      </c>
      <c r="C573" s="8" t="s">
        <v>365</v>
      </c>
      <c r="D573" s="8" t="s">
        <v>371</v>
      </c>
      <c r="E573" s="8">
        <v>2100.0</v>
      </c>
      <c r="F573" s="8" t="s">
        <v>41</v>
      </c>
      <c r="G573" s="8" t="s">
        <v>382</v>
      </c>
      <c r="H573" s="8" t="s">
        <v>416</v>
      </c>
      <c r="I573" s="8">
        <v>0.95</v>
      </c>
      <c r="J573" s="8">
        <v>0.0</v>
      </c>
      <c r="K573" s="8">
        <v>16.0</v>
      </c>
      <c r="L573" s="8">
        <v>0.0</v>
      </c>
      <c r="M573" s="8">
        <v>16.0</v>
      </c>
      <c r="N573" s="8">
        <v>-3.496507561</v>
      </c>
      <c r="O573" s="8">
        <v>4.2</v>
      </c>
      <c r="P573" s="8" t="s">
        <v>368</v>
      </c>
    </row>
    <row r="574">
      <c r="A574" s="8" t="s">
        <v>448</v>
      </c>
      <c r="B574" s="8">
        <v>2008.0</v>
      </c>
      <c r="C574" s="8" t="s">
        <v>373</v>
      </c>
      <c r="D574" s="8" t="s">
        <v>371</v>
      </c>
      <c r="E574" s="8">
        <v>2080.0</v>
      </c>
      <c r="F574" s="8" t="s">
        <v>41</v>
      </c>
      <c r="G574" s="8" t="s">
        <v>42</v>
      </c>
      <c r="H574" s="8" t="s">
        <v>374</v>
      </c>
      <c r="I574" s="8">
        <v>1.0</v>
      </c>
      <c r="J574" s="8">
        <v>5.0</v>
      </c>
      <c r="K574" s="8">
        <v>100.0</v>
      </c>
      <c r="L574" s="8">
        <v>0.05</v>
      </c>
      <c r="M574" s="8">
        <v>100.0</v>
      </c>
      <c r="N574" s="8">
        <v>-2.944438979</v>
      </c>
      <c r="O574" s="8">
        <v>1.6</v>
      </c>
      <c r="P574" s="8" t="s">
        <v>368</v>
      </c>
    </row>
    <row r="575">
      <c r="A575" s="8" t="s">
        <v>448</v>
      </c>
      <c r="B575" s="8">
        <v>2008.0</v>
      </c>
      <c r="C575" s="8" t="s">
        <v>373</v>
      </c>
      <c r="D575" s="8" t="s">
        <v>371</v>
      </c>
      <c r="E575" s="8">
        <v>2080.0</v>
      </c>
      <c r="F575" s="8" t="s">
        <v>41</v>
      </c>
      <c r="G575" s="8" t="s">
        <v>42</v>
      </c>
      <c r="H575" s="8" t="s">
        <v>416</v>
      </c>
      <c r="I575" s="8">
        <v>1.0</v>
      </c>
      <c r="J575" s="8">
        <v>5.0</v>
      </c>
      <c r="K575" s="8">
        <v>100.0</v>
      </c>
      <c r="L575" s="8">
        <v>0.05</v>
      </c>
      <c r="M575" s="8">
        <v>100.0</v>
      </c>
      <c r="N575" s="8">
        <v>-2.944438979</v>
      </c>
      <c r="O575" s="8">
        <v>1.6</v>
      </c>
      <c r="P575" s="8" t="s">
        <v>368</v>
      </c>
    </row>
    <row r="576">
      <c r="A576" s="8" t="s">
        <v>448</v>
      </c>
      <c r="B576" s="8">
        <v>2008.0</v>
      </c>
      <c r="C576" s="8" t="s">
        <v>373</v>
      </c>
      <c r="D576" s="8" t="s">
        <v>371</v>
      </c>
      <c r="E576" s="8">
        <v>2080.0</v>
      </c>
      <c r="F576" s="8" t="s">
        <v>41</v>
      </c>
      <c r="G576" s="8" t="s">
        <v>42</v>
      </c>
      <c r="H576" s="8" t="s">
        <v>367</v>
      </c>
      <c r="I576" s="8">
        <v>1.0</v>
      </c>
      <c r="J576" s="8">
        <v>5.0</v>
      </c>
      <c r="K576" s="8">
        <v>100.0</v>
      </c>
      <c r="L576" s="8">
        <v>0.05</v>
      </c>
      <c r="M576" s="8">
        <v>100.0</v>
      </c>
      <c r="N576" s="8">
        <v>-2.944438979</v>
      </c>
      <c r="O576" s="8">
        <v>1.6</v>
      </c>
      <c r="P576" s="8" t="s">
        <v>368</v>
      </c>
    </row>
    <row r="577">
      <c r="A577" s="8" t="s">
        <v>448</v>
      </c>
      <c r="B577" s="8">
        <v>2008.0</v>
      </c>
      <c r="C577" s="8" t="s">
        <v>373</v>
      </c>
      <c r="D577" s="8" t="s">
        <v>371</v>
      </c>
      <c r="E577" s="8">
        <v>2080.0</v>
      </c>
      <c r="F577" s="8" t="s">
        <v>41</v>
      </c>
      <c r="G577" s="8" t="s">
        <v>42</v>
      </c>
      <c r="H577" s="8" t="s">
        <v>374</v>
      </c>
      <c r="I577" s="8">
        <v>1.0</v>
      </c>
      <c r="J577" s="8">
        <v>7.0</v>
      </c>
      <c r="K577" s="8">
        <v>100.0</v>
      </c>
      <c r="L577" s="8">
        <v>0.07</v>
      </c>
      <c r="M577" s="8">
        <v>100.0</v>
      </c>
      <c r="N577" s="8">
        <v>-2.586689344</v>
      </c>
      <c r="O577" s="8">
        <v>2.2</v>
      </c>
      <c r="P577" s="8" t="s">
        <v>368</v>
      </c>
    </row>
    <row r="578">
      <c r="A578" s="8" t="s">
        <v>448</v>
      </c>
      <c r="B578" s="8">
        <v>2008.0</v>
      </c>
      <c r="C578" s="8" t="s">
        <v>373</v>
      </c>
      <c r="D578" s="8" t="s">
        <v>371</v>
      </c>
      <c r="E578" s="8">
        <v>2080.0</v>
      </c>
      <c r="F578" s="8" t="s">
        <v>41</v>
      </c>
      <c r="G578" s="8" t="s">
        <v>42</v>
      </c>
      <c r="H578" s="8" t="s">
        <v>416</v>
      </c>
      <c r="I578" s="8">
        <v>1.0</v>
      </c>
      <c r="J578" s="8">
        <v>7.0</v>
      </c>
      <c r="K578" s="8">
        <v>100.0</v>
      </c>
      <c r="L578" s="8">
        <v>0.07</v>
      </c>
      <c r="M578" s="8">
        <v>100.0</v>
      </c>
      <c r="N578" s="8">
        <v>-2.586689344</v>
      </c>
      <c r="O578" s="8">
        <v>2.2</v>
      </c>
      <c r="P578" s="8" t="s">
        <v>368</v>
      </c>
    </row>
    <row r="579">
      <c r="A579" s="8" t="s">
        <v>448</v>
      </c>
      <c r="B579" s="8">
        <v>2008.0</v>
      </c>
      <c r="C579" s="8" t="s">
        <v>373</v>
      </c>
      <c r="D579" s="8" t="s">
        <v>371</v>
      </c>
      <c r="E579" s="8">
        <v>2080.0</v>
      </c>
      <c r="F579" s="8" t="s">
        <v>41</v>
      </c>
      <c r="G579" s="8" t="s">
        <v>42</v>
      </c>
      <c r="H579" s="8" t="s">
        <v>367</v>
      </c>
      <c r="I579" s="8">
        <v>1.0</v>
      </c>
      <c r="J579" s="8">
        <v>8.0</v>
      </c>
      <c r="K579" s="8">
        <v>100.0</v>
      </c>
      <c r="L579" s="8">
        <v>0.08</v>
      </c>
      <c r="M579" s="8">
        <v>100.0</v>
      </c>
      <c r="N579" s="8">
        <v>-2.442347035</v>
      </c>
      <c r="O579" s="8">
        <v>2.2</v>
      </c>
      <c r="P579" s="8" t="s">
        <v>368</v>
      </c>
    </row>
    <row r="580">
      <c r="A580" s="8" t="s">
        <v>448</v>
      </c>
      <c r="B580" s="8">
        <v>2008.0</v>
      </c>
      <c r="C580" s="8" t="s">
        <v>373</v>
      </c>
      <c r="D580" s="8" t="s">
        <v>371</v>
      </c>
      <c r="E580" s="8">
        <v>2080.0</v>
      </c>
      <c r="F580" s="8" t="s">
        <v>41</v>
      </c>
      <c r="G580" s="8" t="s">
        <v>42</v>
      </c>
      <c r="H580" s="8" t="s">
        <v>374</v>
      </c>
      <c r="I580" s="8">
        <v>1.0</v>
      </c>
      <c r="J580" s="8">
        <v>17.0</v>
      </c>
      <c r="K580" s="8">
        <v>100.0</v>
      </c>
      <c r="L580" s="8">
        <v>0.17</v>
      </c>
      <c r="M580" s="8">
        <v>100.0</v>
      </c>
      <c r="N580" s="8">
        <v>-1.585627264</v>
      </c>
      <c r="O580" s="8">
        <v>4.5</v>
      </c>
      <c r="P580" s="8" t="s">
        <v>368</v>
      </c>
    </row>
    <row r="581">
      <c r="A581" s="8" t="s">
        <v>448</v>
      </c>
      <c r="B581" s="8">
        <v>2008.0</v>
      </c>
      <c r="C581" s="8" t="s">
        <v>373</v>
      </c>
      <c r="D581" s="8" t="s">
        <v>371</v>
      </c>
      <c r="E581" s="8">
        <v>2080.0</v>
      </c>
      <c r="F581" s="8" t="s">
        <v>41</v>
      </c>
      <c r="G581" s="8" t="s">
        <v>42</v>
      </c>
      <c r="H581" s="8" t="s">
        <v>416</v>
      </c>
      <c r="I581" s="8">
        <v>1.0</v>
      </c>
      <c r="J581" s="8">
        <v>22.0</v>
      </c>
      <c r="K581" s="8">
        <v>100.0</v>
      </c>
      <c r="L581" s="8">
        <v>0.22</v>
      </c>
      <c r="M581" s="8">
        <v>100.0</v>
      </c>
      <c r="N581" s="8">
        <v>-1.265666373</v>
      </c>
      <c r="O581" s="8">
        <v>4.5</v>
      </c>
      <c r="P581" s="8" t="s">
        <v>368</v>
      </c>
    </row>
    <row r="582">
      <c r="A582" s="8" t="s">
        <v>448</v>
      </c>
      <c r="B582" s="8">
        <v>2008.0</v>
      </c>
      <c r="C582" s="8" t="s">
        <v>373</v>
      </c>
      <c r="D582" s="8" t="s">
        <v>371</v>
      </c>
      <c r="E582" s="8">
        <v>2080.0</v>
      </c>
      <c r="F582" s="8" t="s">
        <v>41</v>
      </c>
      <c r="G582" s="8" t="s">
        <v>42</v>
      </c>
      <c r="H582" s="8" t="s">
        <v>367</v>
      </c>
      <c r="I582" s="8">
        <v>1.0</v>
      </c>
      <c r="J582" s="8">
        <v>24.0</v>
      </c>
      <c r="K582" s="8">
        <v>100.0</v>
      </c>
      <c r="L582" s="8">
        <v>0.24</v>
      </c>
      <c r="M582" s="8">
        <v>100.0</v>
      </c>
      <c r="N582" s="8">
        <v>-1.15267951</v>
      </c>
      <c r="O582" s="8">
        <v>4.5</v>
      </c>
      <c r="P582" s="8" t="s">
        <v>368</v>
      </c>
    </row>
    <row r="583">
      <c r="A583" s="8" t="s">
        <v>449</v>
      </c>
      <c r="B583" s="8">
        <v>2008.0</v>
      </c>
      <c r="C583" s="8" t="s">
        <v>39</v>
      </c>
      <c r="D583" s="8" t="s">
        <v>377</v>
      </c>
      <c r="E583" s="8">
        <v>2085.0</v>
      </c>
      <c r="F583" s="8" t="s">
        <v>34</v>
      </c>
      <c r="G583" s="8" t="s">
        <v>42</v>
      </c>
      <c r="H583" s="8" t="s">
        <v>374</v>
      </c>
      <c r="I583" s="8">
        <v>1.0</v>
      </c>
      <c r="J583" s="8">
        <v>2.0</v>
      </c>
      <c r="K583" s="8">
        <v>19.0</v>
      </c>
      <c r="L583" s="8">
        <v>0.105263158</v>
      </c>
      <c r="M583" s="8">
        <v>19.0</v>
      </c>
      <c r="N583" s="8">
        <v>-2.140066163</v>
      </c>
      <c r="O583" s="8">
        <v>2.3</v>
      </c>
      <c r="P583" s="8" t="s">
        <v>368</v>
      </c>
    </row>
    <row r="584">
      <c r="A584" s="8" t="s">
        <v>449</v>
      </c>
      <c r="B584" s="8">
        <v>2008.0</v>
      </c>
      <c r="C584" s="8" t="s">
        <v>39</v>
      </c>
      <c r="D584" s="8" t="s">
        <v>376</v>
      </c>
      <c r="E584" s="8">
        <v>2085.0</v>
      </c>
      <c r="F584" s="8" t="s">
        <v>34</v>
      </c>
      <c r="G584" s="8" t="s">
        <v>42</v>
      </c>
      <c r="H584" s="8" t="s">
        <v>374</v>
      </c>
      <c r="I584" s="8">
        <v>1.0</v>
      </c>
      <c r="J584" s="8">
        <v>1.0</v>
      </c>
      <c r="K584" s="8">
        <v>11.0</v>
      </c>
      <c r="L584" s="8">
        <v>0.090909091</v>
      </c>
      <c r="M584" s="8">
        <v>11.0</v>
      </c>
      <c r="N584" s="8">
        <v>-2.302585093</v>
      </c>
      <c r="O584" s="8">
        <v>2.3</v>
      </c>
      <c r="P584" s="8" t="s">
        <v>368</v>
      </c>
    </row>
    <row r="585">
      <c r="A585" s="8" t="s">
        <v>450</v>
      </c>
      <c r="B585" s="8">
        <v>2008.0</v>
      </c>
      <c r="C585" s="8" t="s">
        <v>32</v>
      </c>
      <c r="D585" s="8" t="s">
        <v>370</v>
      </c>
      <c r="E585" s="8">
        <v>2050.0</v>
      </c>
      <c r="F585" s="8" t="s">
        <v>34</v>
      </c>
      <c r="G585" s="8" t="s">
        <v>42</v>
      </c>
      <c r="H585" s="8" t="s">
        <v>374</v>
      </c>
      <c r="I585" s="8">
        <v>0.95</v>
      </c>
      <c r="J585" s="8">
        <v>1.0</v>
      </c>
      <c r="K585" s="8">
        <v>294.0</v>
      </c>
      <c r="L585" s="8">
        <v>0.003401361</v>
      </c>
      <c r="M585" s="8">
        <v>294.0</v>
      </c>
      <c r="N585" s="8">
        <v>-5.680172609</v>
      </c>
      <c r="O585" s="8">
        <v>1.75</v>
      </c>
      <c r="P585" s="8" t="s">
        <v>368</v>
      </c>
    </row>
    <row r="586">
      <c r="A586" s="8" t="s">
        <v>450</v>
      </c>
      <c r="B586" s="8">
        <v>2008.0</v>
      </c>
      <c r="C586" s="8" t="s">
        <v>32</v>
      </c>
      <c r="D586" s="8" t="s">
        <v>370</v>
      </c>
      <c r="E586" s="8">
        <v>2050.0</v>
      </c>
      <c r="F586" s="8" t="s">
        <v>34</v>
      </c>
      <c r="G586" s="8" t="s">
        <v>42</v>
      </c>
      <c r="H586" s="8" t="s">
        <v>374</v>
      </c>
      <c r="I586" s="8">
        <v>0.85</v>
      </c>
      <c r="J586" s="8">
        <v>1.0</v>
      </c>
      <c r="K586" s="8">
        <v>294.0</v>
      </c>
      <c r="L586" s="8">
        <v>0.003401361</v>
      </c>
      <c r="M586" s="8">
        <v>294.0</v>
      </c>
      <c r="N586" s="8">
        <v>-5.680172609</v>
      </c>
      <c r="O586" s="8">
        <v>1.75</v>
      </c>
      <c r="P586" s="8" t="s">
        <v>368</v>
      </c>
    </row>
    <row r="587">
      <c r="A587" s="8" t="s">
        <v>450</v>
      </c>
      <c r="B587" s="8">
        <v>2008.0</v>
      </c>
      <c r="C587" s="8" t="s">
        <v>32</v>
      </c>
      <c r="D587" s="8" t="s">
        <v>370</v>
      </c>
      <c r="E587" s="8">
        <v>2050.0</v>
      </c>
      <c r="F587" s="8" t="s">
        <v>34</v>
      </c>
      <c r="G587" s="8" t="s">
        <v>42</v>
      </c>
      <c r="H587" s="8" t="s">
        <v>374</v>
      </c>
      <c r="I587" s="8">
        <v>0.95</v>
      </c>
      <c r="J587" s="8">
        <v>2.0</v>
      </c>
      <c r="K587" s="8">
        <v>294.0</v>
      </c>
      <c r="L587" s="8">
        <v>0.006802721</v>
      </c>
      <c r="M587" s="8">
        <v>294.0</v>
      </c>
      <c r="N587" s="8">
        <v>-4.983606622</v>
      </c>
      <c r="O587" s="8">
        <v>2.19</v>
      </c>
      <c r="P587" s="8" t="s">
        <v>368</v>
      </c>
    </row>
    <row r="588">
      <c r="A588" s="8" t="s">
        <v>450</v>
      </c>
      <c r="B588" s="8">
        <v>2008.0</v>
      </c>
      <c r="C588" s="8" t="s">
        <v>32</v>
      </c>
      <c r="D588" s="8" t="s">
        <v>370</v>
      </c>
      <c r="E588" s="8">
        <v>2050.0</v>
      </c>
      <c r="F588" s="8" t="s">
        <v>34</v>
      </c>
      <c r="G588" s="8" t="s">
        <v>42</v>
      </c>
      <c r="H588" s="8" t="s">
        <v>374</v>
      </c>
      <c r="I588" s="8">
        <v>0.85</v>
      </c>
      <c r="J588" s="8">
        <v>3.0</v>
      </c>
      <c r="K588" s="8">
        <v>294.0</v>
      </c>
      <c r="L588" s="8">
        <v>0.010204082</v>
      </c>
      <c r="M588" s="8">
        <v>294.0</v>
      </c>
      <c r="N588" s="8">
        <v>-4.574710979</v>
      </c>
      <c r="O588" s="8">
        <v>2.19</v>
      </c>
      <c r="P588" s="8" t="s">
        <v>368</v>
      </c>
    </row>
    <row r="589">
      <c r="A589" s="8" t="s">
        <v>450</v>
      </c>
      <c r="B589" s="8">
        <v>2008.0</v>
      </c>
      <c r="C589" s="8" t="s">
        <v>32</v>
      </c>
      <c r="D589" s="8" t="s">
        <v>370</v>
      </c>
      <c r="E589" s="8">
        <v>2050.0</v>
      </c>
      <c r="F589" s="8" t="s">
        <v>34</v>
      </c>
      <c r="G589" s="8" t="s">
        <v>42</v>
      </c>
      <c r="H589" s="8" t="s">
        <v>374</v>
      </c>
      <c r="I589" s="8">
        <v>0.95</v>
      </c>
      <c r="J589" s="8">
        <v>3.0</v>
      </c>
      <c r="K589" s="8">
        <v>294.0</v>
      </c>
      <c r="L589" s="8">
        <v>0.010204082</v>
      </c>
      <c r="M589" s="8">
        <v>294.0</v>
      </c>
      <c r="N589" s="8">
        <v>-4.574710979</v>
      </c>
      <c r="O589" s="8">
        <v>2.56</v>
      </c>
      <c r="P589" s="8" t="s">
        <v>368</v>
      </c>
    </row>
    <row r="590">
      <c r="A590" s="8" t="s">
        <v>450</v>
      </c>
      <c r="B590" s="8">
        <v>2008.0</v>
      </c>
      <c r="C590" s="8" t="s">
        <v>32</v>
      </c>
      <c r="D590" s="8" t="s">
        <v>370</v>
      </c>
      <c r="E590" s="8">
        <v>2050.0</v>
      </c>
      <c r="F590" s="8" t="s">
        <v>34</v>
      </c>
      <c r="G590" s="8" t="s">
        <v>42</v>
      </c>
      <c r="H590" s="8" t="s">
        <v>374</v>
      </c>
      <c r="I590" s="8">
        <v>0.85</v>
      </c>
      <c r="J590" s="8">
        <v>3.0</v>
      </c>
      <c r="K590" s="8">
        <v>294.0</v>
      </c>
      <c r="L590" s="8">
        <v>0.010204082</v>
      </c>
      <c r="M590" s="8">
        <v>294.0</v>
      </c>
      <c r="N590" s="8">
        <v>-4.574710979</v>
      </c>
      <c r="O590" s="8">
        <v>2.56</v>
      </c>
      <c r="P590" s="8" t="s">
        <v>368</v>
      </c>
    </row>
    <row r="591">
      <c r="A591" s="8" t="s">
        <v>450</v>
      </c>
      <c r="B591" s="8">
        <v>2008.0</v>
      </c>
      <c r="C591" s="8" t="s">
        <v>32</v>
      </c>
      <c r="D591" s="8" t="s">
        <v>370</v>
      </c>
      <c r="E591" s="8">
        <v>2050.0</v>
      </c>
      <c r="F591" s="8" t="s">
        <v>34</v>
      </c>
      <c r="G591" s="8" t="s">
        <v>42</v>
      </c>
      <c r="H591" s="8" t="s">
        <v>367</v>
      </c>
      <c r="I591" s="8">
        <v>0.95</v>
      </c>
      <c r="J591" s="8">
        <v>1.0</v>
      </c>
      <c r="K591" s="8">
        <v>294.0</v>
      </c>
      <c r="L591" s="8">
        <v>0.003401361</v>
      </c>
      <c r="M591" s="8">
        <v>294.0</v>
      </c>
      <c r="N591" s="8">
        <v>-5.680172609</v>
      </c>
      <c r="O591" s="8">
        <v>1.75</v>
      </c>
      <c r="P591" s="8" t="s">
        <v>368</v>
      </c>
    </row>
    <row r="592">
      <c r="A592" s="8" t="s">
        <v>450</v>
      </c>
      <c r="B592" s="8">
        <v>2008.0</v>
      </c>
      <c r="C592" s="8" t="s">
        <v>32</v>
      </c>
      <c r="D592" s="8" t="s">
        <v>370</v>
      </c>
      <c r="E592" s="8">
        <v>2050.0</v>
      </c>
      <c r="F592" s="8" t="s">
        <v>34</v>
      </c>
      <c r="G592" s="8" t="s">
        <v>42</v>
      </c>
      <c r="H592" s="8" t="s">
        <v>367</v>
      </c>
      <c r="I592" s="8">
        <v>0.85</v>
      </c>
      <c r="J592" s="8">
        <v>5.0</v>
      </c>
      <c r="K592" s="8">
        <v>294.0</v>
      </c>
      <c r="L592" s="8">
        <v>0.017006803</v>
      </c>
      <c r="M592" s="8">
        <v>294.0</v>
      </c>
      <c r="N592" s="8">
        <v>-4.056988776</v>
      </c>
      <c r="O592" s="8">
        <v>1.75</v>
      </c>
      <c r="P592" s="8" t="s">
        <v>368</v>
      </c>
    </row>
    <row r="593">
      <c r="A593" s="8" t="s">
        <v>450</v>
      </c>
      <c r="B593" s="8">
        <v>2008.0</v>
      </c>
      <c r="C593" s="8" t="s">
        <v>32</v>
      </c>
      <c r="D593" s="8" t="s">
        <v>370</v>
      </c>
      <c r="E593" s="8">
        <v>2050.0</v>
      </c>
      <c r="F593" s="8" t="s">
        <v>34</v>
      </c>
      <c r="G593" s="8" t="s">
        <v>42</v>
      </c>
      <c r="H593" s="8" t="s">
        <v>367</v>
      </c>
      <c r="I593" s="8">
        <v>0.95</v>
      </c>
      <c r="J593" s="8">
        <v>2.0</v>
      </c>
      <c r="K593" s="8">
        <v>294.0</v>
      </c>
      <c r="L593" s="8">
        <v>0.006802721</v>
      </c>
      <c r="M593" s="8">
        <v>294.0</v>
      </c>
      <c r="N593" s="8">
        <v>-4.983606622</v>
      </c>
      <c r="O593" s="8">
        <v>2.19</v>
      </c>
      <c r="P593" s="8" t="s">
        <v>368</v>
      </c>
    </row>
    <row r="594">
      <c r="A594" s="8" t="s">
        <v>450</v>
      </c>
      <c r="B594" s="8">
        <v>2008.0</v>
      </c>
      <c r="C594" s="8" t="s">
        <v>32</v>
      </c>
      <c r="D594" s="8" t="s">
        <v>370</v>
      </c>
      <c r="E594" s="8">
        <v>2050.0</v>
      </c>
      <c r="F594" s="8" t="s">
        <v>34</v>
      </c>
      <c r="G594" s="8" t="s">
        <v>42</v>
      </c>
      <c r="H594" s="8" t="s">
        <v>367</v>
      </c>
      <c r="I594" s="8">
        <v>0.85</v>
      </c>
      <c r="J594" s="8">
        <v>6.0</v>
      </c>
      <c r="K594" s="8">
        <v>294.0</v>
      </c>
      <c r="L594" s="8">
        <v>0.020408163</v>
      </c>
      <c r="M594" s="8">
        <v>294.0</v>
      </c>
      <c r="N594" s="8">
        <v>-3.871201011</v>
      </c>
      <c r="O594" s="8">
        <v>2.19</v>
      </c>
      <c r="P594" s="8" t="s">
        <v>368</v>
      </c>
    </row>
    <row r="595">
      <c r="A595" s="8" t="s">
        <v>450</v>
      </c>
      <c r="B595" s="8">
        <v>2008.0</v>
      </c>
      <c r="C595" s="8" t="s">
        <v>32</v>
      </c>
      <c r="D595" s="8" t="s">
        <v>370</v>
      </c>
      <c r="E595" s="8">
        <v>2050.0</v>
      </c>
      <c r="F595" s="8" t="s">
        <v>34</v>
      </c>
      <c r="G595" s="8" t="s">
        <v>42</v>
      </c>
      <c r="H595" s="8" t="s">
        <v>367</v>
      </c>
      <c r="I595" s="8">
        <v>0.95</v>
      </c>
      <c r="J595" s="8">
        <v>3.0</v>
      </c>
      <c r="K595" s="8">
        <v>294.0</v>
      </c>
      <c r="L595" s="8">
        <v>0.010204082</v>
      </c>
      <c r="M595" s="8">
        <v>294.0</v>
      </c>
      <c r="N595" s="8">
        <v>-4.574710979</v>
      </c>
      <c r="O595" s="8">
        <v>2.56</v>
      </c>
      <c r="P595" s="8" t="s">
        <v>368</v>
      </c>
    </row>
    <row r="596">
      <c r="A596" s="8" t="s">
        <v>450</v>
      </c>
      <c r="B596" s="8">
        <v>2008.0</v>
      </c>
      <c r="C596" s="8" t="s">
        <v>32</v>
      </c>
      <c r="D596" s="8" t="s">
        <v>370</v>
      </c>
      <c r="E596" s="8">
        <v>2050.0</v>
      </c>
      <c r="F596" s="8" t="s">
        <v>34</v>
      </c>
      <c r="G596" s="8" t="s">
        <v>42</v>
      </c>
      <c r="H596" s="8" t="s">
        <v>367</v>
      </c>
      <c r="I596" s="8">
        <v>0.85</v>
      </c>
      <c r="J596" s="8">
        <v>13.0</v>
      </c>
      <c r="K596" s="8">
        <v>294.0</v>
      </c>
      <c r="L596" s="8">
        <v>0.044217687</v>
      </c>
      <c r="M596" s="8">
        <v>294.0</v>
      </c>
      <c r="N596" s="8">
        <v>-3.073405312</v>
      </c>
      <c r="O596" s="8">
        <v>2.56</v>
      </c>
      <c r="P596" s="8" t="s">
        <v>368</v>
      </c>
    </row>
    <row r="597">
      <c r="A597" s="8" t="s">
        <v>450</v>
      </c>
      <c r="B597" s="8">
        <v>2008.0</v>
      </c>
      <c r="C597" s="8" t="s">
        <v>32</v>
      </c>
      <c r="D597" s="8" t="s">
        <v>370</v>
      </c>
      <c r="E597" s="8">
        <v>2080.0</v>
      </c>
      <c r="F597" s="8" t="s">
        <v>34</v>
      </c>
      <c r="G597" s="8" t="s">
        <v>42</v>
      </c>
      <c r="H597" s="8" t="s">
        <v>374</v>
      </c>
      <c r="I597" s="8">
        <v>0.95</v>
      </c>
      <c r="J597" s="8">
        <v>4.0</v>
      </c>
      <c r="K597" s="8">
        <v>294.0</v>
      </c>
      <c r="L597" s="8">
        <v>0.013605442</v>
      </c>
      <c r="M597" s="8">
        <v>294.0</v>
      </c>
      <c r="N597" s="8">
        <v>-4.283586562</v>
      </c>
      <c r="O597" s="8">
        <v>2.36</v>
      </c>
      <c r="P597" s="8" t="s">
        <v>368</v>
      </c>
    </row>
    <row r="598">
      <c r="A598" s="8" t="s">
        <v>450</v>
      </c>
      <c r="B598" s="8">
        <v>2008.0</v>
      </c>
      <c r="C598" s="8" t="s">
        <v>32</v>
      </c>
      <c r="D598" s="8" t="s">
        <v>370</v>
      </c>
      <c r="E598" s="8">
        <v>2080.0</v>
      </c>
      <c r="F598" s="8" t="s">
        <v>34</v>
      </c>
      <c r="G598" s="8" t="s">
        <v>42</v>
      </c>
      <c r="H598" s="8" t="s">
        <v>374</v>
      </c>
      <c r="I598" s="8">
        <v>0.85</v>
      </c>
      <c r="J598" s="8">
        <v>10.0</v>
      </c>
      <c r="K598" s="8">
        <v>294.0</v>
      </c>
      <c r="L598" s="8">
        <v>0.034013605</v>
      </c>
      <c r="M598" s="8">
        <v>294.0</v>
      </c>
      <c r="N598" s="8">
        <v>-3.346389145</v>
      </c>
      <c r="O598" s="8">
        <v>2.36</v>
      </c>
      <c r="P598" s="8" t="s">
        <v>368</v>
      </c>
    </row>
    <row r="599">
      <c r="A599" s="8" t="s">
        <v>450</v>
      </c>
      <c r="B599" s="8">
        <v>2008.0</v>
      </c>
      <c r="C599" s="8" t="s">
        <v>32</v>
      </c>
      <c r="D599" s="8" t="s">
        <v>370</v>
      </c>
      <c r="E599" s="8">
        <v>2080.0</v>
      </c>
      <c r="F599" s="8" t="s">
        <v>34</v>
      </c>
      <c r="G599" s="8" t="s">
        <v>42</v>
      </c>
      <c r="H599" s="8" t="s">
        <v>374</v>
      </c>
      <c r="I599" s="8">
        <v>0.95</v>
      </c>
      <c r="J599" s="8">
        <v>10.0</v>
      </c>
      <c r="K599" s="8">
        <v>294.0</v>
      </c>
      <c r="L599" s="8">
        <v>0.034013605</v>
      </c>
      <c r="M599" s="8">
        <v>294.0</v>
      </c>
      <c r="N599" s="8">
        <v>-3.346389145</v>
      </c>
      <c r="O599" s="8">
        <v>3.57</v>
      </c>
      <c r="P599" s="8" t="s">
        <v>368</v>
      </c>
    </row>
    <row r="600">
      <c r="A600" s="8" t="s">
        <v>450</v>
      </c>
      <c r="B600" s="8">
        <v>2008.0</v>
      </c>
      <c r="C600" s="8" t="s">
        <v>32</v>
      </c>
      <c r="D600" s="8" t="s">
        <v>370</v>
      </c>
      <c r="E600" s="8">
        <v>2080.0</v>
      </c>
      <c r="F600" s="8" t="s">
        <v>34</v>
      </c>
      <c r="G600" s="8" t="s">
        <v>42</v>
      </c>
      <c r="H600" s="8" t="s">
        <v>374</v>
      </c>
      <c r="I600" s="8">
        <v>0.85</v>
      </c>
      <c r="J600" s="8">
        <v>18.0</v>
      </c>
      <c r="K600" s="8">
        <v>294.0</v>
      </c>
      <c r="L600" s="8">
        <v>0.06122449</v>
      </c>
      <c r="M600" s="8">
        <v>294.0</v>
      </c>
      <c r="N600" s="8">
        <v>-2.730029108</v>
      </c>
      <c r="O600" s="8">
        <v>3.57</v>
      </c>
      <c r="P600" s="8" t="s">
        <v>368</v>
      </c>
    </row>
    <row r="601">
      <c r="A601" s="8" t="s">
        <v>450</v>
      </c>
      <c r="B601" s="8">
        <v>2008.0</v>
      </c>
      <c r="C601" s="8" t="s">
        <v>32</v>
      </c>
      <c r="D601" s="8" t="s">
        <v>370</v>
      </c>
      <c r="E601" s="8">
        <v>2080.0</v>
      </c>
      <c r="F601" s="8" t="s">
        <v>34</v>
      </c>
      <c r="G601" s="8" t="s">
        <v>42</v>
      </c>
      <c r="H601" s="8" t="s">
        <v>374</v>
      </c>
      <c r="I601" s="8">
        <v>0.95</v>
      </c>
      <c r="J601" s="8">
        <v>14.0</v>
      </c>
      <c r="K601" s="8">
        <v>294.0</v>
      </c>
      <c r="L601" s="8">
        <v>0.047619048</v>
      </c>
      <c r="M601" s="8">
        <v>294.0</v>
      </c>
      <c r="N601" s="8">
        <v>-2.995732274</v>
      </c>
      <c r="O601" s="8">
        <v>4.27</v>
      </c>
      <c r="P601" s="8" t="s">
        <v>368</v>
      </c>
    </row>
    <row r="602">
      <c r="A602" s="8" t="s">
        <v>450</v>
      </c>
      <c r="B602" s="8">
        <v>2008.0</v>
      </c>
      <c r="C602" s="8" t="s">
        <v>32</v>
      </c>
      <c r="D602" s="8" t="s">
        <v>370</v>
      </c>
      <c r="E602" s="8">
        <v>2080.0</v>
      </c>
      <c r="F602" s="8" t="s">
        <v>34</v>
      </c>
      <c r="G602" s="8" t="s">
        <v>42</v>
      </c>
      <c r="H602" s="8" t="s">
        <v>374</v>
      </c>
      <c r="I602" s="8">
        <v>0.85</v>
      </c>
      <c r="J602" s="8">
        <v>18.0</v>
      </c>
      <c r="K602" s="8">
        <v>294.0</v>
      </c>
      <c r="L602" s="8">
        <v>0.06122449</v>
      </c>
      <c r="M602" s="8">
        <v>294.0</v>
      </c>
      <c r="N602" s="8">
        <v>-2.730029108</v>
      </c>
      <c r="O602" s="8">
        <v>4.27</v>
      </c>
      <c r="P602" s="8" t="s">
        <v>368</v>
      </c>
    </row>
    <row r="603">
      <c r="A603" s="8" t="s">
        <v>450</v>
      </c>
      <c r="B603" s="8">
        <v>2008.0</v>
      </c>
      <c r="C603" s="8" t="s">
        <v>32</v>
      </c>
      <c r="D603" s="8" t="s">
        <v>370</v>
      </c>
      <c r="E603" s="8">
        <v>2080.0</v>
      </c>
      <c r="F603" s="8" t="s">
        <v>34</v>
      </c>
      <c r="G603" s="8" t="s">
        <v>42</v>
      </c>
      <c r="H603" s="8" t="s">
        <v>367</v>
      </c>
      <c r="I603" s="8">
        <v>0.95</v>
      </c>
      <c r="J603" s="8">
        <v>8.0</v>
      </c>
      <c r="K603" s="8">
        <v>294.0</v>
      </c>
      <c r="L603" s="8">
        <v>0.027210884</v>
      </c>
      <c r="M603" s="8">
        <v>294.0</v>
      </c>
      <c r="N603" s="8">
        <v>-3.576550269</v>
      </c>
      <c r="O603" s="8">
        <v>2.36</v>
      </c>
      <c r="P603" s="8" t="s">
        <v>368</v>
      </c>
    </row>
    <row r="604">
      <c r="A604" s="8" t="s">
        <v>450</v>
      </c>
      <c r="B604" s="8">
        <v>2008.0</v>
      </c>
      <c r="C604" s="8" t="s">
        <v>32</v>
      </c>
      <c r="D604" s="8" t="s">
        <v>370</v>
      </c>
      <c r="E604" s="8">
        <v>2080.0</v>
      </c>
      <c r="F604" s="8" t="s">
        <v>34</v>
      </c>
      <c r="G604" s="8" t="s">
        <v>42</v>
      </c>
      <c r="H604" s="8" t="s">
        <v>367</v>
      </c>
      <c r="I604" s="8">
        <v>0.85</v>
      </c>
      <c r="J604" s="8">
        <v>32.0</v>
      </c>
      <c r="K604" s="8">
        <v>294.0</v>
      </c>
      <c r="L604" s="8">
        <v>0.108843537</v>
      </c>
      <c r="M604" s="8">
        <v>294.0</v>
      </c>
      <c r="N604" s="8">
        <v>-2.102608601</v>
      </c>
      <c r="O604" s="8">
        <v>2.36</v>
      </c>
      <c r="P604" s="8" t="s">
        <v>368</v>
      </c>
    </row>
    <row r="605">
      <c r="A605" s="8" t="s">
        <v>450</v>
      </c>
      <c r="B605" s="8">
        <v>2008.0</v>
      </c>
      <c r="C605" s="8" t="s">
        <v>32</v>
      </c>
      <c r="D605" s="8" t="s">
        <v>370</v>
      </c>
      <c r="E605" s="8">
        <v>2080.0</v>
      </c>
      <c r="F605" s="8" t="s">
        <v>34</v>
      </c>
      <c r="G605" s="8" t="s">
        <v>42</v>
      </c>
      <c r="H605" s="8" t="s">
        <v>367</v>
      </c>
      <c r="I605" s="8">
        <v>0.95</v>
      </c>
      <c r="J605" s="8">
        <v>26.0</v>
      </c>
      <c r="K605" s="8">
        <v>294.0</v>
      </c>
      <c r="L605" s="8">
        <v>0.088435374</v>
      </c>
      <c r="M605" s="8">
        <v>294.0</v>
      </c>
      <c r="N605" s="8">
        <v>-2.332890442</v>
      </c>
      <c r="O605" s="8">
        <v>3.57</v>
      </c>
      <c r="P605" s="8" t="s">
        <v>368</v>
      </c>
    </row>
    <row r="606">
      <c r="A606" s="8" t="s">
        <v>450</v>
      </c>
      <c r="B606" s="8">
        <v>2008.0</v>
      </c>
      <c r="C606" s="8" t="s">
        <v>32</v>
      </c>
      <c r="D606" s="8" t="s">
        <v>370</v>
      </c>
      <c r="E606" s="8">
        <v>2080.0</v>
      </c>
      <c r="F606" s="8" t="s">
        <v>34</v>
      </c>
      <c r="G606" s="8" t="s">
        <v>42</v>
      </c>
      <c r="H606" s="8" t="s">
        <v>367</v>
      </c>
      <c r="I606" s="8">
        <v>0.85</v>
      </c>
      <c r="J606" s="8">
        <v>65.0</v>
      </c>
      <c r="K606" s="8">
        <v>294.0</v>
      </c>
      <c r="L606" s="8">
        <v>0.221088435</v>
      </c>
      <c r="M606" s="8">
        <v>294.0</v>
      </c>
      <c r="N606" s="8">
        <v>-1.259334734</v>
      </c>
      <c r="O606" s="8">
        <v>3.57</v>
      </c>
      <c r="P606" s="8" t="s">
        <v>368</v>
      </c>
    </row>
    <row r="607">
      <c r="A607" s="8" t="s">
        <v>450</v>
      </c>
      <c r="B607" s="8">
        <v>2008.0</v>
      </c>
      <c r="C607" s="8" t="s">
        <v>32</v>
      </c>
      <c r="D607" s="8" t="s">
        <v>370</v>
      </c>
      <c r="E607" s="8">
        <v>2080.0</v>
      </c>
      <c r="F607" s="8" t="s">
        <v>34</v>
      </c>
      <c r="G607" s="8" t="s">
        <v>42</v>
      </c>
      <c r="H607" s="8" t="s">
        <v>367</v>
      </c>
      <c r="I607" s="8">
        <v>0.95</v>
      </c>
      <c r="J607" s="8">
        <v>59.0</v>
      </c>
      <c r="K607" s="8">
        <v>294.0</v>
      </c>
      <c r="L607" s="8">
        <v>0.200680272</v>
      </c>
      <c r="M607" s="8">
        <v>294.0</v>
      </c>
      <c r="N607" s="8">
        <v>-1.38204807</v>
      </c>
      <c r="O607" s="8">
        <v>4.27</v>
      </c>
      <c r="P607" s="8" t="s">
        <v>368</v>
      </c>
    </row>
    <row r="608">
      <c r="A608" s="8" t="s">
        <v>450</v>
      </c>
      <c r="B608" s="8">
        <v>2008.0</v>
      </c>
      <c r="C608" s="8" t="s">
        <v>32</v>
      </c>
      <c r="D608" s="8" t="s">
        <v>370</v>
      </c>
      <c r="E608" s="8">
        <v>2080.0</v>
      </c>
      <c r="F608" s="8" t="s">
        <v>34</v>
      </c>
      <c r="G608" s="8" t="s">
        <v>42</v>
      </c>
      <c r="H608" s="8" t="s">
        <v>367</v>
      </c>
      <c r="I608" s="8">
        <v>0.85</v>
      </c>
      <c r="J608" s="8">
        <v>98.0</v>
      </c>
      <c r="K608" s="8">
        <v>294.0</v>
      </c>
      <c r="L608" s="8">
        <v>0.333333333</v>
      </c>
      <c r="M608" s="8">
        <v>294.0</v>
      </c>
      <c r="N608" s="8">
        <v>-0.693147181</v>
      </c>
      <c r="O608" s="8">
        <v>4.27</v>
      </c>
      <c r="P608" s="8" t="s">
        <v>368</v>
      </c>
    </row>
    <row r="609">
      <c r="A609" s="8" t="s">
        <v>451</v>
      </c>
      <c r="B609" s="8">
        <v>2008.0</v>
      </c>
      <c r="C609" s="8" t="s">
        <v>32</v>
      </c>
      <c r="D609" s="8" t="s">
        <v>371</v>
      </c>
      <c r="E609" s="8">
        <v>2080.0</v>
      </c>
      <c r="F609" s="8" t="s">
        <v>34</v>
      </c>
      <c r="G609" s="8" t="s">
        <v>42</v>
      </c>
      <c r="H609" s="8" t="s">
        <v>374</v>
      </c>
      <c r="I609" s="8">
        <v>1.0</v>
      </c>
      <c r="J609" s="8">
        <v>7.0</v>
      </c>
      <c r="K609" s="8">
        <v>20.0</v>
      </c>
      <c r="L609" s="8">
        <v>0.35</v>
      </c>
      <c r="M609" s="8">
        <v>20.0</v>
      </c>
      <c r="N609" s="8">
        <v>-0.619039208</v>
      </c>
      <c r="O609" s="8">
        <v>2.36</v>
      </c>
      <c r="P609" s="8" t="s">
        <v>368</v>
      </c>
    </row>
    <row r="610">
      <c r="A610" s="8" t="s">
        <v>451</v>
      </c>
      <c r="B610" s="8">
        <v>2008.0</v>
      </c>
      <c r="C610" s="8" t="s">
        <v>32</v>
      </c>
      <c r="D610" s="8" t="s">
        <v>371</v>
      </c>
      <c r="E610" s="8">
        <v>2080.0</v>
      </c>
      <c r="F610" s="8" t="s">
        <v>34</v>
      </c>
      <c r="G610" s="8" t="s">
        <v>42</v>
      </c>
      <c r="H610" s="8" t="s">
        <v>374</v>
      </c>
      <c r="I610" s="8">
        <v>1.0</v>
      </c>
      <c r="J610" s="8">
        <v>8.0</v>
      </c>
      <c r="K610" s="8">
        <v>20.0</v>
      </c>
      <c r="L610" s="8">
        <v>0.4</v>
      </c>
      <c r="M610" s="8">
        <v>20.0</v>
      </c>
      <c r="N610" s="8">
        <v>-0.405465108</v>
      </c>
      <c r="O610" s="8">
        <v>3.6</v>
      </c>
      <c r="P610" s="8" t="s">
        <v>368</v>
      </c>
    </row>
    <row r="611">
      <c r="A611" s="8" t="s">
        <v>452</v>
      </c>
      <c r="B611" s="8">
        <v>2008.0</v>
      </c>
      <c r="C611" s="8" t="s">
        <v>32</v>
      </c>
      <c r="D611" s="8" t="s">
        <v>371</v>
      </c>
      <c r="E611" s="8">
        <v>2065.0</v>
      </c>
      <c r="F611" s="8" t="s">
        <v>34</v>
      </c>
      <c r="G611" s="8" t="s">
        <v>42</v>
      </c>
      <c r="H611" s="8" t="s">
        <v>374</v>
      </c>
      <c r="I611" s="8">
        <v>1.0</v>
      </c>
      <c r="J611" s="8">
        <v>25.0</v>
      </c>
      <c r="K611" s="8">
        <v>845.0</v>
      </c>
      <c r="L611" s="8">
        <v>0.029585799</v>
      </c>
      <c r="M611" s="8">
        <v>845.0</v>
      </c>
      <c r="N611" s="8">
        <v>-3.490428515</v>
      </c>
      <c r="O611" s="8">
        <v>4.1</v>
      </c>
      <c r="P611" s="8" t="s">
        <v>368</v>
      </c>
    </row>
    <row r="612">
      <c r="A612" s="8" t="s">
        <v>386</v>
      </c>
      <c r="B612" s="8">
        <v>2008.0</v>
      </c>
      <c r="C612" s="8" t="s">
        <v>365</v>
      </c>
      <c r="D612" s="8" t="s">
        <v>371</v>
      </c>
      <c r="E612" s="8">
        <v>2100.0</v>
      </c>
      <c r="F612" s="8" t="s">
        <v>34</v>
      </c>
      <c r="G612" s="8" t="s">
        <v>42</v>
      </c>
      <c r="H612" s="8" t="s">
        <v>374</v>
      </c>
      <c r="I612" s="8">
        <v>1.0</v>
      </c>
      <c r="J612" s="8">
        <v>0.0</v>
      </c>
      <c r="K612" s="8">
        <v>134.0</v>
      </c>
      <c r="L612" s="8">
        <v>0.0</v>
      </c>
      <c r="M612" s="8">
        <v>134.0</v>
      </c>
      <c r="N612" s="8">
        <v>-5.59471138</v>
      </c>
      <c r="O612" s="8">
        <v>1.4</v>
      </c>
      <c r="P612" s="8" t="s">
        <v>368</v>
      </c>
    </row>
    <row r="613">
      <c r="A613" s="8" t="s">
        <v>386</v>
      </c>
      <c r="B613" s="8">
        <v>2008.0</v>
      </c>
      <c r="C613" s="8" t="s">
        <v>365</v>
      </c>
      <c r="D613" s="8" t="s">
        <v>371</v>
      </c>
      <c r="E613" s="8">
        <v>2100.0</v>
      </c>
      <c r="F613" s="8" t="s">
        <v>34</v>
      </c>
      <c r="G613" s="8" t="s">
        <v>42</v>
      </c>
      <c r="H613" s="8" t="s">
        <v>374</v>
      </c>
      <c r="I613" s="8">
        <v>0.95</v>
      </c>
      <c r="J613" s="8">
        <v>0.0</v>
      </c>
      <c r="K613" s="8">
        <v>134.0</v>
      </c>
      <c r="L613" s="8">
        <v>0.0</v>
      </c>
      <c r="M613" s="8">
        <v>134.0</v>
      </c>
      <c r="N613" s="8">
        <v>-5.59471138</v>
      </c>
      <c r="O613" s="8">
        <v>1.4</v>
      </c>
      <c r="P613" s="8" t="s">
        <v>368</v>
      </c>
    </row>
    <row r="614">
      <c r="A614" s="8" t="s">
        <v>386</v>
      </c>
      <c r="B614" s="8">
        <v>2008.0</v>
      </c>
      <c r="C614" s="8" t="s">
        <v>365</v>
      </c>
      <c r="D614" s="8" t="s">
        <v>371</v>
      </c>
      <c r="E614" s="8">
        <v>2100.0</v>
      </c>
      <c r="F614" s="8" t="s">
        <v>34</v>
      </c>
      <c r="G614" s="8" t="s">
        <v>42</v>
      </c>
      <c r="H614" s="8" t="s">
        <v>374</v>
      </c>
      <c r="I614" s="8">
        <v>0.8</v>
      </c>
      <c r="J614" s="8">
        <v>0.0</v>
      </c>
      <c r="K614" s="8">
        <v>134.0</v>
      </c>
      <c r="L614" s="8">
        <v>0.0</v>
      </c>
      <c r="M614" s="8">
        <v>134.0</v>
      </c>
      <c r="N614" s="8">
        <v>-5.59471138</v>
      </c>
      <c r="O614" s="8">
        <v>1.4</v>
      </c>
      <c r="P614" s="8" t="s">
        <v>368</v>
      </c>
    </row>
    <row r="615">
      <c r="A615" s="8" t="s">
        <v>386</v>
      </c>
      <c r="B615" s="8">
        <v>2008.0</v>
      </c>
      <c r="C615" s="8" t="s">
        <v>365</v>
      </c>
      <c r="D615" s="8" t="s">
        <v>371</v>
      </c>
      <c r="E615" s="8">
        <v>2100.0</v>
      </c>
      <c r="F615" s="8" t="s">
        <v>34</v>
      </c>
      <c r="G615" s="8" t="s">
        <v>42</v>
      </c>
      <c r="H615" s="8" t="s">
        <v>374</v>
      </c>
      <c r="I615" s="8">
        <v>1.0</v>
      </c>
      <c r="J615" s="8">
        <v>0.0</v>
      </c>
      <c r="K615" s="8">
        <v>134.0</v>
      </c>
      <c r="L615" s="8">
        <v>0.0</v>
      </c>
      <c r="M615" s="8">
        <v>134.0</v>
      </c>
      <c r="N615" s="8">
        <v>-5.59471138</v>
      </c>
      <c r="O615" s="8">
        <v>5.2</v>
      </c>
      <c r="P615" s="8" t="s">
        <v>368</v>
      </c>
    </row>
    <row r="616">
      <c r="A616" s="8" t="s">
        <v>386</v>
      </c>
      <c r="B616" s="8">
        <v>2008.0</v>
      </c>
      <c r="C616" s="8" t="s">
        <v>365</v>
      </c>
      <c r="D616" s="8" t="s">
        <v>371</v>
      </c>
      <c r="E616" s="8">
        <v>2100.0</v>
      </c>
      <c r="F616" s="8" t="s">
        <v>34</v>
      </c>
      <c r="G616" s="8" t="s">
        <v>42</v>
      </c>
      <c r="H616" s="8" t="s">
        <v>374</v>
      </c>
      <c r="I616" s="8">
        <v>0.95</v>
      </c>
      <c r="J616" s="8">
        <v>0.0</v>
      </c>
      <c r="K616" s="8">
        <v>134.0</v>
      </c>
      <c r="L616" s="8">
        <v>0.0</v>
      </c>
      <c r="M616" s="8">
        <v>134.0</v>
      </c>
      <c r="N616" s="8">
        <v>-5.59471138</v>
      </c>
      <c r="O616" s="8">
        <v>5.2</v>
      </c>
      <c r="P616" s="8" t="s">
        <v>368</v>
      </c>
    </row>
    <row r="617">
      <c r="A617" s="8" t="s">
        <v>386</v>
      </c>
      <c r="B617" s="8">
        <v>2008.0</v>
      </c>
      <c r="C617" s="8" t="s">
        <v>365</v>
      </c>
      <c r="D617" s="8" t="s">
        <v>371</v>
      </c>
      <c r="E617" s="8">
        <v>2100.0</v>
      </c>
      <c r="F617" s="8" t="s">
        <v>34</v>
      </c>
      <c r="G617" s="8" t="s">
        <v>42</v>
      </c>
      <c r="H617" s="8" t="s">
        <v>374</v>
      </c>
      <c r="I617" s="8">
        <v>0.8</v>
      </c>
      <c r="J617" s="8">
        <v>0.0</v>
      </c>
      <c r="K617" s="8">
        <v>134.0</v>
      </c>
      <c r="L617" s="8">
        <v>0.0</v>
      </c>
      <c r="M617" s="8">
        <v>134.0</v>
      </c>
      <c r="N617" s="8">
        <v>-5.59471138</v>
      </c>
      <c r="O617" s="8">
        <v>5.2</v>
      </c>
      <c r="P617" s="8" t="s">
        <v>368</v>
      </c>
    </row>
    <row r="618">
      <c r="A618" s="8" t="s">
        <v>378</v>
      </c>
      <c r="B618" s="8">
        <v>2008.0</v>
      </c>
      <c r="C618" s="8" t="s">
        <v>32</v>
      </c>
      <c r="D618" s="8" t="s">
        <v>375</v>
      </c>
      <c r="E618" s="8">
        <v>2085.0</v>
      </c>
      <c r="F618" s="8" t="s">
        <v>34</v>
      </c>
      <c r="G618" s="8" t="s">
        <v>42</v>
      </c>
      <c r="H618" s="8" t="s">
        <v>374</v>
      </c>
      <c r="I618" s="8">
        <v>1.0</v>
      </c>
      <c r="J618" s="8">
        <v>12.0</v>
      </c>
      <c r="K618" s="8">
        <v>431.0</v>
      </c>
      <c r="L618" s="8">
        <v>0.027842227</v>
      </c>
      <c r="M618" s="8">
        <v>431.0</v>
      </c>
      <c r="N618" s="8">
        <v>-3.55296427</v>
      </c>
      <c r="O618" s="8">
        <v>3.4</v>
      </c>
      <c r="P618" s="8" t="s">
        <v>368</v>
      </c>
    </row>
    <row r="619">
      <c r="A619" s="8" t="s">
        <v>378</v>
      </c>
      <c r="B619" s="8">
        <v>2008.0</v>
      </c>
      <c r="C619" s="8" t="s">
        <v>32</v>
      </c>
      <c r="D619" s="8" t="s">
        <v>375</v>
      </c>
      <c r="E619" s="8">
        <v>2085.0</v>
      </c>
      <c r="F619" s="8" t="s">
        <v>34</v>
      </c>
      <c r="G619" s="8" t="s">
        <v>42</v>
      </c>
      <c r="H619" s="8" t="s">
        <v>374</v>
      </c>
      <c r="I619" s="8">
        <v>0.9</v>
      </c>
      <c r="J619" s="8">
        <v>16.0</v>
      </c>
      <c r="K619" s="8">
        <v>431.0</v>
      </c>
      <c r="L619" s="8">
        <v>0.03712297</v>
      </c>
      <c r="M619" s="8">
        <v>431.0</v>
      </c>
      <c r="N619" s="8">
        <v>-3.255689798</v>
      </c>
      <c r="O619" s="8">
        <v>3.4</v>
      </c>
      <c r="P619" s="8" t="s">
        <v>368</v>
      </c>
    </row>
    <row r="620">
      <c r="A620" s="8" t="s">
        <v>378</v>
      </c>
      <c r="B620" s="8">
        <v>2008.0</v>
      </c>
      <c r="C620" s="8" t="s">
        <v>32</v>
      </c>
      <c r="D620" s="8" t="s">
        <v>375</v>
      </c>
      <c r="E620" s="8">
        <v>2085.0</v>
      </c>
      <c r="F620" s="8" t="s">
        <v>34</v>
      </c>
      <c r="G620" s="8" t="s">
        <v>42</v>
      </c>
      <c r="H620" s="8" t="s">
        <v>367</v>
      </c>
      <c r="I620" s="8">
        <v>1.0</v>
      </c>
      <c r="J620" s="8">
        <v>44.0</v>
      </c>
      <c r="K620" s="8">
        <v>431.0</v>
      </c>
      <c r="L620" s="8">
        <v>0.102088167</v>
      </c>
      <c r="M620" s="8">
        <v>431.0</v>
      </c>
      <c r="N620" s="8">
        <v>-2.174235059</v>
      </c>
      <c r="O620" s="8">
        <v>3.4</v>
      </c>
      <c r="P620" s="8" t="s">
        <v>368</v>
      </c>
    </row>
    <row r="621">
      <c r="A621" s="8" t="s">
        <v>378</v>
      </c>
      <c r="B621" s="8">
        <v>2008.0</v>
      </c>
      <c r="C621" s="8" t="s">
        <v>32</v>
      </c>
      <c r="D621" s="8" t="s">
        <v>375</v>
      </c>
      <c r="E621" s="8">
        <v>2085.0</v>
      </c>
      <c r="F621" s="8" t="s">
        <v>34</v>
      </c>
      <c r="G621" s="8" t="s">
        <v>42</v>
      </c>
      <c r="H621" s="8" t="s">
        <v>367</v>
      </c>
      <c r="I621" s="8">
        <v>0.9</v>
      </c>
      <c r="J621" s="8">
        <v>57.0</v>
      </c>
      <c r="K621" s="8">
        <v>431.0</v>
      </c>
      <c r="L621" s="8">
        <v>0.13225058</v>
      </c>
      <c r="M621" s="8">
        <v>431.0</v>
      </c>
      <c r="N621" s="8">
        <v>-1.88120453</v>
      </c>
      <c r="O621" s="8">
        <v>3.4</v>
      </c>
      <c r="P621" s="8" t="s">
        <v>368</v>
      </c>
    </row>
    <row r="622">
      <c r="A622" s="8" t="s">
        <v>378</v>
      </c>
      <c r="B622" s="8">
        <v>2008.0</v>
      </c>
      <c r="C622" s="8" t="s">
        <v>32</v>
      </c>
      <c r="D622" s="8" t="s">
        <v>375</v>
      </c>
      <c r="E622" s="8">
        <v>2085.0</v>
      </c>
      <c r="F622" s="8" t="s">
        <v>34</v>
      </c>
      <c r="G622" s="8" t="s">
        <v>42</v>
      </c>
      <c r="H622" s="8" t="s">
        <v>374</v>
      </c>
      <c r="I622" s="8">
        <v>1.0</v>
      </c>
      <c r="J622" s="8">
        <v>10.0</v>
      </c>
      <c r="K622" s="8">
        <v>431.0</v>
      </c>
      <c r="L622" s="8">
        <v>0.023201856</v>
      </c>
      <c r="M622" s="8">
        <v>431.0</v>
      </c>
      <c r="N622" s="8">
        <v>-3.740047741</v>
      </c>
      <c r="O622" s="8">
        <v>2.6</v>
      </c>
      <c r="P622" s="8" t="s">
        <v>368</v>
      </c>
    </row>
    <row r="623">
      <c r="A623" s="8" t="s">
        <v>378</v>
      </c>
      <c r="B623" s="8">
        <v>2008.0</v>
      </c>
      <c r="C623" s="8" t="s">
        <v>32</v>
      </c>
      <c r="D623" s="8" t="s">
        <v>375</v>
      </c>
      <c r="E623" s="8">
        <v>2085.0</v>
      </c>
      <c r="F623" s="8" t="s">
        <v>34</v>
      </c>
      <c r="G623" s="8" t="s">
        <v>42</v>
      </c>
      <c r="H623" s="8" t="s">
        <v>374</v>
      </c>
      <c r="I623" s="8">
        <v>0.9</v>
      </c>
      <c r="J623" s="8">
        <v>6.0</v>
      </c>
      <c r="K623" s="8">
        <v>431.0</v>
      </c>
      <c r="L623" s="8">
        <v>0.013921114</v>
      </c>
      <c r="M623" s="8">
        <v>431.0</v>
      </c>
      <c r="N623" s="8">
        <v>-4.2603297</v>
      </c>
      <c r="O623" s="8">
        <v>2.6</v>
      </c>
      <c r="P623" s="8" t="s">
        <v>368</v>
      </c>
    </row>
    <row r="624">
      <c r="A624" s="8" t="s">
        <v>378</v>
      </c>
      <c r="B624" s="8">
        <v>2008.0</v>
      </c>
      <c r="C624" s="8" t="s">
        <v>32</v>
      </c>
      <c r="D624" s="8" t="s">
        <v>375</v>
      </c>
      <c r="E624" s="8">
        <v>2085.0</v>
      </c>
      <c r="F624" s="8" t="s">
        <v>34</v>
      </c>
      <c r="G624" s="8" t="s">
        <v>42</v>
      </c>
      <c r="H624" s="8" t="s">
        <v>367</v>
      </c>
      <c r="I624" s="8">
        <v>1.0</v>
      </c>
      <c r="J624" s="8">
        <v>28.0</v>
      </c>
      <c r="K624" s="8">
        <v>431.0</v>
      </c>
      <c r="L624" s="8">
        <v>0.064965197</v>
      </c>
      <c r="M624" s="8">
        <v>431.0</v>
      </c>
      <c r="N624" s="8">
        <v>-2.666732052</v>
      </c>
      <c r="O624" s="8">
        <v>2.6</v>
      </c>
      <c r="P624" s="8" t="s">
        <v>368</v>
      </c>
    </row>
    <row r="625">
      <c r="A625" s="8" t="s">
        <v>378</v>
      </c>
      <c r="B625" s="8">
        <v>2008.0</v>
      </c>
      <c r="C625" s="8" t="s">
        <v>32</v>
      </c>
      <c r="D625" s="8" t="s">
        <v>375</v>
      </c>
      <c r="E625" s="8">
        <v>2085.0</v>
      </c>
      <c r="F625" s="8" t="s">
        <v>34</v>
      </c>
      <c r="G625" s="8" t="s">
        <v>42</v>
      </c>
      <c r="H625" s="8" t="s">
        <v>367</v>
      </c>
      <c r="I625" s="8">
        <v>0.9</v>
      </c>
      <c r="J625" s="8">
        <v>42.0</v>
      </c>
      <c r="K625" s="8">
        <v>431.0</v>
      </c>
      <c r="L625" s="8">
        <v>0.097447796</v>
      </c>
      <c r="M625" s="8">
        <v>431.0</v>
      </c>
      <c r="N625" s="8">
        <v>-2.225909725</v>
      </c>
      <c r="O625" s="8">
        <v>2.6</v>
      </c>
      <c r="P625" s="8" t="s">
        <v>368</v>
      </c>
    </row>
    <row r="626">
      <c r="A626" s="8" t="s">
        <v>453</v>
      </c>
      <c r="B626" s="8">
        <v>2008.0</v>
      </c>
      <c r="C626" s="8" t="s">
        <v>373</v>
      </c>
      <c r="D626" s="8" t="s">
        <v>366</v>
      </c>
      <c r="E626" s="8">
        <v>2030.0</v>
      </c>
      <c r="F626" s="8" t="s">
        <v>34</v>
      </c>
      <c r="G626" s="8" t="s">
        <v>42</v>
      </c>
      <c r="H626" s="8" t="s">
        <v>367</v>
      </c>
      <c r="I626" s="8">
        <v>1.0</v>
      </c>
      <c r="J626" s="8">
        <v>0.0</v>
      </c>
      <c r="K626" s="8">
        <v>4.0</v>
      </c>
      <c r="L626" s="8">
        <v>0.0</v>
      </c>
      <c r="M626" s="8">
        <v>4.0</v>
      </c>
      <c r="N626" s="8">
        <v>-2.197224577</v>
      </c>
      <c r="O626" s="8">
        <v>1.0</v>
      </c>
      <c r="P626" s="8" t="s">
        <v>71</v>
      </c>
    </row>
    <row r="627">
      <c r="A627" s="8" t="s">
        <v>453</v>
      </c>
      <c r="B627" s="8">
        <v>2008.0</v>
      </c>
      <c r="C627" s="8" t="s">
        <v>373</v>
      </c>
      <c r="D627" s="8" t="s">
        <v>366</v>
      </c>
      <c r="E627" s="8">
        <v>2030.0</v>
      </c>
      <c r="F627" s="8" t="s">
        <v>34</v>
      </c>
      <c r="G627" s="8" t="s">
        <v>42</v>
      </c>
      <c r="H627" s="8" t="s">
        <v>367</v>
      </c>
      <c r="I627" s="8">
        <v>0.95</v>
      </c>
      <c r="J627" s="8">
        <v>0.0</v>
      </c>
      <c r="K627" s="8">
        <v>4.0</v>
      </c>
      <c r="L627" s="8">
        <v>0.0</v>
      </c>
      <c r="M627" s="8">
        <v>4.0</v>
      </c>
      <c r="N627" s="8">
        <v>-2.197224577</v>
      </c>
      <c r="O627" s="8">
        <v>1.0</v>
      </c>
      <c r="P627" s="8" t="s">
        <v>71</v>
      </c>
    </row>
    <row r="628">
      <c r="A628" s="8" t="s">
        <v>453</v>
      </c>
      <c r="B628" s="8">
        <v>2008.0</v>
      </c>
      <c r="C628" s="8" t="s">
        <v>373</v>
      </c>
      <c r="D628" s="8" t="s">
        <v>366</v>
      </c>
      <c r="E628" s="8">
        <v>2030.0</v>
      </c>
      <c r="F628" s="8" t="s">
        <v>34</v>
      </c>
      <c r="G628" s="8" t="s">
        <v>42</v>
      </c>
      <c r="H628" s="8" t="s">
        <v>367</v>
      </c>
      <c r="I628" s="8">
        <v>0.8</v>
      </c>
      <c r="J628" s="8">
        <v>0.0</v>
      </c>
      <c r="K628" s="8">
        <v>4.0</v>
      </c>
      <c r="L628" s="8">
        <v>0.0</v>
      </c>
      <c r="M628" s="8">
        <v>4.0</v>
      </c>
      <c r="N628" s="8">
        <v>-2.197224577</v>
      </c>
      <c r="O628" s="8">
        <v>1.0</v>
      </c>
      <c r="P628" s="8" t="s">
        <v>71</v>
      </c>
    </row>
    <row r="629">
      <c r="A629" s="8" t="s">
        <v>453</v>
      </c>
      <c r="B629" s="8">
        <v>2008.0</v>
      </c>
      <c r="C629" s="8" t="s">
        <v>373</v>
      </c>
      <c r="D629" s="8" t="s">
        <v>366</v>
      </c>
      <c r="E629" s="8">
        <v>2030.0</v>
      </c>
      <c r="F629" s="8" t="s">
        <v>34</v>
      </c>
      <c r="G629" s="8" t="s">
        <v>42</v>
      </c>
      <c r="H629" s="8" t="s">
        <v>367</v>
      </c>
      <c r="I629" s="8">
        <v>1.0</v>
      </c>
      <c r="J629" s="8">
        <v>0.0</v>
      </c>
      <c r="K629" s="8">
        <v>4.0</v>
      </c>
      <c r="L629" s="8">
        <v>0.0</v>
      </c>
      <c r="M629" s="8">
        <v>4.0</v>
      </c>
      <c r="N629" s="8">
        <v>-2.197224577</v>
      </c>
      <c r="O629" s="8">
        <v>2.6</v>
      </c>
      <c r="P629" s="8" t="s">
        <v>71</v>
      </c>
    </row>
    <row r="630">
      <c r="A630" s="8" t="s">
        <v>453</v>
      </c>
      <c r="B630" s="8">
        <v>2008.0</v>
      </c>
      <c r="C630" s="8" t="s">
        <v>373</v>
      </c>
      <c r="D630" s="8" t="s">
        <v>366</v>
      </c>
      <c r="E630" s="8">
        <v>2030.0</v>
      </c>
      <c r="F630" s="8" t="s">
        <v>34</v>
      </c>
      <c r="G630" s="8" t="s">
        <v>42</v>
      </c>
      <c r="H630" s="8" t="s">
        <v>367</v>
      </c>
      <c r="I630" s="8">
        <v>0.95</v>
      </c>
      <c r="J630" s="8">
        <v>0.0</v>
      </c>
      <c r="K630" s="8">
        <v>4.0</v>
      </c>
      <c r="L630" s="8">
        <v>0.0</v>
      </c>
      <c r="M630" s="8">
        <v>4.0</v>
      </c>
      <c r="N630" s="8">
        <v>-2.197224577</v>
      </c>
      <c r="O630" s="8">
        <v>2.6</v>
      </c>
      <c r="P630" s="8" t="s">
        <v>71</v>
      </c>
    </row>
    <row r="631">
      <c r="A631" s="8" t="s">
        <v>453</v>
      </c>
      <c r="B631" s="8">
        <v>2008.0</v>
      </c>
      <c r="C631" s="8" t="s">
        <v>373</v>
      </c>
      <c r="D631" s="8" t="s">
        <v>366</v>
      </c>
      <c r="E631" s="8">
        <v>2030.0</v>
      </c>
      <c r="F631" s="8" t="s">
        <v>34</v>
      </c>
      <c r="G631" s="8" t="s">
        <v>42</v>
      </c>
      <c r="H631" s="8" t="s">
        <v>367</v>
      </c>
      <c r="I631" s="8">
        <v>0.8</v>
      </c>
      <c r="J631" s="8">
        <v>1.0</v>
      </c>
      <c r="K631" s="8">
        <v>4.0</v>
      </c>
      <c r="L631" s="8">
        <v>0.25</v>
      </c>
      <c r="M631" s="8">
        <v>4.0</v>
      </c>
      <c r="N631" s="8">
        <v>-1.098612289</v>
      </c>
      <c r="O631" s="8">
        <v>2.6</v>
      </c>
      <c r="P631" s="8" t="s">
        <v>71</v>
      </c>
    </row>
    <row r="632">
      <c r="A632" s="8" t="s">
        <v>453</v>
      </c>
      <c r="B632" s="8">
        <v>2008.0</v>
      </c>
      <c r="C632" s="8" t="s">
        <v>373</v>
      </c>
      <c r="D632" s="8" t="s">
        <v>366</v>
      </c>
      <c r="E632" s="8">
        <v>2070.0</v>
      </c>
      <c r="F632" s="8" t="s">
        <v>34</v>
      </c>
      <c r="G632" s="8" t="s">
        <v>42</v>
      </c>
      <c r="H632" s="8" t="s">
        <v>367</v>
      </c>
      <c r="I632" s="8">
        <v>1.0</v>
      </c>
      <c r="J632" s="8">
        <v>1.0</v>
      </c>
      <c r="K632" s="8">
        <v>4.0</v>
      </c>
      <c r="L632" s="8">
        <v>0.25</v>
      </c>
      <c r="M632" s="8">
        <v>4.0</v>
      </c>
      <c r="N632" s="8">
        <v>-1.098612289</v>
      </c>
      <c r="O632" s="8">
        <v>6.6</v>
      </c>
      <c r="P632" s="8" t="s">
        <v>71</v>
      </c>
    </row>
    <row r="633">
      <c r="A633" s="8" t="s">
        <v>453</v>
      </c>
      <c r="B633" s="8">
        <v>2008.0</v>
      </c>
      <c r="C633" s="8" t="s">
        <v>373</v>
      </c>
      <c r="D633" s="8" t="s">
        <v>366</v>
      </c>
      <c r="E633" s="8">
        <v>2070.0</v>
      </c>
      <c r="F633" s="8" t="s">
        <v>34</v>
      </c>
      <c r="G633" s="8" t="s">
        <v>42</v>
      </c>
      <c r="H633" s="8" t="s">
        <v>367</v>
      </c>
      <c r="I633" s="8">
        <v>0.95</v>
      </c>
      <c r="J633" s="8">
        <v>2.0</v>
      </c>
      <c r="K633" s="8">
        <v>4.0</v>
      </c>
      <c r="L633" s="8">
        <v>0.5</v>
      </c>
      <c r="M633" s="8">
        <v>4.0</v>
      </c>
      <c r="N633" s="8">
        <v>0.0</v>
      </c>
      <c r="O633" s="8">
        <v>6.6</v>
      </c>
      <c r="P633" s="8" t="s">
        <v>71</v>
      </c>
    </row>
    <row r="634">
      <c r="A634" s="8" t="s">
        <v>453</v>
      </c>
      <c r="B634" s="8">
        <v>2008.0</v>
      </c>
      <c r="C634" s="8" t="s">
        <v>373</v>
      </c>
      <c r="D634" s="8" t="s">
        <v>366</v>
      </c>
      <c r="E634" s="8">
        <v>2070.0</v>
      </c>
      <c r="F634" s="8" t="s">
        <v>34</v>
      </c>
      <c r="G634" s="8" t="s">
        <v>42</v>
      </c>
      <c r="H634" s="8" t="s">
        <v>367</v>
      </c>
      <c r="I634" s="8">
        <v>0.8</v>
      </c>
      <c r="J634" s="8">
        <v>4.0</v>
      </c>
      <c r="K634" s="8">
        <v>4.0</v>
      </c>
      <c r="L634" s="8">
        <v>1.0</v>
      </c>
      <c r="M634" s="8">
        <v>4.0</v>
      </c>
      <c r="N634" s="8">
        <v>2.197224577</v>
      </c>
      <c r="O634" s="8">
        <v>6.6</v>
      </c>
      <c r="P634" s="8" t="s">
        <v>71</v>
      </c>
    </row>
    <row r="635">
      <c r="A635" s="8" t="s">
        <v>454</v>
      </c>
      <c r="B635" s="8">
        <v>2008.0</v>
      </c>
      <c r="C635" s="8" t="s">
        <v>32</v>
      </c>
      <c r="D635" s="8" t="s">
        <v>370</v>
      </c>
      <c r="E635" s="8">
        <v>2065.0</v>
      </c>
      <c r="F635" s="8" t="s">
        <v>34</v>
      </c>
      <c r="G635" s="8" t="s">
        <v>42</v>
      </c>
      <c r="H635" s="8" t="s">
        <v>367</v>
      </c>
      <c r="I635" s="8">
        <v>1.0</v>
      </c>
      <c r="J635" s="8">
        <v>1.0</v>
      </c>
      <c r="K635" s="8">
        <v>100.0</v>
      </c>
      <c r="L635" s="8">
        <v>0.01</v>
      </c>
      <c r="M635" s="8">
        <v>100.0</v>
      </c>
      <c r="N635" s="8">
        <v>-4.59511985</v>
      </c>
      <c r="O635" s="8">
        <v>3.1</v>
      </c>
      <c r="P635" s="8" t="s">
        <v>368</v>
      </c>
    </row>
    <row r="636">
      <c r="A636" s="8" t="s">
        <v>454</v>
      </c>
      <c r="B636" s="8">
        <v>2008.0</v>
      </c>
      <c r="C636" s="8" t="s">
        <v>32</v>
      </c>
      <c r="D636" s="8" t="s">
        <v>370</v>
      </c>
      <c r="E636" s="8">
        <v>2065.0</v>
      </c>
      <c r="F636" s="8" t="s">
        <v>34</v>
      </c>
      <c r="G636" s="8" t="s">
        <v>42</v>
      </c>
      <c r="H636" s="8" t="s">
        <v>367</v>
      </c>
      <c r="I636" s="8">
        <v>0.95</v>
      </c>
      <c r="J636" s="8">
        <v>3.0</v>
      </c>
      <c r="K636" s="8">
        <v>100.0</v>
      </c>
      <c r="L636" s="8">
        <v>0.03</v>
      </c>
      <c r="M636" s="8">
        <v>100.0</v>
      </c>
      <c r="N636" s="8">
        <v>-3.47609869</v>
      </c>
      <c r="O636" s="8">
        <v>3.1</v>
      </c>
      <c r="P636" s="8" t="s">
        <v>368</v>
      </c>
    </row>
    <row r="637">
      <c r="A637" s="8" t="s">
        <v>454</v>
      </c>
      <c r="B637" s="8">
        <v>2008.0</v>
      </c>
      <c r="C637" s="8" t="s">
        <v>32</v>
      </c>
      <c r="D637" s="8" t="s">
        <v>370</v>
      </c>
      <c r="E637" s="8">
        <v>2065.0</v>
      </c>
      <c r="F637" s="8" t="s">
        <v>34</v>
      </c>
      <c r="G637" s="8" t="s">
        <v>42</v>
      </c>
      <c r="H637" s="8" t="s">
        <v>367</v>
      </c>
      <c r="I637" s="8">
        <v>0.8</v>
      </c>
      <c r="J637" s="8">
        <v>4.0</v>
      </c>
      <c r="K637" s="8">
        <v>100.0</v>
      </c>
      <c r="L637" s="8">
        <v>0.04</v>
      </c>
      <c r="M637" s="8">
        <v>100.0</v>
      </c>
      <c r="N637" s="8">
        <v>-3.17805383</v>
      </c>
      <c r="O637" s="8">
        <v>3.1</v>
      </c>
      <c r="P637" s="8" t="s">
        <v>368</v>
      </c>
    </row>
    <row r="638">
      <c r="A638" s="8" t="s">
        <v>454</v>
      </c>
      <c r="B638" s="8">
        <v>2008.0</v>
      </c>
      <c r="C638" s="8" t="s">
        <v>32</v>
      </c>
      <c r="D638" s="8" t="s">
        <v>370</v>
      </c>
      <c r="E638" s="8">
        <v>2065.0</v>
      </c>
      <c r="F638" s="8" t="s">
        <v>34</v>
      </c>
      <c r="G638" s="8" t="s">
        <v>42</v>
      </c>
      <c r="H638" s="8" t="s">
        <v>374</v>
      </c>
      <c r="I638" s="8">
        <v>1.0</v>
      </c>
      <c r="J638" s="8">
        <v>1.0</v>
      </c>
      <c r="K638" s="8">
        <v>100.0</v>
      </c>
      <c r="L638" s="8">
        <v>0.01</v>
      </c>
      <c r="M638" s="8">
        <v>100.0</v>
      </c>
      <c r="N638" s="8">
        <v>-4.59511985</v>
      </c>
      <c r="O638" s="8">
        <v>3.1</v>
      </c>
      <c r="P638" s="8" t="s">
        <v>368</v>
      </c>
    </row>
    <row r="639">
      <c r="A639" s="8" t="s">
        <v>454</v>
      </c>
      <c r="B639" s="8">
        <v>2008.0</v>
      </c>
      <c r="C639" s="8" t="s">
        <v>32</v>
      </c>
      <c r="D639" s="8" t="s">
        <v>370</v>
      </c>
      <c r="E639" s="8">
        <v>2065.0</v>
      </c>
      <c r="F639" s="8" t="s">
        <v>34</v>
      </c>
      <c r="G639" s="8" t="s">
        <v>42</v>
      </c>
      <c r="H639" s="8" t="s">
        <v>374</v>
      </c>
      <c r="I639" s="8">
        <v>0.95</v>
      </c>
      <c r="J639" s="8">
        <v>3.0</v>
      </c>
      <c r="K639" s="8">
        <v>100.0</v>
      </c>
      <c r="L639" s="8">
        <v>0.03</v>
      </c>
      <c r="M639" s="8">
        <v>100.0</v>
      </c>
      <c r="N639" s="8">
        <v>-3.47609869</v>
      </c>
      <c r="O639" s="8">
        <v>3.1</v>
      </c>
      <c r="P639" s="8" t="s">
        <v>368</v>
      </c>
    </row>
    <row r="640">
      <c r="A640" s="8" t="s">
        <v>454</v>
      </c>
      <c r="B640" s="8">
        <v>2008.0</v>
      </c>
      <c r="C640" s="8" t="s">
        <v>32</v>
      </c>
      <c r="D640" s="8" t="s">
        <v>370</v>
      </c>
      <c r="E640" s="8">
        <v>2065.0</v>
      </c>
      <c r="F640" s="8" t="s">
        <v>34</v>
      </c>
      <c r="G640" s="8" t="s">
        <v>42</v>
      </c>
      <c r="H640" s="8" t="s">
        <v>374</v>
      </c>
      <c r="I640" s="8">
        <v>0.8</v>
      </c>
      <c r="J640" s="8">
        <v>3.0</v>
      </c>
      <c r="K640" s="8">
        <v>100.0</v>
      </c>
      <c r="L640" s="8">
        <v>0.03</v>
      </c>
      <c r="M640" s="8">
        <v>100.0</v>
      </c>
      <c r="N640" s="8">
        <v>-3.47609869</v>
      </c>
      <c r="O640" s="8">
        <v>3.1</v>
      </c>
      <c r="P640" s="8" t="s">
        <v>368</v>
      </c>
    </row>
    <row r="641">
      <c r="A641" s="8" t="s">
        <v>454</v>
      </c>
      <c r="B641" s="8">
        <v>2008.0</v>
      </c>
      <c r="C641" s="8" t="s">
        <v>32</v>
      </c>
      <c r="D641" s="8" t="s">
        <v>370</v>
      </c>
      <c r="E641" s="8">
        <v>2065.0</v>
      </c>
      <c r="F641" s="8" t="s">
        <v>34</v>
      </c>
      <c r="G641" s="8" t="s">
        <v>42</v>
      </c>
      <c r="H641" s="8" t="s">
        <v>367</v>
      </c>
      <c r="I641" s="8">
        <v>1.0</v>
      </c>
      <c r="J641" s="8">
        <v>0.0</v>
      </c>
      <c r="K641" s="8">
        <v>100.0</v>
      </c>
      <c r="L641" s="8">
        <v>0.0</v>
      </c>
      <c r="M641" s="8">
        <v>100.0</v>
      </c>
      <c r="N641" s="8">
        <v>-5.303304908</v>
      </c>
      <c r="O641" s="8">
        <v>2.4</v>
      </c>
      <c r="P641" s="8" t="s">
        <v>368</v>
      </c>
    </row>
    <row r="642">
      <c r="A642" s="8" t="s">
        <v>454</v>
      </c>
      <c r="B642" s="8">
        <v>2008.0</v>
      </c>
      <c r="C642" s="8" t="s">
        <v>32</v>
      </c>
      <c r="D642" s="8" t="s">
        <v>370</v>
      </c>
      <c r="E642" s="8">
        <v>2065.0</v>
      </c>
      <c r="F642" s="8" t="s">
        <v>34</v>
      </c>
      <c r="G642" s="8" t="s">
        <v>42</v>
      </c>
      <c r="H642" s="8" t="s">
        <v>374</v>
      </c>
      <c r="I642" s="8">
        <v>1.0</v>
      </c>
      <c r="J642" s="8">
        <v>0.0</v>
      </c>
      <c r="K642" s="8">
        <v>100.0</v>
      </c>
      <c r="L642" s="8">
        <v>0.0</v>
      </c>
      <c r="M642" s="8">
        <v>100.0</v>
      </c>
      <c r="N642" s="8">
        <v>-5.303304908</v>
      </c>
      <c r="O642" s="8">
        <v>2.4</v>
      </c>
      <c r="P642" s="8" t="s">
        <v>368</v>
      </c>
    </row>
    <row r="643">
      <c r="A643" s="8" t="s">
        <v>455</v>
      </c>
      <c r="B643" s="8">
        <v>2008.0</v>
      </c>
      <c r="C643" s="8" t="s">
        <v>77</v>
      </c>
      <c r="D643" s="8" t="s">
        <v>371</v>
      </c>
      <c r="E643" s="8">
        <v>2055.0</v>
      </c>
      <c r="F643" s="8" t="s">
        <v>41</v>
      </c>
      <c r="G643" s="8" t="s">
        <v>42</v>
      </c>
      <c r="H643" s="8" t="s">
        <v>374</v>
      </c>
      <c r="I643" s="8">
        <v>1.0</v>
      </c>
      <c r="J643" s="8">
        <v>32.0</v>
      </c>
      <c r="K643" s="8">
        <v>210.0</v>
      </c>
      <c r="L643" s="8">
        <v>0.152380952</v>
      </c>
      <c r="M643" s="8">
        <v>210.0</v>
      </c>
      <c r="N643" s="8">
        <v>-1.716047647</v>
      </c>
      <c r="O643" s="8">
        <v>2.35</v>
      </c>
      <c r="P643" s="8" t="s">
        <v>368</v>
      </c>
    </row>
    <row r="644">
      <c r="A644" s="8" t="s">
        <v>455</v>
      </c>
      <c r="B644" s="8">
        <v>2008.0</v>
      </c>
      <c r="C644" s="8" t="s">
        <v>77</v>
      </c>
      <c r="D644" s="8" t="s">
        <v>371</v>
      </c>
      <c r="E644" s="8">
        <v>2055.0</v>
      </c>
      <c r="F644" s="8" t="s">
        <v>41</v>
      </c>
      <c r="G644" s="8" t="s">
        <v>42</v>
      </c>
      <c r="H644" s="8" t="s">
        <v>432</v>
      </c>
      <c r="I644" s="8">
        <v>1.0</v>
      </c>
      <c r="J644" s="8">
        <v>34.0</v>
      </c>
      <c r="K644" s="8">
        <v>210.0</v>
      </c>
      <c r="L644" s="8">
        <v>0.161904762</v>
      </c>
      <c r="M644" s="8">
        <v>210.0</v>
      </c>
      <c r="N644" s="8">
        <v>-1.64412347</v>
      </c>
      <c r="O644" s="8">
        <v>2.35</v>
      </c>
      <c r="P644" s="8" t="s">
        <v>368</v>
      </c>
    </row>
    <row r="645">
      <c r="A645" s="8" t="s">
        <v>455</v>
      </c>
      <c r="B645" s="8">
        <v>2008.0</v>
      </c>
      <c r="C645" s="8" t="s">
        <v>77</v>
      </c>
      <c r="D645" s="8" t="s">
        <v>371</v>
      </c>
      <c r="E645" s="8">
        <v>2055.0</v>
      </c>
      <c r="F645" s="8" t="s">
        <v>41</v>
      </c>
      <c r="G645" s="8" t="s">
        <v>42</v>
      </c>
      <c r="H645" s="8" t="s">
        <v>367</v>
      </c>
      <c r="I645" s="8">
        <v>1.0</v>
      </c>
      <c r="J645" s="8">
        <v>47.0</v>
      </c>
      <c r="K645" s="8">
        <v>210.0</v>
      </c>
      <c r="L645" s="8">
        <v>0.223809524</v>
      </c>
      <c r="M645" s="8">
        <v>210.0</v>
      </c>
      <c r="N645" s="8">
        <v>-1.243602599</v>
      </c>
      <c r="O645" s="8">
        <v>2.35</v>
      </c>
      <c r="P645" s="8" t="s">
        <v>368</v>
      </c>
    </row>
    <row r="646">
      <c r="A646" s="8" t="s">
        <v>456</v>
      </c>
      <c r="B646" s="8">
        <v>2008.0</v>
      </c>
      <c r="C646" s="8" t="s">
        <v>365</v>
      </c>
      <c r="D646" s="8" t="s">
        <v>371</v>
      </c>
      <c r="E646" s="8">
        <v>2085.0</v>
      </c>
      <c r="F646" s="8" t="s">
        <v>41</v>
      </c>
      <c r="G646" s="8" t="s">
        <v>42</v>
      </c>
      <c r="H646" s="8" t="s">
        <v>374</v>
      </c>
      <c r="I646" s="8">
        <v>0.8</v>
      </c>
      <c r="J646" s="8">
        <v>26.0</v>
      </c>
      <c r="K646" s="8">
        <v>591.0</v>
      </c>
      <c r="L646" s="8">
        <v>0.043993232</v>
      </c>
      <c r="M646" s="8">
        <v>591.0</v>
      </c>
      <c r="N646" s="8">
        <v>-3.078729193</v>
      </c>
      <c r="O646" s="8">
        <v>1.7</v>
      </c>
      <c r="P646" s="8" t="s">
        <v>368</v>
      </c>
    </row>
    <row r="647">
      <c r="A647" s="8" t="s">
        <v>456</v>
      </c>
      <c r="B647" s="8">
        <v>2008.0</v>
      </c>
      <c r="C647" s="8" t="s">
        <v>365</v>
      </c>
      <c r="D647" s="8" t="s">
        <v>371</v>
      </c>
      <c r="E647" s="8">
        <v>2085.0</v>
      </c>
      <c r="F647" s="8" t="s">
        <v>41</v>
      </c>
      <c r="G647" s="8" t="s">
        <v>42</v>
      </c>
      <c r="H647" s="8" t="s">
        <v>374</v>
      </c>
      <c r="I647" s="8">
        <v>0.8</v>
      </c>
      <c r="J647" s="8">
        <v>57.0</v>
      </c>
      <c r="K647" s="8">
        <v>591.0</v>
      </c>
      <c r="L647" s="8">
        <v>0.096446701</v>
      </c>
      <c r="M647" s="8">
        <v>591.0</v>
      </c>
      <c r="N647" s="8">
        <v>-2.237344571</v>
      </c>
      <c r="O647" s="8">
        <v>2.3</v>
      </c>
      <c r="P647" s="8" t="s">
        <v>368</v>
      </c>
    </row>
    <row r="648">
      <c r="A648" s="8" t="s">
        <v>456</v>
      </c>
      <c r="B648" s="8">
        <v>2008.0</v>
      </c>
      <c r="C648" s="8" t="s">
        <v>365</v>
      </c>
      <c r="D648" s="8" t="s">
        <v>371</v>
      </c>
      <c r="E648" s="8">
        <v>2085.0</v>
      </c>
      <c r="F648" s="8" t="s">
        <v>41</v>
      </c>
      <c r="G648" s="8" t="s">
        <v>42</v>
      </c>
      <c r="H648" s="8" t="s">
        <v>374</v>
      </c>
      <c r="I648" s="8">
        <v>0.8</v>
      </c>
      <c r="J648" s="8">
        <v>125.0</v>
      </c>
      <c r="K648" s="8">
        <v>591.0</v>
      </c>
      <c r="L648" s="8">
        <v>0.211505922</v>
      </c>
      <c r="M648" s="8">
        <v>591.0</v>
      </c>
      <c r="N648" s="8">
        <v>-1.315871897</v>
      </c>
      <c r="O648" s="8">
        <v>2.36</v>
      </c>
      <c r="P648" s="8" t="s">
        <v>368</v>
      </c>
    </row>
    <row r="649">
      <c r="A649" s="8" t="s">
        <v>456</v>
      </c>
      <c r="B649" s="8">
        <v>2008.0</v>
      </c>
      <c r="C649" s="8" t="s">
        <v>365</v>
      </c>
      <c r="D649" s="8" t="s">
        <v>371</v>
      </c>
      <c r="E649" s="8">
        <v>2085.0</v>
      </c>
      <c r="F649" s="8" t="s">
        <v>41</v>
      </c>
      <c r="G649" s="8" t="s">
        <v>42</v>
      </c>
      <c r="H649" s="8" t="s">
        <v>374</v>
      </c>
      <c r="I649" s="8">
        <v>0.8</v>
      </c>
      <c r="J649" s="8">
        <v>264.0</v>
      </c>
      <c r="K649" s="8">
        <v>591.0</v>
      </c>
      <c r="L649" s="8">
        <v>0.446700508</v>
      </c>
      <c r="M649" s="8">
        <v>591.0</v>
      </c>
      <c r="N649" s="8">
        <v>-0.214011068</v>
      </c>
      <c r="O649" s="8">
        <v>4.27</v>
      </c>
      <c r="P649" s="8" t="s">
        <v>368</v>
      </c>
    </row>
    <row r="650">
      <c r="A650" s="8" t="s">
        <v>456</v>
      </c>
      <c r="B650" s="8">
        <v>2008.0</v>
      </c>
      <c r="C650" s="8" t="s">
        <v>365</v>
      </c>
      <c r="D650" s="8" t="s">
        <v>371</v>
      </c>
      <c r="E650" s="8">
        <v>2085.0</v>
      </c>
      <c r="F650" s="8" t="s">
        <v>41</v>
      </c>
      <c r="G650" s="8" t="s">
        <v>42</v>
      </c>
      <c r="H650" s="8" t="s">
        <v>367</v>
      </c>
      <c r="I650" s="8">
        <v>0.8</v>
      </c>
      <c r="J650" s="8">
        <v>45.0</v>
      </c>
      <c r="K650" s="8">
        <v>591.0</v>
      </c>
      <c r="L650" s="8">
        <v>0.076142132</v>
      </c>
      <c r="M650" s="8">
        <v>591.0</v>
      </c>
      <c r="N650" s="8">
        <v>-2.495956486</v>
      </c>
      <c r="O650" s="8">
        <v>1.7</v>
      </c>
      <c r="P650" s="8" t="s">
        <v>368</v>
      </c>
    </row>
    <row r="651">
      <c r="A651" s="8" t="s">
        <v>456</v>
      </c>
      <c r="B651" s="8">
        <v>2008.0</v>
      </c>
      <c r="C651" s="8" t="s">
        <v>365</v>
      </c>
      <c r="D651" s="8" t="s">
        <v>371</v>
      </c>
      <c r="E651" s="8">
        <v>2085.0</v>
      </c>
      <c r="F651" s="8" t="s">
        <v>41</v>
      </c>
      <c r="G651" s="8" t="s">
        <v>42</v>
      </c>
      <c r="H651" s="8" t="s">
        <v>367</v>
      </c>
      <c r="I651" s="8">
        <v>0.8</v>
      </c>
      <c r="J651" s="8">
        <v>77.0</v>
      </c>
      <c r="K651" s="8">
        <v>591.0</v>
      </c>
      <c r="L651" s="8">
        <v>0.130287648</v>
      </c>
      <c r="M651" s="8">
        <v>591.0</v>
      </c>
      <c r="N651" s="8">
        <v>-1.898417844</v>
      </c>
      <c r="O651" s="8">
        <v>2.3</v>
      </c>
      <c r="P651" s="8" t="s">
        <v>368</v>
      </c>
    </row>
    <row r="652">
      <c r="A652" s="8" t="s">
        <v>456</v>
      </c>
      <c r="B652" s="8">
        <v>2008.0</v>
      </c>
      <c r="C652" s="8" t="s">
        <v>365</v>
      </c>
      <c r="D652" s="8" t="s">
        <v>371</v>
      </c>
      <c r="E652" s="8">
        <v>2085.0</v>
      </c>
      <c r="F652" s="8" t="s">
        <v>41</v>
      </c>
      <c r="G652" s="8" t="s">
        <v>42</v>
      </c>
      <c r="H652" s="8" t="s">
        <v>367</v>
      </c>
      <c r="I652" s="8">
        <v>0.8</v>
      </c>
      <c r="J652" s="8">
        <v>237.0</v>
      </c>
      <c r="K652" s="8">
        <v>591.0</v>
      </c>
      <c r="L652" s="8">
        <v>0.401015228</v>
      </c>
      <c r="M652" s="8">
        <v>591.0</v>
      </c>
      <c r="N652" s="8">
        <v>-0.401236772</v>
      </c>
      <c r="O652" s="8">
        <v>2.36</v>
      </c>
      <c r="P652" s="8" t="s">
        <v>368</v>
      </c>
    </row>
    <row r="653">
      <c r="A653" s="8" t="s">
        <v>456</v>
      </c>
      <c r="B653" s="8">
        <v>2008.0</v>
      </c>
      <c r="C653" s="8" t="s">
        <v>365</v>
      </c>
      <c r="D653" s="8" t="s">
        <v>371</v>
      </c>
      <c r="E653" s="8">
        <v>2085.0</v>
      </c>
      <c r="F653" s="8" t="s">
        <v>41</v>
      </c>
      <c r="G653" s="8" t="s">
        <v>42</v>
      </c>
      <c r="H653" s="8" t="s">
        <v>367</v>
      </c>
      <c r="I653" s="8">
        <v>0.8</v>
      </c>
      <c r="J653" s="8">
        <v>399.0</v>
      </c>
      <c r="K653" s="8">
        <v>591.0</v>
      </c>
      <c r="L653" s="8">
        <v>0.675126904</v>
      </c>
      <c r="M653" s="8">
        <v>591.0</v>
      </c>
      <c r="N653" s="8">
        <v>0.731466045</v>
      </c>
      <c r="O653" s="8">
        <v>4.27</v>
      </c>
      <c r="P653" s="8" t="s">
        <v>368</v>
      </c>
    </row>
    <row r="654">
      <c r="A654" s="8" t="s">
        <v>457</v>
      </c>
      <c r="B654" s="8">
        <v>2008.0</v>
      </c>
      <c r="C654" s="8" t="s">
        <v>365</v>
      </c>
      <c r="D654" s="8" t="s">
        <v>376</v>
      </c>
      <c r="E654" s="8">
        <v>2100.0</v>
      </c>
      <c r="F654" s="8" t="s">
        <v>41</v>
      </c>
      <c r="G654" s="8" t="s">
        <v>382</v>
      </c>
      <c r="H654" s="8" t="s">
        <v>374</v>
      </c>
      <c r="I654" s="8">
        <v>1.0</v>
      </c>
      <c r="J654" s="8">
        <v>0.0</v>
      </c>
      <c r="K654" s="8">
        <v>2.0</v>
      </c>
      <c r="L654" s="8">
        <v>0.0</v>
      </c>
      <c r="M654" s="8">
        <v>2.0</v>
      </c>
      <c r="N654" s="8">
        <v>-1.609437912</v>
      </c>
      <c r="O654" s="8">
        <v>3.3</v>
      </c>
      <c r="P654" s="8" t="s">
        <v>368</v>
      </c>
    </row>
    <row r="655">
      <c r="A655" s="8" t="s">
        <v>457</v>
      </c>
      <c r="B655" s="8">
        <v>2008.0</v>
      </c>
      <c r="C655" s="8" t="s">
        <v>365</v>
      </c>
      <c r="D655" s="8" t="s">
        <v>376</v>
      </c>
      <c r="E655" s="8">
        <v>2100.0</v>
      </c>
      <c r="F655" s="8" t="s">
        <v>41</v>
      </c>
      <c r="G655" s="8" t="s">
        <v>382</v>
      </c>
      <c r="H655" s="8" t="s">
        <v>374</v>
      </c>
      <c r="I655" s="8">
        <v>0.95</v>
      </c>
      <c r="J655" s="8">
        <v>0.0</v>
      </c>
      <c r="K655" s="8">
        <v>2.0</v>
      </c>
      <c r="L655" s="8">
        <v>0.0</v>
      </c>
      <c r="M655" s="8">
        <v>2.0</v>
      </c>
      <c r="N655" s="8">
        <v>-1.609437912</v>
      </c>
      <c r="O655" s="8">
        <v>3.3</v>
      </c>
      <c r="P655" s="8" t="s">
        <v>368</v>
      </c>
    </row>
    <row r="656">
      <c r="A656" s="8" t="s">
        <v>457</v>
      </c>
      <c r="B656" s="8">
        <v>2008.0</v>
      </c>
      <c r="C656" s="8" t="s">
        <v>365</v>
      </c>
      <c r="D656" s="8" t="s">
        <v>376</v>
      </c>
      <c r="E656" s="8">
        <v>2100.0</v>
      </c>
      <c r="F656" s="8" t="s">
        <v>41</v>
      </c>
      <c r="G656" s="8" t="s">
        <v>382</v>
      </c>
      <c r="H656" s="8" t="s">
        <v>374</v>
      </c>
      <c r="I656" s="8">
        <v>0.8</v>
      </c>
      <c r="J656" s="8">
        <v>0.0</v>
      </c>
      <c r="K656" s="8">
        <v>2.0</v>
      </c>
      <c r="L656" s="8">
        <v>0.0</v>
      </c>
      <c r="M656" s="8">
        <v>2.0</v>
      </c>
      <c r="N656" s="8">
        <v>-1.609437912</v>
      </c>
      <c r="O656" s="8">
        <v>3.3</v>
      </c>
      <c r="P656" s="8" t="s">
        <v>368</v>
      </c>
    </row>
    <row r="657">
      <c r="A657" s="8" t="s">
        <v>457</v>
      </c>
      <c r="B657" s="8">
        <v>2008.0</v>
      </c>
      <c r="C657" s="8" t="s">
        <v>365</v>
      </c>
      <c r="D657" s="8" t="s">
        <v>376</v>
      </c>
      <c r="E657" s="8">
        <v>2100.0</v>
      </c>
      <c r="F657" s="8" t="s">
        <v>41</v>
      </c>
      <c r="G657" s="8" t="s">
        <v>42</v>
      </c>
      <c r="H657" s="8" t="s">
        <v>374</v>
      </c>
      <c r="I657" s="8">
        <v>1.0</v>
      </c>
      <c r="J657" s="8">
        <v>0.0</v>
      </c>
      <c r="K657" s="8">
        <v>2.0</v>
      </c>
      <c r="L657" s="8">
        <v>0.0</v>
      </c>
      <c r="M657" s="8">
        <v>2.0</v>
      </c>
      <c r="N657" s="8">
        <v>-1.609437912</v>
      </c>
      <c r="O657" s="8">
        <v>3.3</v>
      </c>
      <c r="P657" s="8" t="s">
        <v>368</v>
      </c>
    </row>
    <row r="658">
      <c r="A658" s="8" t="s">
        <v>457</v>
      </c>
      <c r="B658" s="8">
        <v>2008.0</v>
      </c>
      <c r="C658" s="8" t="s">
        <v>365</v>
      </c>
      <c r="D658" s="8" t="s">
        <v>376</v>
      </c>
      <c r="E658" s="8">
        <v>2100.0</v>
      </c>
      <c r="F658" s="8" t="s">
        <v>41</v>
      </c>
      <c r="G658" s="8" t="s">
        <v>42</v>
      </c>
      <c r="H658" s="8" t="s">
        <v>374</v>
      </c>
      <c r="I658" s="8">
        <v>0.95</v>
      </c>
      <c r="J658" s="8">
        <v>0.0</v>
      </c>
      <c r="K658" s="8">
        <v>2.0</v>
      </c>
      <c r="L658" s="8">
        <v>0.0</v>
      </c>
      <c r="M658" s="8">
        <v>2.0</v>
      </c>
      <c r="N658" s="8">
        <v>-1.609437912</v>
      </c>
      <c r="O658" s="8">
        <v>3.3</v>
      </c>
      <c r="P658" s="8" t="s">
        <v>368</v>
      </c>
    </row>
    <row r="659">
      <c r="A659" s="8" t="s">
        <v>457</v>
      </c>
      <c r="B659" s="8">
        <v>2008.0</v>
      </c>
      <c r="C659" s="8" t="s">
        <v>365</v>
      </c>
      <c r="D659" s="8" t="s">
        <v>376</v>
      </c>
      <c r="E659" s="8">
        <v>2100.0</v>
      </c>
      <c r="F659" s="8" t="s">
        <v>41</v>
      </c>
      <c r="G659" s="8" t="s">
        <v>42</v>
      </c>
      <c r="H659" s="8" t="s">
        <v>374</v>
      </c>
      <c r="I659" s="8">
        <v>0.8</v>
      </c>
      <c r="J659" s="8">
        <v>0.0</v>
      </c>
      <c r="K659" s="8">
        <v>2.0</v>
      </c>
      <c r="L659" s="8">
        <v>0.0</v>
      </c>
      <c r="M659" s="8">
        <v>2.0</v>
      </c>
      <c r="N659" s="8">
        <v>-1.609437912</v>
      </c>
      <c r="O659" s="8">
        <v>3.3</v>
      </c>
      <c r="P659" s="8" t="s">
        <v>368</v>
      </c>
    </row>
    <row r="660">
      <c r="A660" s="8" t="s">
        <v>458</v>
      </c>
      <c r="B660" s="8">
        <v>2008.0</v>
      </c>
      <c r="C660" s="8" t="s">
        <v>32</v>
      </c>
      <c r="D660" s="8" t="s">
        <v>371</v>
      </c>
      <c r="E660" s="8">
        <v>2080.0</v>
      </c>
      <c r="F660" s="8" t="s">
        <v>34</v>
      </c>
      <c r="G660" s="8" t="s">
        <v>42</v>
      </c>
      <c r="H660" s="8" t="s">
        <v>374</v>
      </c>
      <c r="I660" s="8">
        <v>1.0</v>
      </c>
      <c r="J660" s="8">
        <v>0.0</v>
      </c>
      <c r="K660" s="8">
        <v>20.0</v>
      </c>
      <c r="L660" s="8">
        <v>0.0</v>
      </c>
      <c r="M660" s="8">
        <v>20.0</v>
      </c>
      <c r="N660" s="8">
        <v>-3.713572067</v>
      </c>
      <c r="O660" s="8">
        <v>3.11</v>
      </c>
      <c r="P660" s="8" t="s">
        <v>368</v>
      </c>
    </row>
    <row r="661">
      <c r="A661" s="8" t="s">
        <v>458</v>
      </c>
      <c r="B661" s="8">
        <v>2008.0</v>
      </c>
      <c r="C661" s="8" t="s">
        <v>32</v>
      </c>
      <c r="D661" s="8" t="s">
        <v>371</v>
      </c>
      <c r="E661" s="8">
        <v>2080.0</v>
      </c>
      <c r="F661" s="8" t="s">
        <v>34</v>
      </c>
      <c r="G661" s="8" t="s">
        <v>42</v>
      </c>
      <c r="H661" s="8" t="s">
        <v>374</v>
      </c>
      <c r="I661" s="8">
        <v>0.95</v>
      </c>
      <c r="J661" s="8">
        <v>9.0</v>
      </c>
      <c r="K661" s="8">
        <v>20.0</v>
      </c>
      <c r="L661" s="8">
        <v>0.45</v>
      </c>
      <c r="M661" s="8">
        <v>20.0</v>
      </c>
      <c r="N661" s="8">
        <v>-0.200670695</v>
      </c>
      <c r="O661" s="8">
        <v>3.11</v>
      </c>
      <c r="P661" s="8" t="s">
        <v>368</v>
      </c>
    </row>
    <row r="662">
      <c r="A662" s="8" t="s">
        <v>458</v>
      </c>
      <c r="B662" s="8">
        <v>2008.0</v>
      </c>
      <c r="C662" s="8" t="s">
        <v>32</v>
      </c>
      <c r="D662" s="8" t="s">
        <v>371</v>
      </c>
      <c r="E662" s="8">
        <v>2080.0</v>
      </c>
      <c r="F662" s="8" t="s">
        <v>34</v>
      </c>
      <c r="G662" s="8" t="s">
        <v>42</v>
      </c>
      <c r="H662" s="8" t="s">
        <v>374</v>
      </c>
      <c r="I662" s="8">
        <v>0.8</v>
      </c>
      <c r="J662" s="8">
        <v>13.0</v>
      </c>
      <c r="K662" s="8">
        <v>20.0</v>
      </c>
      <c r="L662" s="8">
        <v>0.65</v>
      </c>
      <c r="M662" s="8">
        <v>20.0</v>
      </c>
      <c r="N662" s="8">
        <v>0.619039208</v>
      </c>
      <c r="O662" s="8">
        <v>3.11</v>
      </c>
      <c r="P662" s="8" t="s">
        <v>368</v>
      </c>
    </row>
    <row r="663">
      <c r="A663" s="8" t="s">
        <v>458</v>
      </c>
      <c r="B663" s="8">
        <v>2008.0</v>
      </c>
      <c r="C663" s="8" t="s">
        <v>32</v>
      </c>
      <c r="D663" s="8" t="s">
        <v>371</v>
      </c>
      <c r="E663" s="8">
        <v>2080.0</v>
      </c>
      <c r="F663" s="8" t="s">
        <v>34</v>
      </c>
      <c r="G663" s="8" t="s">
        <v>42</v>
      </c>
      <c r="H663" s="8" t="s">
        <v>367</v>
      </c>
      <c r="I663" s="8">
        <v>1.0</v>
      </c>
      <c r="J663" s="8">
        <v>1.0</v>
      </c>
      <c r="K663" s="8">
        <v>20.0</v>
      </c>
      <c r="L663" s="8">
        <v>0.05</v>
      </c>
      <c r="M663" s="8">
        <v>20.0</v>
      </c>
      <c r="N663" s="8">
        <v>-2.944438979</v>
      </c>
      <c r="O663" s="8">
        <v>3.11</v>
      </c>
      <c r="P663" s="8" t="s">
        <v>368</v>
      </c>
    </row>
    <row r="664">
      <c r="A664" s="8" t="s">
        <v>458</v>
      </c>
      <c r="B664" s="8">
        <v>2008.0</v>
      </c>
      <c r="C664" s="8" t="s">
        <v>32</v>
      </c>
      <c r="D664" s="8" t="s">
        <v>371</v>
      </c>
      <c r="E664" s="8">
        <v>2080.0</v>
      </c>
      <c r="F664" s="8" t="s">
        <v>34</v>
      </c>
      <c r="G664" s="8" t="s">
        <v>42</v>
      </c>
      <c r="H664" s="8" t="s">
        <v>367</v>
      </c>
      <c r="I664" s="8">
        <v>0.95</v>
      </c>
      <c r="J664" s="8">
        <v>11.0</v>
      </c>
      <c r="K664" s="8">
        <v>20.0</v>
      </c>
      <c r="L664" s="8">
        <v>0.55</v>
      </c>
      <c r="M664" s="8">
        <v>20.0</v>
      </c>
      <c r="N664" s="8">
        <v>0.200670695</v>
      </c>
      <c r="O664" s="8">
        <v>3.11</v>
      </c>
      <c r="P664" s="8" t="s">
        <v>368</v>
      </c>
    </row>
    <row r="665">
      <c r="A665" s="8" t="s">
        <v>458</v>
      </c>
      <c r="B665" s="8">
        <v>2008.0</v>
      </c>
      <c r="C665" s="8" t="s">
        <v>32</v>
      </c>
      <c r="D665" s="8" t="s">
        <v>371</v>
      </c>
      <c r="E665" s="8">
        <v>2080.0</v>
      </c>
      <c r="F665" s="8" t="s">
        <v>34</v>
      </c>
      <c r="G665" s="8" t="s">
        <v>42</v>
      </c>
      <c r="H665" s="8" t="s">
        <v>367</v>
      </c>
      <c r="I665" s="8">
        <v>0.8</v>
      </c>
      <c r="J665" s="8">
        <v>15.0</v>
      </c>
      <c r="K665" s="8">
        <v>20.0</v>
      </c>
      <c r="L665" s="8">
        <v>0.75</v>
      </c>
      <c r="M665" s="8">
        <v>20.0</v>
      </c>
      <c r="N665" s="8">
        <v>1.098612289</v>
      </c>
      <c r="O665" s="8">
        <v>3.11</v>
      </c>
      <c r="P665" s="8" t="s">
        <v>368</v>
      </c>
    </row>
    <row r="666">
      <c r="A666" s="8" t="s">
        <v>459</v>
      </c>
      <c r="B666" s="8">
        <v>2008.0</v>
      </c>
      <c r="C666" s="8" t="s">
        <v>301</v>
      </c>
      <c r="D666" s="8" t="s">
        <v>366</v>
      </c>
      <c r="E666" s="8">
        <v>2100.0</v>
      </c>
      <c r="F666" s="8" t="s">
        <v>41</v>
      </c>
      <c r="G666" s="8" t="s">
        <v>460</v>
      </c>
      <c r="H666" s="8" t="s">
        <v>416</v>
      </c>
      <c r="I666" s="8">
        <v>0.8</v>
      </c>
      <c r="J666" s="8">
        <v>3.0</v>
      </c>
      <c r="K666" s="8">
        <v>11.0</v>
      </c>
      <c r="L666" s="8">
        <v>0.272727273</v>
      </c>
      <c r="M666" s="8">
        <v>11.0</v>
      </c>
      <c r="N666" s="8">
        <v>-0.980829253</v>
      </c>
      <c r="O666" s="8" t="s">
        <v>36</v>
      </c>
      <c r="P666" s="8" t="s">
        <v>36</v>
      </c>
    </row>
    <row r="667">
      <c r="A667" s="8" t="s">
        <v>461</v>
      </c>
      <c r="B667" s="8">
        <v>2008.0</v>
      </c>
      <c r="C667" s="8" t="s">
        <v>32</v>
      </c>
      <c r="D667" s="8" t="s">
        <v>462</v>
      </c>
      <c r="E667" s="8">
        <v>2080.0</v>
      </c>
      <c r="F667" s="8" t="s">
        <v>34</v>
      </c>
      <c r="G667" s="8" t="s">
        <v>42</v>
      </c>
      <c r="H667" s="8" t="s">
        <v>374</v>
      </c>
      <c r="I667" s="8">
        <v>1.0</v>
      </c>
      <c r="J667" s="8">
        <v>0.0</v>
      </c>
      <c r="K667" s="8">
        <v>2.0</v>
      </c>
      <c r="L667" s="8">
        <v>0.0</v>
      </c>
      <c r="M667" s="8">
        <v>2.0</v>
      </c>
      <c r="N667" s="8">
        <v>-1.609437912</v>
      </c>
      <c r="O667" s="8">
        <v>2.36</v>
      </c>
      <c r="P667" s="8" t="s">
        <v>368</v>
      </c>
    </row>
    <row r="668">
      <c r="A668" s="8" t="s">
        <v>461</v>
      </c>
      <c r="B668" s="8">
        <v>2008.0</v>
      </c>
      <c r="C668" s="8" t="s">
        <v>32</v>
      </c>
      <c r="D668" s="8" t="s">
        <v>462</v>
      </c>
      <c r="E668" s="8">
        <v>2080.0</v>
      </c>
      <c r="F668" s="8" t="s">
        <v>34</v>
      </c>
      <c r="G668" s="8" t="s">
        <v>42</v>
      </c>
      <c r="H668" s="8" t="s">
        <v>374</v>
      </c>
      <c r="I668" s="8">
        <v>0.95</v>
      </c>
      <c r="J668" s="8">
        <v>0.0</v>
      </c>
      <c r="K668" s="8">
        <v>2.0</v>
      </c>
      <c r="L668" s="8">
        <v>0.0</v>
      </c>
      <c r="M668" s="8">
        <v>2.0</v>
      </c>
      <c r="N668" s="8">
        <v>-1.609437912</v>
      </c>
      <c r="O668" s="8">
        <v>2.36</v>
      </c>
      <c r="P668" s="8" t="s">
        <v>368</v>
      </c>
    </row>
    <row r="669">
      <c r="A669" s="8" t="s">
        <v>461</v>
      </c>
      <c r="B669" s="8">
        <v>2008.0</v>
      </c>
      <c r="C669" s="8" t="s">
        <v>32</v>
      </c>
      <c r="D669" s="8" t="s">
        <v>462</v>
      </c>
      <c r="E669" s="8">
        <v>2080.0</v>
      </c>
      <c r="F669" s="8" t="s">
        <v>34</v>
      </c>
      <c r="G669" s="8" t="s">
        <v>42</v>
      </c>
      <c r="H669" s="8" t="s">
        <v>374</v>
      </c>
      <c r="I669" s="8">
        <v>0.8</v>
      </c>
      <c r="J669" s="8">
        <v>0.0</v>
      </c>
      <c r="K669" s="8">
        <v>2.0</v>
      </c>
      <c r="L669" s="8">
        <v>0.0</v>
      </c>
      <c r="M669" s="8">
        <v>2.0</v>
      </c>
      <c r="N669" s="8">
        <v>-1.609437912</v>
      </c>
      <c r="O669" s="8">
        <v>2.36</v>
      </c>
      <c r="P669" s="8" t="s">
        <v>368</v>
      </c>
    </row>
    <row r="670">
      <c r="A670" s="8" t="s">
        <v>461</v>
      </c>
      <c r="B670" s="8">
        <v>2008.0</v>
      </c>
      <c r="C670" s="8" t="s">
        <v>32</v>
      </c>
      <c r="D670" s="8" t="s">
        <v>462</v>
      </c>
      <c r="E670" s="8">
        <v>2080.0</v>
      </c>
      <c r="F670" s="8" t="s">
        <v>34</v>
      </c>
      <c r="G670" s="8" t="s">
        <v>42</v>
      </c>
      <c r="H670" s="8" t="s">
        <v>374</v>
      </c>
      <c r="I670" s="8">
        <v>1.0</v>
      </c>
      <c r="J670" s="8">
        <v>0.0</v>
      </c>
      <c r="K670" s="8">
        <v>2.0</v>
      </c>
      <c r="L670" s="8">
        <v>0.0</v>
      </c>
      <c r="M670" s="8">
        <v>2.0</v>
      </c>
      <c r="N670" s="8">
        <v>-1.609437912</v>
      </c>
      <c r="O670" s="8">
        <v>3.57</v>
      </c>
      <c r="P670" s="8" t="s">
        <v>368</v>
      </c>
    </row>
    <row r="671">
      <c r="A671" s="8" t="s">
        <v>461</v>
      </c>
      <c r="B671" s="8">
        <v>2008.0</v>
      </c>
      <c r="C671" s="8" t="s">
        <v>32</v>
      </c>
      <c r="D671" s="8" t="s">
        <v>462</v>
      </c>
      <c r="E671" s="8">
        <v>2080.0</v>
      </c>
      <c r="F671" s="8" t="s">
        <v>34</v>
      </c>
      <c r="G671" s="8" t="s">
        <v>42</v>
      </c>
      <c r="H671" s="8" t="s">
        <v>374</v>
      </c>
      <c r="I671" s="8">
        <v>0.95</v>
      </c>
      <c r="J671" s="8">
        <v>0.0</v>
      </c>
      <c r="K671" s="8">
        <v>2.0</v>
      </c>
      <c r="L671" s="8">
        <v>0.0</v>
      </c>
      <c r="M671" s="8">
        <v>2.0</v>
      </c>
      <c r="N671" s="8">
        <v>-1.609437912</v>
      </c>
      <c r="O671" s="8">
        <v>3.57</v>
      </c>
      <c r="P671" s="8" t="s">
        <v>368</v>
      </c>
    </row>
    <row r="672">
      <c r="A672" s="8" t="s">
        <v>461</v>
      </c>
      <c r="B672" s="8">
        <v>2008.0</v>
      </c>
      <c r="C672" s="8" t="s">
        <v>32</v>
      </c>
      <c r="D672" s="8" t="s">
        <v>462</v>
      </c>
      <c r="E672" s="8">
        <v>2080.0</v>
      </c>
      <c r="F672" s="8" t="s">
        <v>34</v>
      </c>
      <c r="G672" s="8" t="s">
        <v>42</v>
      </c>
      <c r="H672" s="8" t="s">
        <v>374</v>
      </c>
      <c r="I672" s="8">
        <v>0.8</v>
      </c>
      <c r="J672" s="8">
        <v>0.0</v>
      </c>
      <c r="K672" s="8">
        <v>2.0</v>
      </c>
      <c r="L672" s="8">
        <v>0.0</v>
      </c>
      <c r="M672" s="8">
        <v>2.0</v>
      </c>
      <c r="N672" s="8">
        <v>-1.609437912</v>
      </c>
      <c r="O672" s="8">
        <v>3.57</v>
      </c>
      <c r="P672" s="8" t="s">
        <v>368</v>
      </c>
    </row>
    <row r="673">
      <c r="A673" s="8" t="s">
        <v>461</v>
      </c>
      <c r="B673" s="8">
        <v>2008.0</v>
      </c>
      <c r="C673" s="8" t="s">
        <v>32</v>
      </c>
      <c r="D673" s="8" t="s">
        <v>462</v>
      </c>
      <c r="E673" s="8">
        <v>2080.0</v>
      </c>
      <c r="F673" s="8" t="s">
        <v>34</v>
      </c>
      <c r="G673" s="8" t="s">
        <v>42</v>
      </c>
      <c r="H673" s="8" t="s">
        <v>374</v>
      </c>
      <c r="I673" s="8">
        <v>1.0</v>
      </c>
      <c r="J673" s="8">
        <v>0.0</v>
      </c>
      <c r="K673" s="8">
        <v>2.0</v>
      </c>
      <c r="L673" s="8">
        <v>0.0</v>
      </c>
      <c r="M673" s="8">
        <v>2.0</v>
      </c>
      <c r="N673" s="8">
        <v>-1.609437912</v>
      </c>
      <c r="O673" s="8">
        <v>4.27</v>
      </c>
      <c r="P673" s="8" t="s">
        <v>368</v>
      </c>
    </row>
    <row r="674">
      <c r="A674" s="8" t="s">
        <v>461</v>
      </c>
      <c r="B674" s="8">
        <v>2008.0</v>
      </c>
      <c r="C674" s="8" t="s">
        <v>32</v>
      </c>
      <c r="D674" s="8" t="s">
        <v>462</v>
      </c>
      <c r="E674" s="8">
        <v>2080.0</v>
      </c>
      <c r="F674" s="8" t="s">
        <v>34</v>
      </c>
      <c r="G674" s="8" t="s">
        <v>42</v>
      </c>
      <c r="H674" s="8" t="s">
        <v>374</v>
      </c>
      <c r="I674" s="8">
        <v>0.95</v>
      </c>
      <c r="J674" s="8">
        <v>0.0</v>
      </c>
      <c r="K674" s="8">
        <v>2.0</v>
      </c>
      <c r="L674" s="8">
        <v>0.0</v>
      </c>
      <c r="M674" s="8">
        <v>2.0</v>
      </c>
      <c r="N674" s="8">
        <v>-1.609437912</v>
      </c>
      <c r="O674" s="8">
        <v>4.27</v>
      </c>
      <c r="P674" s="8" t="s">
        <v>368</v>
      </c>
    </row>
    <row r="675">
      <c r="A675" s="8" t="s">
        <v>461</v>
      </c>
      <c r="B675" s="8">
        <v>2008.0</v>
      </c>
      <c r="C675" s="8" t="s">
        <v>32</v>
      </c>
      <c r="D675" s="8" t="s">
        <v>462</v>
      </c>
      <c r="E675" s="8">
        <v>2080.0</v>
      </c>
      <c r="F675" s="8" t="s">
        <v>34</v>
      </c>
      <c r="G675" s="8" t="s">
        <v>42</v>
      </c>
      <c r="H675" s="8" t="s">
        <v>374</v>
      </c>
      <c r="I675" s="8">
        <v>0.8</v>
      </c>
      <c r="J675" s="8">
        <v>0.0</v>
      </c>
      <c r="K675" s="8">
        <v>2.0</v>
      </c>
      <c r="L675" s="8">
        <v>0.0</v>
      </c>
      <c r="M675" s="8">
        <v>2.0</v>
      </c>
      <c r="N675" s="8">
        <v>-1.609437912</v>
      </c>
      <c r="O675" s="8">
        <v>4.27</v>
      </c>
      <c r="P675" s="8" t="s">
        <v>368</v>
      </c>
    </row>
    <row r="676">
      <c r="A676" s="8" t="s">
        <v>461</v>
      </c>
      <c r="B676" s="8">
        <v>2008.0</v>
      </c>
      <c r="C676" s="8" t="s">
        <v>32</v>
      </c>
      <c r="D676" s="8" t="s">
        <v>462</v>
      </c>
      <c r="E676" s="8">
        <v>2080.0</v>
      </c>
      <c r="F676" s="8" t="s">
        <v>34</v>
      </c>
      <c r="G676" s="8" t="s">
        <v>42</v>
      </c>
      <c r="H676" s="8" t="s">
        <v>367</v>
      </c>
      <c r="I676" s="8">
        <v>1.0</v>
      </c>
      <c r="J676" s="8">
        <v>0.0</v>
      </c>
      <c r="K676" s="8">
        <v>2.0</v>
      </c>
      <c r="L676" s="8">
        <v>0.0</v>
      </c>
      <c r="M676" s="8">
        <v>2.0</v>
      </c>
      <c r="N676" s="8">
        <v>-1.609437912</v>
      </c>
      <c r="O676" s="8">
        <v>2.36</v>
      </c>
      <c r="P676" s="8" t="s">
        <v>368</v>
      </c>
    </row>
    <row r="677">
      <c r="A677" s="8" t="s">
        <v>461</v>
      </c>
      <c r="B677" s="8">
        <v>2008.0</v>
      </c>
      <c r="C677" s="8" t="s">
        <v>32</v>
      </c>
      <c r="D677" s="8" t="s">
        <v>462</v>
      </c>
      <c r="E677" s="8">
        <v>2080.0</v>
      </c>
      <c r="F677" s="8" t="s">
        <v>34</v>
      </c>
      <c r="G677" s="8" t="s">
        <v>42</v>
      </c>
      <c r="H677" s="8" t="s">
        <v>367</v>
      </c>
      <c r="I677" s="8">
        <v>0.95</v>
      </c>
      <c r="J677" s="8">
        <v>0.0</v>
      </c>
      <c r="K677" s="8">
        <v>2.0</v>
      </c>
      <c r="L677" s="8">
        <v>0.0</v>
      </c>
      <c r="M677" s="8">
        <v>2.0</v>
      </c>
      <c r="N677" s="8">
        <v>-1.609437912</v>
      </c>
      <c r="O677" s="8">
        <v>2.36</v>
      </c>
      <c r="P677" s="8" t="s">
        <v>368</v>
      </c>
    </row>
    <row r="678">
      <c r="A678" s="8" t="s">
        <v>461</v>
      </c>
      <c r="B678" s="8">
        <v>2008.0</v>
      </c>
      <c r="C678" s="8" t="s">
        <v>32</v>
      </c>
      <c r="D678" s="8" t="s">
        <v>462</v>
      </c>
      <c r="E678" s="8">
        <v>2080.0</v>
      </c>
      <c r="F678" s="8" t="s">
        <v>34</v>
      </c>
      <c r="G678" s="8" t="s">
        <v>42</v>
      </c>
      <c r="H678" s="8" t="s">
        <v>367</v>
      </c>
      <c r="I678" s="8">
        <v>0.8</v>
      </c>
      <c r="J678" s="8">
        <v>0.0</v>
      </c>
      <c r="K678" s="8">
        <v>2.0</v>
      </c>
      <c r="L678" s="8">
        <v>0.0</v>
      </c>
      <c r="M678" s="8">
        <v>2.0</v>
      </c>
      <c r="N678" s="8">
        <v>-1.609437912</v>
      </c>
      <c r="O678" s="8">
        <v>2.36</v>
      </c>
      <c r="P678" s="8" t="s">
        <v>368</v>
      </c>
    </row>
    <row r="679">
      <c r="A679" s="8" t="s">
        <v>461</v>
      </c>
      <c r="B679" s="8">
        <v>2008.0</v>
      </c>
      <c r="C679" s="8" t="s">
        <v>32</v>
      </c>
      <c r="D679" s="8" t="s">
        <v>462</v>
      </c>
      <c r="E679" s="8">
        <v>2080.0</v>
      </c>
      <c r="F679" s="8" t="s">
        <v>34</v>
      </c>
      <c r="G679" s="8" t="s">
        <v>42</v>
      </c>
      <c r="H679" s="8" t="s">
        <v>367</v>
      </c>
      <c r="I679" s="8">
        <v>1.0</v>
      </c>
      <c r="J679" s="8">
        <v>0.0</v>
      </c>
      <c r="K679" s="8">
        <v>2.0</v>
      </c>
      <c r="L679" s="8">
        <v>0.0</v>
      </c>
      <c r="M679" s="8">
        <v>2.0</v>
      </c>
      <c r="N679" s="8">
        <v>-1.609437912</v>
      </c>
      <c r="O679" s="8">
        <v>3.57</v>
      </c>
      <c r="P679" s="8" t="s">
        <v>368</v>
      </c>
    </row>
    <row r="680">
      <c r="A680" s="8" t="s">
        <v>461</v>
      </c>
      <c r="B680" s="8">
        <v>2008.0</v>
      </c>
      <c r="C680" s="8" t="s">
        <v>32</v>
      </c>
      <c r="D680" s="8" t="s">
        <v>462</v>
      </c>
      <c r="E680" s="8">
        <v>2080.0</v>
      </c>
      <c r="F680" s="8" t="s">
        <v>34</v>
      </c>
      <c r="G680" s="8" t="s">
        <v>42</v>
      </c>
      <c r="H680" s="8" t="s">
        <v>367</v>
      </c>
      <c r="I680" s="8">
        <v>0.95</v>
      </c>
      <c r="J680" s="8">
        <v>0.0</v>
      </c>
      <c r="K680" s="8">
        <v>2.0</v>
      </c>
      <c r="L680" s="8">
        <v>0.0</v>
      </c>
      <c r="M680" s="8">
        <v>2.0</v>
      </c>
      <c r="N680" s="8">
        <v>-1.609437912</v>
      </c>
      <c r="O680" s="8">
        <v>3.57</v>
      </c>
      <c r="P680" s="8" t="s">
        <v>368</v>
      </c>
    </row>
    <row r="681">
      <c r="A681" s="8" t="s">
        <v>461</v>
      </c>
      <c r="B681" s="8">
        <v>2008.0</v>
      </c>
      <c r="C681" s="8" t="s">
        <v>32</v>
      </c>
      <c r="D681" s="8" t="s">
        <v>462</v>
      </c>
      <c r="E681" s="8">
        <v>2080.0</v>
      </c>
      <c r="F681" s="8" t="s">
        <v>34</v>
      </c>
      <c r="G681" s="8" t="s">
        <v>42</v>
      </c>
      <c r="H681" s="8" t="s">
        <v>367</v>
      </c>
      <c r="I681" s="8">
        <v>0.8</v>
      </c>
      <c r="J681" s="8">
        <v>1.0</v>
      </c>
      <c r="K681" s="8">
        <v>2.0</v>
      </c>
      <c r="L681" s="8">
        <v>0.5</v>
      </c>
      <c r="M681" s="8">
        <v>2.0</v>
      </c>
      <c r="N681" s="8">
        <v>0.0</v>
      </c>
      <c r="O681" s="8">
        <v>3.57</v>
      </c>
      <c r="P681" s="8" t="s">
        <v>368</v>
      </c>
    </row>
    <row r="682">
      <c r="A682" s="8" t="s">
        <v>461</v>
      </c>
      <c r="B682" s="8">
        <v>2008.0</v>
      </c>
      <c r="C682" s="8" t="s">
        <v>32</v>
      </c>
      <c r="D682" s="8" t="s">
        <v>462</v>
      </c>
      <c r="E682" s="8">
        <v>2080.0</v>
      </c>
      <c r="F682" s="8" t="s">
        <v>34</v>
      </c>
      <c r="G682" s="8" t="s">
        <v>42</v>
      </c>
      <c r="H682" s="8" t="s">
        <v>367</v>
      </c>
      <c r="I682" s="8">
        <v>1.0</v>
      </c>
      <c r="J682" s="8">
        <v>0.0</v>
      </c>
      <c r="K682" s="8">
        <v>2.0</v>
      </c>
      <c r="L682" s="8">
        <v>0.0</v>
      </c>
      <c r="M682" s="8">
        <v>2.0</v>
      </c>
      <c r="N682" s="8">
        <v>-1.609437912</v>
      </c>
      <c r="O682" s="8">
        <v>4.27</v>
      </c>
      <c r="P682" s="8" t="s">
        <v>368</v>
      </c>
    </row>
    <row r="683">
      <c r="A683" s="8" t="s">
        <v>461</v>
      </c>
      <c r="B683" s="8">
        <v>2008.0</v>
      </c>
      <c r="C683" s="8" t="s">
        <v>32</v>
      </c>
      <c r="D683" s="8" t="s">
        <v>462</v>
      </c>
      <c r="E683" s="8">
        <v>2080.0</v>
      </c>
      <c r="F683" s="8" t="s">
        <v>34</v>
      </c>
      <c r="G683" s="8" t="s">
        <v>42</v>
      </c>
      <c r="H683" s="8" t="s">
        <v>367</v>
      </c>
      <c r="I683" s="8">
        <v>0.95</v>
      </c>
      <c r="J683" s="8">
        <v>0.0</v>
      </c>
      <c r="K683" s="8">
        <v>2.0</v>
      </c>
      <c r="L683" s="8">
        <v>0.0</v>
      </c>
      <c r="M683" s="8">
        <v>2.0</v>
      </c>
      <c r="N683" s="8">
        <v>-1.609437912</v>
      </c>
      <c r="O683" s="8">
        <v>4.27</v>
      </c>
      <c r="P683" s="8" t="s">
        <v>368</v>
      </c>
    </row>
    <row r="684">
      <c r="A684" s="8" t="s">
        <v>461</v>
      </c>
      <c r="B684" s="8">
        <v>2008.0</v>
      </c>
      <c r="C684" s="8" t="s">
        <v>32</v>
      </c>
      <c r="D684" s="8" t="s">
        <v>462</v>
      </c>
      <c r="E684" s="8">
        <v>2080.0</v>
      </c>
      <c r="F684" s="8" t="s">
        <v>34</v>
      </c>
      <c r="G684" s="8" t="s">
        <v>42</v>
      </c>
      <c r="H684" s="8" t="s">
        <v>367</v>
      </c>
      <c r="I684" s="8">
        <v>0.8</v>
      </c>
      <c r="J684" s="8">
        <v>2.0</v>
      </c>
      <c r="K684" s="8">
        <v>2.0</v>
      </c>
      <c r="L684" s="8">
        <v>1.0</v>
      </c>
      <c r="M684" s="8">
        <v>2.0</v>
      </c>
      <c r="N684" s="8">
        <v>1.609437912</v>
      </c>
      <c r="O684" s="8">
        <v>4.27</v>
      </c>
      <c r="P684" s="8" t="s">
        <v>368</v>
      </c>
    </row>
    <row r="685">
      <c r="A685" s="8" t="s">
        <v>463</v>
      </c>
      <c r="B685" s="8">
        <v>2008.0</v>
      </c>
      <c r="C685" s="8" t="s">
        <v>32</v>
      </c>
      <c r="D685" s="8" t="s">
        <v>375</v>
      </c>
      <c r="E685" s="8">
        <v>2035.0</v>
      </c>
      <c r="F685" s="8" t="s">
        <v>34</v>
      </c>
      <c r="G685" s="8" t="s">
        <v>42</v>
      </c>
      <c r="H685" s="8" t="s">
        <v>374</v>
      </c>
      <c r="I685" s="8">
        <v>1.0</v>
      </c>
      <c r="J685" s="8">
        <v>0.0</v>
      </c>
      <c r="K685" s="8">
        <v>27.0</v>
      </c>
      <c r="L685" s="8">
        <v>0.0</v>
      </c>
      <c r="M685" s="8">
        <v>27.0</v>
      </c>
      <c r="N685" s="8">
        <v>-4.007333185</v>
      </c>
      <c r="O685" s="8">
        <v>1.7</v>
      </c>
      <c r="P685" s="8" t="s">
        <v>368</v>
      </c>
    </row>
    <row r="686">
      <c r="A686" s="8" t="s">
        <v>463</v>
      </c>
      <c r="B686" s="8">
        <v>2008.0</v>
      </c>
      <c r="C686" s="8" t="s">
        <v>32</v>
      </c>
      <c r="D686" s="8" t="s">
        <v>375</v>
      </c>
      <c r="E686" s="8">
        <v>2035.0</v>
      </c>
      <c r="F686" s="8" t="s">
        <v>34</v>
      </c>
      <c r="G686" s="8" t="s">
        <v>42</v>
      </c>
      <c r="H686" s="8" t="s">
        <v>374</v>
      </c>
      <c r="I686" s="8">
        <v>0.95</v>
      </c>
      <c r="J686" s="8">
        <v>1.0</v>
      </c>
      <c r="K686" s="8">
        <v>27.0</v>
      </c>
      <c r="L686" s="8">
        <v>0.037037037</v>
      </c>
      <c r="M686" s="8">
        <v>27.0</v>
      </c>
      <c r="N686" s="8">
        <v>-3.258096538</v>
      </c>
      <c r="O686" s="8">
        <v>1.7</v>
      </c>
      <c r="P686" s="8" t="s">
        <v>368</v>
      </c>
    </row>
    <row r="687">
      <c r="A687" s="8" t="s">
        <v>463</v>
      </c>
      <c r="B687" s="8">
        <v>2008.0</v>
      </c>
      <c r="C687" s="8" t="s">
        <v>32</v>
      </c>
      <c r="D687" s="8" t="s">
        <v>375</v>
      </c>
      <c r="E687" s="8">
        <v>2035.0</v>
      </c>
      <c r="F687" s="8" t="s">
        <v>34</v>
      </c>
      <c r="G687" s="8" t="s">
        <v>42</v>
      </c>
      <c r="H687" s="8" t="s">
        <v>374</v>
      </c>
      <c r="I687" s="8">
        <v>0.8</v>
      </c>
      <c r="J687" s="8">
        <v>5.0</v>
      </c>
      <c r="K687" s="8">
        <v>27.0</v>
      </c>
      <c r="L687" s="8">
        <v>0.185185185</v>
      </c>
      <c r="M687" s="8">
        <v>27.0</v>
      </c>
      <c r="N687" s="8">
        <v>-1.481604541</v>
      </c>
      <c r="O687" s="8">
        <v>1.7</v>
      </c>
      <c r="P687" s="8" t="s">
        <v>368</v>
      </c>
    </row>
    <row r="688">
      <c r="A688" s="8" t="s">
        <v>463</v>
      </c>
      <c r="B688" s="8">
        <v>2008.0</v>
      </c>
      <c r="C688" s="8" t="s">
        <v>32</v>
      </c>
      <c r="D688" s="8" t="s">
        <v>375</v>
      </c>
      <c r="E688" s="8">
        <v>2065.0</v>
      </c>
      <c r="F688" s="8" t="s">
        <v>34</v>
      </c>
      <c r="G688" s="8" t="s">
        <v>42</v>
      </c>
      <c r="H688" s="8" t="s">
        <v>374</v>
      </c>
      <c r="I688" s="8">
        <v>1.0</v>
      </c>
      <c r="J688" s="8">
        <v>2.0</v>
      </c>
      <c r="K688" s="8">
        <v>27.0</v>
      </c>
      <c r="L688" s="8">
        <v>0.074074074</v>
      </c>
      <c r="M688" s="8">
        <v>27.0</v>
      </c>
      <c r="N688" s="8">
        <v>-2.525728644</v>
      </c>
      <c r="O688" s="8">
        <v>2.88</v>
      </c>
      <c r="P688" s="8" t="s">
        <v>368</v>
      </c>
    </row>
    <row r="689">
      <c r="A689" s="8" t="s">
        <v>463</v>
      </c>
      <c r="B689" s="8">
        <v>2008.0</v>
      </c>
      <c r="C689" s="8" t="s">
        <v>32</v>
      </c>
      <c r="D689" s="8" t="s">
        <v>375</v>
      </c>
      <c r="E689" s="8">
        <v>2065.0</v>
      </c>
      <c r="F689" s="8" t="s">
        <v>34</v>
      </c>
      <c r="G689" s="8" t="s">
        <v>42</v>
      </c>
      <c r="H689" s="8" t="s">
        <v>374</v>
      </c>
      <c r="I689" s="8">
        <v>0.95</v>
      </c>
      <c r="J689" s="8">
        <v>13.0</v>
      </c>
      <c r="K689" s="8">
        <v>27.0</v>
      </c>
      <c r="L689" s="8">
        <v>0.481481481</v>
      </c>
      <c r="M689" s="8">
        <v>27.0</v>
      </c>
      <c r="N689" s="8">
        <v>-0.074107972</v>
      </c>
      <c r="O689" s="8">
        <v>2.88</v>
      </c>
      <c r="P689" s="8" t="s">
        <v>368</v>
      </c>
    </row>
    <row r="690">
      <c r="A690" s="8" t="s">
        <v>463</v>
      </c>
      <c r="B690" s="8">
        <v>2008.0</v>
      </c>
      <c r="C690" s="8" t="s">
        <v>32</v>
      </c>
      <c r="D690" s="8" t="s">
        <v>375</v>
      </c>
      <c r="E690" s="8">
        <v>2065.0</v>
      </c>
      <c r="F690" s="8" t="s">
        <v>34</v>
      </c>
      <c r="G690" s="8" t="s">
        <v>42</v>
      </c>
      <c r="H690" s="8" t="s">
        <v>374</v>
      </c>
      <c r="I690" s="8">
        <v>0.8</v>
      </c>
      <c r="J690" s="8">
        <v>19.0</v>
      </c>
      <c r="K690" s="8">
        <v>27.0</v>
      </c>
      <c r="L690" s="8">
        <v>0.703703704</v>
      </c>
      <c r="M690" s="8">
        <v>27.0</v>
      </c>
      <c r="N690" s="8">
        <v>0.864997437</v>
      </c>
      <c r="O690" s="8">
        <v>2.88</v>
      </c>
      <c r="P690" s="8" t="s">
        <v>368</v>
      </c>
    </row>
    <row r="691">
      <c r="A691" s="8" t="s">
        <v>463</v>
      </c>
      <c r="B691" s="8">
        <v>2008.0</v>
      </c>
      <c r="C691" s="8" t="s">
        <v>32</v>
      </c>
      <c r="D691" s="8" t="s">
        <v>375</v>
      </c>
      <c r="E691" s="8">
        <v>2065.0</v>
      </c>
      <c r="F691" s="8" t="s">
        <v>34</v>
      </c>
      <c r="G691" s="8" t="s">
        <v>42</v>
      </c>
      <c r="H691" s="8" t="s">
        <v>374</v>
      </c>
      <c r="I691" s="8">
        <v>1.0</v>
      </c>
      <c r="J691" s="8">
        <v>1.0</v>
      </c>
      <c r="K691" s="8">
        <v>27.0</v>
      </c>
      <c r="L691" s="8">
        <v>0.037037037</v>
      </c>
      <c r="M691" s="8">
        <v>27.0</v>
      </c>
      <c r="N691" s="8">
        <v>-3.258096538</v>
      </c>
      <c r="O691" s="8">
        <v>2.05</v>
      </c>
      <c r="P691" s="8" t="s">
        <v>368</v>
      </c>
    </row>
    <row r="692">
      <c r="A692" s="8" t="s">
        <v>463</v>
      </c>
      <c r="B692" s="8">
        <v>2008.0</v>
      </c>
      <c r="C692" s="8" t="s">
        <v>32</v>
      </c>
      <c r="D692" s="8" t="s">
        <v>375</v>
      </c>
      <c r="E692" s="8">
        <v>2065.0</v>
      </c>
      <c r="F692" s="8" t="s">
        <v>34</v>
      </c>
      <c r="G692" s="8" t="s">
        <v>42</v>
      </c>
      <c r="H692" s="8" t="s">
        <v>374</v>
      </c>
      <c r="I692" s="8">
        <v>0.95</v>
      </c>
      <c r="J692" s="8">
        <v>5.0</v>
      </c>
      <c r="K692" s="8">
        <v>27.0</v>
      </c>
      <c r="L692" s="8">
        <v>0.185185185</v>
      </c>
      <c r="M692" s="8">
        <v>27.0</v>
      </c>
      <c r="N692" s="8">
        <v>-1.481604541</v>
      </c>
      <c r="O692" s="8">
        <v>2.05</v>
      </c>
      <c r="P692" s="8" t="s">
        <v>368</v>
      </c>
    </row>
    <row r="693">
      <c r="A693" s="8" t="s">
        <v>463</v>
      </c>
      <c r="B693" s="8">
        <v>2008.0</v>
      </c>
      <c r="C693" s="8" t="s">
        <v>32</v>
      </c>
      <c r="D693" s="8" t="s">
        <v>375</v>
      </c>
      <c r="E693" s="8">
        <v>2065.0</v>
      </c>
      <c r="F693" s="8" t="s">
        <v>34</v>
      </c>
      <c r="G693" s="8" t="s">
        <v>42</v>
      </c>
      <c r="H693" s="8" t="s">
        <v>374</v>
      </c>
      <c r="I693" s="8">
        <v>0.8</v>
      </c>
      <c r="J693" s="8">
        <v>12.0</v>
      </c>
      <c r="K693" s="8">
        <v>27.0</v>
      </c>
      <c r="L693" s="8">
        <v>0.444444444</v>
      </c>
      <c r="M693" s="8">
        <v>27.0</v>
      </c>
      <c r="N693" s="8">
        <v>-0.223143551</v>
      </c>
      <c r="O693" s="8">
        <v>2.05</v>
      </c>
      <c r="P693" s="8" t="s">
        <v>368</v>
      </c>
    </row>
    <row r="694">
      <c r="A694" s="8" t="s">
        <v>464</v>
      </c>
      <c r="B694" s="8">
        <v>2009.0</v>
      </c>
      <c r="C694" s="8" t="s">
        <v>32</v>
      </c>
      <c r="D694" s="8" t="s">
        <v>371</v>
      </c>
      <c r="E694" s="8">
        <v>2100.0</v>
      </c>
      <c r="F694" s="8" t="s">
        <v>34</v>
      </c>
      <c r="G694" s="8" t="s">
        <v>42</v>
      </c>
      <c r="H694" s="8" t="s">
        <v>367</v>
      </c>
      <c r="I694" s="8">
        <v>1.0</v>
      </c>
      <c r="J694" s="8">
        <v>0.0</v>
      </c>
      <c r="K694" s="8">
        <v>287.0</v>
      </c>
      <c r="L694" s="8">
        <v>0.0</v>
      </c>
      <c r="M694" s="8">
        <v>287.0</v>
      </c>
      <c r="N694" s="8">
        <v>-6.354370041</v>
      </c>
      <c r="O694" s="8">
        <v>5.2</v>
      </c>
      <c r="P694" s="8" t="s">
        <v>368</v>
      </c>
    </row>
    <row r="695">
      <c r="A695" s="8" t="s">
        <v>464</v>
      </c>
      <c r="B695" s="8">
        <v>2009.0</v>
      </c>
      <c r="C695" s="8" t="s">
        <v>32</v>
      </c>
      <c r="D695" s="8" t="s">
        <v>371</v>
      </c>
      <c r="E695" s="8">
        <v>2100.0</v>
      </c>
      <c r="F695" s="8" t="s">
        <v>34</v>
      </c>
      <c r="G695" s="8" t="s">
        <v>42</v>
      </c>
      <c r="H695" s="8" t="s">
        <v>416</v>
      </c>
      <c r="I695" s="8">
        <v>1.0</v>
      </c>
      <c r="J695" s="8">
        <v>70.0</v>
      </c>
      <c r="K695" s="8">
        <v>287.0</v>
      </c>
      <c r="L695" s="8">
        <v>0.243902439</v>
      </c>
      <c r="M695" s="8">
        <v>287.0</v>
      </c>
      <c r="N695" s="8">
        <v>-1.131402111</v>
      </c>
      <c r="O695" s="8">
        <v>5.2</v>
      </c>
      <c r="P695" s="8" t="s">
        <v>368</v>
      </c>
    </row>
    <row r="696">
      <c r="A696" s="8" t="s">
        <v>464</v>
      </c>
      <c r="B696" s="8">
        <v>2009.0</v>
      </c>
      <c r="C696" s="8" t="s">
        <v>32</v>
      </c>
      <c r="D696" s="8" t="s">
        <v>371</v>
      </c>
      <c r="E696" s="8">
        <v>2100.0</v>
      </c>
      <c r="F696" s="8" t="s">
        <v>34</v>
      </c>
      <c r="G696" s="8" t="s">
        <v>42</v>
      </c>
      <c r="H696" s="8" t="s">
        <v>416</v>
      </c>
      <c r="I696" s="8">
        <v>1.0</v>
      </c>
      <c r="J696" s="8">
        <v>57.0</v>
      </c>
      <c r="K696" s="8">
        <v>287.0</v>
      </c>
      <c r="L696" s="8">
        <v>0.198606272</v>
      </c>
      <c r="M696" s="8">
        <v>287.0</v>
      </c>
      <c r="N696" s="8">
        <v>-1.395028041</v>
      </c>
      <c r="O696" s="8">
        <v>5.2</v>
      </c>
      <c r="P696" s="8" t="s">
        <v>368</v>
      </c>
    </row>
    <row r="697">
      <c r="A697" s="8" t="s">
        <v>464</v>
      </c>
      <c r="B697" s="8">
        <v>2009.0</v>
      </c>
      <c r="C697" s="8" t="s">
        <v>32</v>
      </c>
      <c r="D697" s="8" t="s">
        <v>371</v>
      </c>
      <c r="E697" s="8">
        <v>2100.0</v>
      </c>
      <c r="F697" s="8" t="s">
        <v>34</v>
      </c>
      <c r="G697" s="8" t="s">
        <v>42</v>
      </c>
      <c r="H697" s="8" t="s">
        <v>374</v>
      </c>
      <c r="I697" s="8">
        <v>1.0</v>
      </c>
      <c r="J697" s="8">
        <v>45.0</v>
      </c>
      <c r="K697" s="8">
        <v>287.0</v>
      </c>
      <c r="L697" s="8">
        <v>0.156794425</v>
      </c>
      <c r="M697" s="8">
        <v>287.0</v>
      </c>
      <c r="N697" s="8">
        <v>-1.682275236</v>
      </c>
      <c r="O697" s="8">
        <v>5.2</v>
      </c>
      <c r="P697" s="8" t="s">
        <v>368</v>
      </c>
    </row>
    <row r="698">
      <c r="A698" s="8" t="s">
        <v>464</v>
      </c>
      <c r="B698" s="8">
        <v>2009.0</v>
      </c>
      <c r="C698" s="8" t="s">
        <v>32</v>
      </c>
      <c r="D698" s="8" t="s">
        <v>371</v>
      </c>
      <c r="E698" s="8">
        <v>2100.0</v>
      </c>
      <c r="F698" s="8" t="s">
        <v>34</v>
      </c>
      <c r="G698" s="8" t="s">
        <v>42</v>
      </c>
      <c r="H698" s="8" t="s">
        <v>367</v>
      </c>
      <c r="I698" s="8">
        <v>0.9</v>
      </c>
      <c r="J698" s="8">
        <v>255.0</v>
      </c>
      <c r="K698" s="8">
        <v>287.0</v>
      </c>
      <c r="L698" s="8">
        <v>0.888501742</v>
      </c>
      <c r="M698" s="8">
        <v>287.0</v>
      </c>
      <c r="N698" s="8">
        <v>2.075527642</v>
      </c>
      <c r="O698" s="8">
        <v>5.2</v>
      </c>
      <c r="P698" s="8" t="s">
        <v>368</v>
      </c>
    </row>
    <row r="699">
      <c r="A699" s="8" t="s">
        <v>464</v>
      </c>
      <c r="B699" s="8">
        <v>2009.0</v>
      </c>
      <c r="C699" s="8" t="s">
        <v>32</v>
      </c>
      <c r="D699" s="8" t="s">
        <v>371</v>
      </c>
      <c r="E699" s="8">
        <v>2100.0</v>
      </c>
      <c r="F699" s="8" t="s">
        <v>34</v>
      </c>
      <c r="G699" s="8" t="s">
        <v>42</v>
      </c>
      <c r="H699" s="8" t="s">
        <v>416</v>
      </c>
      <c r="I699" s="8">
        <v>0.9</v>
      </c>
      <c r="J699" s="8">
        <v>208.0</v>
      </c>
      <c r="K699" s="8">
        <v>287.0</v>
      </c>
      <c r="L699" s="8">
        <v>0.724738676</v>
      </c>
      <c r="M699" s="8">
        <v>287.0</v>
      </c>
      <c r="N699" s="8">
        <v>0.968090227</v>
      </c>
      <c r="O699" s="8">
        <v>5.2</v>
      </c>
      <c r="P699" s="8" t="s">
        <v>368</v>
      </c>
    </row>
    <row r="700">
      <c r="A700" s="8" t="s">
        <v>464</v>
      </c>
      <c r="B700" s="8">
        <v>2009.0</v>
      </c>
      <c r="C700" s="8" t="s">
        <v>32</v>
      </c>
      <c r="D700" s="8" t="s">
        <v>371</v>
      </c>
      <c r="E700" s="8">
        <v>2100.0</v>
      </c>
      <c r="F700" s="8" t="s">
        <v>34</v>
      </c>
      <c r="G700" s="8" t="s">
        <v>42</v>
      </c>
      <c r="H700" s="8" t="s">
        <v>416</v>
      </c>
      <c r="I700" s="8">
        <v>0.9</v>
      </c>
      <c r="J700" s="8">
        <v>203.0</v>
      </c>
      <c r="K700" s="8">
        <v>287.0</v>
      </c>
      <c r="L700" s="8">
        <v>0.707317073</v>
      </c>
      <c r="M700" s="8">
        <v>287.0</v>
      </c>
      <c r="N700" s="8">
        <v>0.88238918</v>
      </c>
      <c r="O700" s="8">
        <v>5.2</v>
      </c>
      <c r="P700" s="8" t="s">
        <v>368</v>
      </c>
    </row>
    <row r="701">
      <c r="A701" s="8" t="s">
        <v>464</v>
      </c>
      <c r="B701" s="8">
        <v>2009.0</v>
      </c>
      <c r="C701" s="8" t="s">
        <v>32</v>
      </c>
      <c r="D701" s="8" t="s">
        <v>371</v>
      </c>
      <c r="E701" s="8">
        <v>2100.0</v>
      </c>
      <c r="F701" s="8" t="s">
        <v>34</v>
      </c>
      <c r="G701" s="8" t="s">
        <v>42</v>
      </c>
      <c r="H701" s="8" t="s">
        <v>374</v>
      </c>
      <c r="I701" s="8">
        <v>0.9</v>
      </c>
      <c r="J701" s="8">
        <v>192.0</v>
      </c>
      <c r="K701" s="8">
        <v>287.0</v>
      </c>
      <c r="L701" s="8">
        <v>0.668989547</v>
      </c>
      <c r="M701" s="8">
        <v>287.0</v>
      </c>
      <c r="N701" s="8">
        <v>0.70361848</v>
      </c>
      <c r="O701" s="8">
        <v>5.2</v>
      </c>
      <c r="P701" s="8" t="s">
        <v>368</v>
      </c>
    </row>
    <row r="702">
      <c r="A702" s="8" t="s">
        <v>464</v>
      </c>
      <c r="B702" s="8">
        <v>2009.0</v>
      </c>
      <c r="C702" s="8" t="s">
        <v>32</v>
      </c>
      <c r="D702" s="8" t="s">
        <v>371</v>
      </c>
      <c r="E702" s="8">
        <v>2100.0</v>
      </c>
      <c r="F702" s="8" t="s">
        <v>34</v>
      </c>
      <c r="G702" s="8" t="s">
        <v>42</v>
      </c>
      <c r="H702" s="8" t="s">
        <v>367</v>
      </c>
      <c r="I702" s="8">
        <v>1.0</v>
      </c>
      <c r="J702" s="8">
        <v>109.0</v>
      </c>
      <c r="K702" s="8">
        <v>287.0</v>
      </c>
      <c r="L702" s="8">
        <v>0.379790941</v>
      </c>
      <c r="M702" s="8">
        <v>287.0</v>
      </c>
      <c r="N702" s="8">
        <v>-0.490435668</v>
      </c>
      <c r="O702" s="8">
        <v>4.2</v>
      </c>
      <c r="P702" s="8" t="s">
        <v>368</v>
      </c>
    </row>
    <row r="703">
      <c r="A703" s="8" t="s">
        <v>464</v>
      </c>
      <c r="B703" s="8">
        <v>2009.0</v>
      </c>
      <c r="C703" s="8" t="s">
        <v>32</v>
      </c>
      <c r="D703" s="8" t="s">
        <v>371</v>
      </c>
      <c r="E703" s="8">
        <v>2100.0</v>
      </c>
      <c r="F703" s="8" t="s">
        <v>34</v>
      </c>
      <c r="G703" s="8" t="s">
        <v>42</v>
      </c>
      <c r="H703" s="8" t="s">
        <v>416</v>
      </c>
      <c r="I703" s="8">
        <v>1.0</v>
      </c>
      <c r="J703" s="8">
        <v>39.0</v>
      </c>
      <c r="K703" s="8">
        <v>287.0</v>
      </c>
      <c r="L703" s="8">
        <v>0.135888502</v>
      </c>
      <c r="M703" s="8">
        <v>287.0</v>
      </c>
      <c r="N703" s="8">
        <v>-1.8498671</v>
      </c>
      <c r="O703" s="8">
        <v>4.2</v>
      </c>
      <c r="P703" s="8" t="s">
        <v>368</v>
      </c>
    </row>
    <row r="704">
      <c r="A704" s="8" t="s">
        <v>464</v>
      </c>
      <c r="B704" s="8">
        <v>2009.0</v>
      </c>
      <c r="C704" s="8" t="s">
        <v>32</v>
      </c>
      <c r="D704" s="8" t="s">
        <v>371</v>
      </c>
      <c r="E704" s="8">
        <v>2100.0</v>
      </c>
      <c r="F704" s="8" t="s">
        <v>34</v>
      </c>
      <c r="G704" s="8" t="s">
        <v>42</v>
      </c>
      <c r="H704" s="8" t="s">
        <v>416</v>
      </c>
      <c r="I704" s="8">
        <v>1.0</v>
      </c>
      <c r="J704" s="8">
        <v>25.0</v>
      </c>
      <c r="K704" s="8">
        <v>287.0</v>
      </c>
      <c r="L704" s="8">
        <v>0.087108014</v>
      </c>
      <c r="M704" s="8">
        <v>287.0</v>
      </c>
      <c r="N704" s="8">
        <v>-2.349468679</v>
      </c>
      <c r="O704" s="8">
        <v>4.2</v>
      </c>
      <c r="P704" s="8" t="s">
        <v>368</v>
      </c>
    </row>
    <row r="705">
      <c r="A705" s="8" t="s">
        <v>464</v>
      </c>
      <c r="B705" s="8">
        <v>2009.0</v>
      </c>
      <c r="C705" s="8" t="s">
        <v>32</v>
      </c>
      <c r="D705" s="8" t="s">
        <v>371</v>
      </c>
      <c r="E705" s="8">
        <v>2100.0</v>
      </c>
      <c r="F705" s="8" t="s">
        <v>34</v>
      </c>
      <c r="G705" s="8" t="s">
        <v>42</v>
      </c>
      <c r="H705" s="8" t="s">
        <v>374</v>
      </c>
      <c r="I705" s="8">
        <v>1.0</v>
      </c>
      <c r="J705" s="8">
        <v>21.0</v>
      </c>
      <c r="K705" s="8">
        <v>287.0</v>
      </c>
      <c r="L705" s="8">
        <v>0.073170732</v>
      </c>
      <c r="M705" s="8">
        <v>287.0</v>
      </c>
      <c r="N705" s="8">
        <v>-2.538973871</v>
      </c>
      <c r="O705" s="8">
        <v>4.2</v>
      </c>
      <c r="P705" s="8" t="s">
        <v>368</v>
      </c>
    </row>
    <row r="706">
      <c r="A706" s="8" t="s">
        <v>464</v>
      </c>
      <c r="B706" s="8">
        <v>2009.0</v>
      </c>
      <c r="C706" s="8" t="s">
        <v>32</v>
      </c>
      <c r="D706" s="8" t="s">
        <v>371</v>
      </c>
      <c r="E706" s="8">
        <v>2100.0</v>
      </c>
      <c r="F706" s="8" t="s">
        <v>34</v>
      </c>
      <c r="G706" s="8" t="s">
        <v>42</v>
      </c>
      <c r="H706" s="8" t="s">
        <v>367</v>
      </c>
      <c r="I706" s="8">
        <v>0.9</v>
      </c>
      <c r="J706" s="8">
        <v>245.0</v>
      </c>
      <c r="K706" s="8">
        <v>287.0</v>
      </c>
      <c r="L706" s="8">
        <v>0.853658537</v>
      </c>
      <c r="M706" s="8">
        <v>287.0</v>
      </c>
      <c r="N706" s="8">
        <v>1.763588592</v>
      </c>
      <c r="O706" s="8">
        <v>4.2</v>
      </c>
      <c r="P706" s="8" t="s">
        <v>368</v>
      </c>
    </row>
    <row r="707">
      <c r="A707" s="8" t="s">
        <v>464</v>
      </c>
      <c r="B707" s="8">
        <v>2009.0</v>
      </c>
      <c r="C707" s="8" t="s">
        <v>32</v>
      </c>
      <c r="D707" s="8" t="s">
        <v>371</v>
      </c>
      <c r="E707" s="8">
        <v>2100.0</v>
      </c>
      <c r="F707" s="8" t="s">
        <v>34</v>
      </c>
      <c r="G707" s="8" t="s">
        <v>42</v>
      </c>
      <c r="H707" s="8" t="s">
        <v>416</v>
      </c>
      <c r="I707" s="8">
        <v>0.9</v>
      </c>
      <c r="J707" s="8">
        <v>172.0</v>
      </c>
      <c r="K707" s="8">
        <v>287.0</v>
      </c>
      <c r="L707" s="8">
        <v>0.599303136</v>
      </c>
      <c r="M707" s="8">
        <v>287.0</v>
      </c>
      <c r="N707" s="8">
        <v>0.402562348</v>
      </c>
      <c r="O707" s="8">
        <v>4.2</v>
      </c>
      <c r="P707" s="8" t="s">
        <v>368</v>
      </c>
    </row>
    <row r="708">
      <c r="A708" s="8" t="s">
        <v>464</v>
      </c>
      <c r="B708" s="8">
        <v>2009.0</v>
      </c>
      <c r="C708" s="8" t="s">
        <v>32</v>
      </c>
      <c r="D708" s="8" t="s">
        <v>371</v>
      </c>
      <c r="E708" s="8">
        <v>2100.0</v>
      </c>
      <c r="F708" s="8" t="s">
        <v>34</v>
      </c>
      <c r="G708" s="8" t="s">
        <v>42</v>
      </c>
      <c r="H708" s="8" t="s">
        <v>416</v>
      </c>
      <c r="I708" s="8">
        <v>0.9</v>
      </c>
      <c r="J708" s="8">
        <v>167.0</v>
      </c>
      <c r="K708" s="8">
        <v>287.0</v>
      </c>
      <c r="L708" s="8">
        <v>0.581881533</v>
      </c>
      <c r="M708" s="8">
        <v>287.0</v>
      </c>
      <c r="N708" s="8">
        <v>0.33050207</v>
      </c>
      <c r="O708" s="8">
        <v>4.2</v>
      </c>
      <c r="P708" s="8" t="s">
        <v>368</v>
      </c>
    </row>
    <row r="709">
      <c r="A709" s="8" t="s">
        <v>464</v>
      </c>
      <c r="B709" s="8">
        <v>2009.0</v>
      </c>
      <c r="C709" s="8" t="s">
        <v>32</v>
      </c>
      <c r="D709" s="8" t="s">
        <v>371</v>
      </c>
      <c r="E709" s="8">
        <v>2100.0</v>
      </c>
      <c r="F709" s="8" t="s">
        <v>34</v>
      </c>
      <c r="G709" s="8" t="s">
        <v>42</v>
      </c>
      <c r="H709" s="8" t="s">
        <v>374</v>
      </c>
      <c r="I709" s="8">
        <v>0.9</v>
      </c>
      <c r="J709" s="8">
        <v>156.0</v>
      </c>
      <c r="K709" s="8">
        <v>287.0</v>
      </c>
      <c r="L709" s="8">
        <v>0.543554007</v>
      </c>
      <c r="M709" s="8">
        <v>287.0</v>
      </c>
      <c r="N709" s="8">
        <v>0.174658684</v>
      </c>
      <c r="O709" s="8">
        <v>4.2</v>
      </c>
      <c r="P709" s="8" t="s">
        <v>368</v>
      </c>
    </row>
    <row r="710">
      <c r="A710" s="8" t="s">
        <v>464</v>
      </c>
      <c r="B710" s="8">
        <v>2009.0</v>
      </c>
      <c r="C710" s="8" t="s">
        <v>32</v>
      </c>
      <c r="D710" s="8" t="s">
        <v>371</v>
      </c>
      <c r="E710" s="8">
        <v>2100.0</v>
      </c>
      <c r="F710" s="8" t="s">
        <v>34</v>
      </c>
      <c r="G710" s="8" t="s">
        <v>42</v>
      </c>
      <c r="H710" s="8" t="s">
        <v>367</v>
      </c>
      <c r="I710" s="8">
        <v>1.0</v>
      </c>
      <c r="J710" s="8">
        <v>41.0</v>
      </c>
      <c r="K710" s="8">
        <v>287.0</v>
      </c>
      <c r="L710" s="8">
        <v>0.142857143</v>
      </c>
      <c r="M710" s="8">
        <v>287.0</v>
      </c>
      <c r="N710" s="8">
        <v>-1.791759469</v>
      </c>
      <c r="O710" s="8">
        <v>2.5</v>
      </c>
      <c r="P710" s="8" t="s">
        <v>368</v>
      </c>
    </row>
    <row r="711">
      <c r="A711" s="8" t="s">
        <v>464</v>
      </c>
      <c r="B711" s="8">
        <v>2009.0</v>
      </c>
      <c r="C711" s="8" t="s">
        <v>32</v>
      </c>
      <c r="D711" s="8" t="s">
        <v>371</v>
      </c>
      <c r="E711" s="8">
        <v>2100.0</v>
      </c>
      <c r="F711" s="8" t="s">
        <v>34</v>
      </c>
      <c r="G711" s="8" t="s">
        <v>42</v>
      </c>
      <c r="H711" s="8" t="s">
        <v>416</v>
      </c>
      <c r="I711" s="8">
        <v>1.0</v>
      </c>
      <c r="J711" s="8">
        <v>3.0</v>
      </c>
      <c r="K711" s="8">
        <v>287.0</v>
      </c>
      <c r="L711" s="8">
        <v>0.010452962</v>
      </c>
      <c r="M711" s="8">
        <v>287.0</v>
      </c>
      <c r="N711" s="8">
        <v>-4.550361949</v>
      </c>
      <c r="O711" s="8">
        <v>2.5</v>
      </c>
      <c r="P711" s="8" t="s">
        <v>368</v>
      </c>
    </row>
    <row r="712">
      <c r="A712" s="8" t="s">
        <v>464</v>
      </c>
      <c r="B712" s="8">
        <v>2009.0</v>
      </c>
      <c r="C712" s="8" t="s">
        <v>32</v>
      </c>
      <c r="D712" s="8" t="s">
        <v>371</v>
      </c>
      <c r="E712" s="8">
        <v>2100.0</v>
      </c>
      <c r="F712" s="8" t="s">
        <v>34</v>
      </c>
      <c r="G712" s="8" t="s">
        <v>42</v>
      </c>
      <c r="H712" s="8" t="s">
        <v>416</v>
      </c>
      <c r="I712" s="8">
        <v>1.0</v>
      </c>
      <c r="J712" s="8">
        <v>1.0</v>
      </c>
      <c r="K712" s="8">
        <v>287.0</v>
      </c>
      <c r="L712" s="8">
        <v>0.003484321</v>
      </c>
      <c r="M712" s="8">
        <v>287.0</v>
      </c>
      <c r="N712" s="8">
        <v>-5.655991811</v>
      </c>
      <c r="O712" s="8">
        <v>2.5</v>
      </c>
      <c r="P712" s="8" t="s">
        <v>368</v>
      </c>
    </row>
    <row r="713">
      <c r="A713" s="8" t="s">
        <v>464</v>
      </c>
      <c r="B713" s="8">
        <v>2009.0</v>
      </c>
      <c r="C713" s="8" t="s">
        <v>32</v>
      </c>
      <c r="D713" s="8" t="s">
        <v>371</v>
      </c>
      <c r="E713" s="8">
        <v>2100.0</v>
      </c>
      <c r="F713" s="8" t="s">
        <v>34</v>
      </c>
      <c r="G713" s="8" t="s">
        <v>42</v>
      </c>
      <c r="H713" s="8" t="s">
        <v>374</v>
      </c>
      <c r="I713" s="8">
        <v>1.0</v>
      </c>
      <c r="J713" s="8">
        <v>1.0</v>
      </c>
      <c r="K713" s="8">
        <v>287.0</v>
      </c>
      <c r="L713" s="8">
        <v>0.003484321</v>
      </c>
      <c r="M713" s="8">
        <v>287.0</v>
      </c>
      <c r="N713" s="8">
        <v>-5.655991811</v>
      </c>
      <c r="O713" s="8">
        <v>2.5</v>
      </c>
      <c r="P713" s="8" t="s">
        <v>368</v>
      </c>
    </row>
    <row r="714">
      <c r="A714" s="8" t="s">
        <v>464</v>
      </c>
      <c r="B714" s="8">
        <v>2009.0</v>
      </c>
      <c r="C714" s="8" t="s">
        <v>32</v>
      </c>
      <c r="D714" s="8" t="s">
        <v>371</v>
      </c>
      <c r="E714" s="8">
        <v>2100.0</v>
      </c>
      <c r="F714" s="8" t="s">
        <v>34</v>
      </c>
      <c r="G714" s="8" t="s">
        <v>42</v>
      </c>
      <c r="H714" s="8" t="s">
        <v>367</v>
      </c>
      <c r="I714" s="8">
        <v>0.9</v>
      </c>
      <c r="J714" s="8">
        <v>190.0</v>
      </c>
      <c r="K714" s="8">
        <v>287.0</v>
      </c>
      <c r="L714" s="8">
        <v>0.662020906</v>
      </c>
      <c r="M714" s="8">
        <v>287.0</v>
      </c>
      <c r="N714" s="8">
        <v>0.6723130939999999</v>
      </c>
      <c r="O714" s="8">
        <v>2.5</v>
      </c>
      <c r="P714" s="8" t="s">
        <v>368</v>
      </c>
    </row>
    <row r="715">
      <c r="A715" s="8" t="s">
        <v>464</v>
      </c>
      <c r="B715" s="8">
        <v>2009.0</v>
      </c>
      <c r="C715" s="8" t="s">
        <v>32</v>
      </c>
      <c r="D715" s="8" t="s">
        <v>371</v>
      </c>
      <c r="E715" s="8">
        <v>2100.0</v>
      </c>
      <c r="F715" s="8" t="s">
        <v>34</v>
      </c>
      <c r="G715" s="8" t="s">
        <v>42</v>
      </c>
      <c r="H715" s="8" t="s">
        <v>416</v>
      </c>
      <c r="I715" s="8">
        <v>0.9</v>
      </c>
      <c r="J715" s="8">
        <v>92.0</v>
      </c>
      <c r="K715" s="8">
        <v>287.0</v>
      </c>
      <c r="L715" s="8">
        <v>0.320557491</v>
      </c>
      <c r="M715" s="8">
        <v>287.0</v>
      </c>
      <c r="N715" s="8">
        <v>-0.751210982</v>
      </c>
      <c r="O715" s="8">
        <v>2.5</v>
      </c>
      <c r="P715" s="8" t="s">
        <v>368</v>
      </c>
    </row>
    <row r="716">
      <c r="A716" s="8" t="s">
        <v>464</v>
      </c>
      <c r="B716" s="8">
        <v>2009.0</v>
      </c>
      <c r="C716" s="8" t="s">
        <v>32</v>
      </c>
      <c r="D716" s="8" t="s">
        <v>371</v>
      </c>
      <c r="E716" s="8">
        <v>2100.0</v>
      </c>
      <c r="F716" s="8" t="s">
        <v>34</v>
      </c>
      <c r="G716" s="8" t="s">
        <v>42</v>
      </c>
      <c r="H716" s="8" t="s">
        <v>416</v>
      </c>
      <c r="I716" s="8">
        <v>0.9</v>
      </c>
      <c r="J716" s="8">
        <v>83.0</v>
      </c>
      <c r="K716" s="8">
        <v>287.0</v>
      </c>
      <c r="L716" s="8">
        <v>0.289198606</v>
      </c>
      <c r="M716" s="8">
        <v>287.0</v>
      </c>
      <c r="N716" s="8">
        <v>-0.899279386</v>
      </c>
      <c r="O716" s="8">
        <v>2.5</v>
      </c>
      <c r="P716" s="8" t="s">
        <v>368</v>
      </c>
    </row>
    <row r="717">
      <c r="A717" s="8" t="s">
        <v>464</v>
      </c>
      <c r="B717" s="8">
        <v>2009.0</v>
      </c>
      <c r="C717" s="8" t="s">
        <v>32</v>
      </c>
      <c r="D717" s="8" t="s">
        <v>371</v>
      </c>
      <c r="E717" s="8">
        <v>2100.0</v>
      </c>
      <c r="F717" s="8" t="s">
        <v>34</v>
      </c>
      <c r="G717" s="8" t="s">
        <v>42</v>
      </c>
      <c r="H717" s="8" t="s">
        <v>374</v>
      </c>
      <c r="I717" s="8">
        <v>0.9</v>
      </c>
      <c r="J717" s="8">
        <v>68.0</v>
      </c>
      <c r="K717" s="8">
        <v>287.0</v>
      </c>
      <c r="L717" s="8">
        <v>0.236933798</v>
      </c>
      <c r="M717" s="8">
        <v>287.0</v>
      </c>
      <c r="N717" s="8">
        <v>-1.169564025</v>
      </c>
      <c r="O717" s="8">
        <v>2.5</v>
      </c>
      <c r="P717" s="8" t="s">
        <v>368</v>
      </c>
    </row>
    <row r="718">
      <c r="A718" s="8" t="s">
        <v>464</v>
      </c>
      <c r="B718" s="8">
        <v>2009.0</v>
      </c>
      <c r="C718" s="8" t="s">
        <v>32</v>
      </c>
      <c r="D718" s="8" t="s">
        <v>371</v>
      </c>
      <c r="E718" s="8">
        <v>2100.0</v>
      </c>
      <c r="F718" s="8" t="s">
        <v>34</v>
      </c>
      <c r="G718" s="8" t="s">
        <v>42</v>
      </c>
      <c r="H718" s="8" t="s">
        <v>367</v>
      </c>
      <c r="I718" s="8">
        <v>1.0</v>
      </c>
      <c r="J718" s="8">
        <v>53.0</v>
      </c>
      <c r="K718" s="8">
        <v>287.0</v>
      </c>
      <c r="L718" s="8">
        <v>0.18466899</v>
      </c>
      <c r="M718" s="8">
        <v>287.0</v>
      </c>
      <c r="N718" s="8">
        <v>-1.485029202</v>
      </c>
      <c r="O718" s="8">
        <v>2.8</v>
      </c>
      <c r="P718" s="8" t="s">
        <v>368</v>
      </c>
    </row>
    <row r="719">
      <c r="A719" s="8" t="s">
        <v>464</v>
      </c>
      <c r="B719" s="8">
        <v>2009.0</v>
      </c>
      <c r="C719" s="8" t="s">
        <v>32</v>
      </c>
      <c r="D719" s="8" t="s">
        <v>371</v>
      </c>
      <c r="E719" s="8">
        <v>2100.0</v>
      </c>
      <c r="F719" s="8" t="s">
        <v>34</v>
      </c>
      <c r="G719" s="8" t="s">
        <v>42</v>
      </c>
      <c r="H719" s="8" t="s">
        <v>416</v>
      </c>
      <c r="I719" s="8">
        <v>1.0</v>
      </c>
      <c r="J719" s="8">
        <v>13.0</v>
      </c>
      <c r="K719" s="8">
        <v>287.0</v>
      </c>
      <c r="L719" s="8">
        <v>0.045296167</v>
      </c>
      <c r="M719" s="8">
        <v>287.0</v>
      </c>
      <c r="N719" s="8">
        <v>-3.048178749</v>
      </c>
      <c r="O719" s="8">
        <v>2.8</v>
      </c>
      <c r="P719" s="8" t="s">
        <v>368</v>
      </c>
    </row>
    <row r="720">
      <c r="A720" s="8" t="s">
        <v>464</v>
      </c>
      <c r="B720" s="8">
        <v>2009.0</v>
      </c>
      <c r="C720" s="8" t="s">
        <v>32</v>
      </c>
      <c r="D720" s="8" t="s">
        <v>371</v>
      </c>
      <c r="E720" s="8">
        <v>2100.0</v>
      </c>
      <c r="F720" s="8" t="s">
        <v>34</v>
      </c>
      <c r="G720" s="8" t="s">
        <v>42</v>
      </c>
      <c r="H720" s="8" t="s">
        <v>416</v>
      </c>
      <c r="I720" s="8">
        <v>1.0</v>
      </c>
      <c r="J720" s="8">
        <v>8.0</v>
      </c>
      <c r="K720" s="8">
        <v>287.0</v>
      </c>
      <c r="L720" s="8">
        <v>0.027874564</v>
      </c>
      <c r="M720" s="8">
        <v>287.0</v>
      </c>
      <c r="N720" s="8">
        <v>-3.55177024</v>
      </c>
      <c r="O720" s="8">
        <v>2.8</v>
      </c>
      <c r="P720" s="8" t="s">
        <v>368</v>
      </c>
    </row>
    <row r="721">
      <c r="A721" s="8" t="s">
        <v>464</v>
      </c>
      <c r="B721" s="8">
        <v>2009.0</v>
      </c>
      <c r="C721" s="8" t="s">
        <v>32</v>
      </c>
      <c r="D721" s="8" t="s">
        <v>371</v>
      </c>
      <c r="E721" s="8">
        <v>2100.0</v>
      </c>
      <c r="F721" s="8" t="s">
        <v>34</v>
      </c>
      <c r="G721" s="8" t="s">
        <v>42</v>
      </c>
      <c r="H721" s="8" t="s">
        <v>374</v>
      </c>
      <c r="I721" s="8">
        <v>1.0</v>
      </c>
      <c r="J721" s="8">
        <v>7.0</v>
      </c>
      <c r="K721" s="8">
        <v>287.0</v>
      </c>
      <c r="L721" s="8">
        <v>0.024390244</v>
      </c>
      <c r="M721" s="8">
        <v>287.0</v>
      </c>
      <c r="N721" s="8">
        <v>-3.688879454</v>
      </c>
      <c r="O721" s="8">
        <v>2.8</v>
      </c>
      <c r="P721" s="8" t="s">
        <v>368</v>
      </c>
    </row>
    <row r="722">
      <c r="A722" s="8" t="s">
        <v>464</v>
      </c>
      <c r="B722" s="8">
        <v>2009.0</v>
      </c>
      <c r="C722" s="8" t="s">
        <v>32</v>
      </c>
      <c r="D722" s="8" t="s">
        <v>371</v>
      </c>
      <c r="E722" s="8">
        <v>2100.0</v>
      </c>
      <c r="F722" s="8" t="s">
        <v>34</v>
      </c>
      <c r="G722" s="8" t="s">
        <v>42</v>
      </c>
      <c r="H722" s="8" t="s">
        <v>367</v>
      </c>
      <c r="I722" s="8">
        <v>0.9</v>
      </c>
      <c r="J722" s="8">
        <v>205.0</v>
      </c>
      <c r="K722" s="8">
        <v>287.0</v>
      </c>
      <c r="L722" s="8">
        <v>0.714285714</v>
      </c>
      <c r="M722" s="8">
        <v>287.0</v>
      </c>
      <c r="N722" s="8">
        <v>0.916290732</v>
      </c>
      <c r="O722" s="8">
        <v>2.8</v>
      </c>
      <c r="P722" s="8" t="s">
        <v>368</v>
      </c>
    </row>
    <row r="723">
      <c r="A723" s="8" t="s">
        <v>464</v>
      </c>
      <c r="B723" s="8">
        <v>2009.0</v>
      </c>
      <c r="C723" s="8" t="s">
        <v>32</v>
      </c>
      <c r="D723" s="8" t="s">
        <v>371</v>
      </c>
      <c r="E723" s="8">
        <v>2100.0</v>
      </c>
      <c r="F723" s="8" t="s">
        <v>34</v>
      </c>
      <c r="G723" s="8" t="s">
        <v>42</v>
      </c>
      <c r="H723" s="8" t="s">
        <v>416</v>
      </c>
      <c r="I723" s="8">
        <v>0.9</v>
      </c>
      <c r="J723" s="8">
        <v>107.0</v>
      </c>
      <c r="K723" s="8">
        <v>287.0</v>
      </c>
      <c r="L723" s="8">
        <v>0.3728223</v>
      </c>
      <c r="M723" s="8">
        <v>287.0</v>
      </c>
      <c r="N723" s="8">
        <v>-0.520128016</v>
      </c>
      <c r="O723" s="8">
        <v>2.8</v>
      </c>
      <c r="P723" s="8" t="s">
        <v>368</v>
      </c>
    </row>
    <row r="724">
      <c r="A724" s="8" t="s">
        <v>464</v>
      </c>
      <c r="B724" s="8">
        <v>2009.0</v>
      </c>
      <c r="C724" s="8" t="s">
        <v>32</v>
      </c>
      <c r="D724" s="8" t="s">
        <v>371</v>
      </c>
      <c r="E724" s="8">
        <v>2100.0</v>
      </c>
      <c r="F724" s="8" t="s">
        <v>34</v>
      </c>
      <c r="G724" s="8" t="s">
        <v>42</v>
      </c>
      <c r="H724" s="8" t="s">
        <v>416</v>
      </c>
      <c r="I724" s="8">
        <v>0.9</v>
      </c>
      <c r="J724" s="8">
        <v>102.0</v>
      </c>
      <c r="K724" s="8">
        <v>287.0</v>
      </c>
      <c r="L724" s="8">
        <v>0.355400697</v>
      </c>
      <c r="M724" s="8">
        <v>287.0</v>
      </c>
      <c r="N724" s="8">
        <v>-0.595383012</v>
      </c>
      <c r="O724" s="8">
        <v>2.8</v>
      </c>
      <c r="P724" s="8" t="s">
        <v>368</v>
      </c>
    </row>
    <row r="725">
      <c r="A725" s="8" t="s">
        <v>464</v>
      </c>
      <c r="B725" s="8">
        <v>2009.0</v>
      </c>
      <c r="C725" s="8" t="s">
        <v>32</v>
      </c>
      <c r="D725" s="8" t="s">
        <v>371</v>
      </c>
      <c r="E725" s="8">
        <v>2100.0</v>
      </c>
      <c r="F725" s="8" t="s">
        <v>34</v>
      </c>
      <c r="G725" s="8" t="s">
        <v>42</v>
      </c>
      <c r="H725" s="8" t="s">
        <v>374</v>
      </c>
      <c r="I725" s="8">
        <v>0.9</v>
      </c>
      <c r="J725" s="8">
        <v>85.0</v>
      </c>
      <c r="K725" s="8">
        <v>287.0</v>
      </c>
      <c r="L725" s="8">
        <v>0.296167247</v>
      </c>
      <c r="M725" s="8">
        <v>287.0</v>
      </c>
      <c r="N725" s="8">
        <v>-0.865616441</v>
      </c>
      <c r="O725" s="8">
        <v>2.8</v>
      </c>
      <c r="P725" s="8" t="s">
        <v>368</v>
      </c>
    </row>
    <row r="726">
      <c r="A726" s="8" t="s">
        <v>465</v>
      </c>
      <c r="B726" s="8">
        <v>2009.0</v>
      </c>
      <c r="C726" s="8" t="s">
        <v>32</v>
      </c>
      <c r="D726" s="8" t="s">
        <v>371</v>
      </c>
      <c r="E726" s="8">
        <v>2080.0</v>
      </c>
      <c r="F726" s="8" t="s">
        <v>34</v>
      </c>
      <c r="G726" s="8" t="s">
        <v>42</v>
      </c>
      <c r="H726" s="8" t="s">
        <v>374</v>
      </c>
      <c r="I726" s="8">
        <v>1.0</v>
      </c>
      <c r="J726" s="8">
        <v>40.0</v>
      </c>
      <c r="K726" s="8">
        <v>78.0</v>
      </c>
      <c r="L726" s="8">
        <v>0.512820513</v>
      </c>
      <c r="M726" s="8">
        <v>78.0</v>
      </c>
      <c r="N726" s="8">
        <v>0.051293294</v>
      </c>
      <c r="O726" s="8">
        <v>3.97</v>
      </c>
      <c r="P726" s="8" t="s">
        <v>368</v>
      </c>
    </row>
    <row r="727">
      <c r="A727" s="8" t="s">
        <v>465</v>
      </c>
      <c r="B727" s="8">
        <v>2009.0</v>
      </c>
      <c r="C727" s="8" t="s">
        <v>32</v>
      </c>
      <c r="D727" s="8" t="s">
        <v>371</v>
      </c>
      <c r="E727" s="8">
        <v>2080.0</v>
      </c>
      <c r="F727" s="8" t="s">
        <v>34</v>
      </c>
      <c r="G727" s="8" t="s">
        <v>42</v>
      </c>
      <c r="H727" s="8" t="s">
        <v>374</v>
      </c>
      <c r="I727" s="8">
        <v>1.0</v>
      </c>
      <c r="J727" s="8">
        <v>13.0</v>
      </c>
      <c r="K727" s="8">
        <v>78.0</v>
      </c>
      <c r="L727" s="8">
        <v>0.166666667</v>
      </c>
      <c r="M727" s="8">
        <v>78.0</v>
      </c>
      <c r="N727" s="8">
        <v>-1.609437912</v>
      </c>
      <c r="O727" s="8">
        <v>3.27</v>
      </c>
      <c r="P727" s="8" t="s">
        <v>368</v>
      </c>
    </row>
    <row r="728">
      <c r="A728" s="8" t="s">
        <v>465</v>
      </c>
      <c r="B728" s="8">
        <v>2009.0</v>
      </c>
      <c r="C728" s="8" t="s">
        <v>32</v>
      </c>
      <c r="D728" s="8" t="s">
        <v>371</v>
      </c>
      <c r="E728" s="8">
        <v>2080.0</v>
      </c>
      <c r="F728" s="8" t="s">
        <v>34</v>
      </c>
      <c r="G728" s="8" t="s">
        <v>42</v>
      </c>
      <c r="H728" s="8" t="s">
        <v>374</v>
      </c>
      <c r="I728" s="8">
        <v>1.0</v>
      </c>
      <c r="J728" s="8">
        <v>11.0</v>
      </c>
      <c r="K728" s="8">
        <v>78.0</v>
      </c>
      <c r="L728" s="8">
        <v>0.141025641</v>
      </c>
      <c r="M728" s="8">
        <v>78.0</v>
      </c>
      <c r="N728" s="8">
        <v>-1.806797347</v>
      </c>
      <c r="O728" s="8">
        <v>2.06</v>
      </c>
      <c r="P728" s="8" t="s">
        <v>368</v>
      </c>
    </row>
    <row r="729">
      <c r="A729" s="8" t="s">
        <v>465</v>
      </c>
      <c r="B729" s="8">
        <v>2009.0</v>
      </c>
      <c r="C729" s="8" t="s">
        <v>32</v>
      </c>
      <c r="D729" s="8" t="s">
        <v>371</v>
      </c>
      <c r="E729" s="8">
        <v>2080.0</v>
      </c>
      <c r="F729" s="8" t="s">
        <v>34</v>
      </c>
      <c r="G729" s="8" t="s">
        <v>42</v>
      </c>
      <c r="H729" s="8" t="s">
        <v>374</v>
      </c>
      <c r="I729" s="8">
        <v>1.0</v>
      </c>
      <c r="J729" s="8">
        <v>10.0</v>
      </c>
      <c r="K729" s="8">
        <v>78.0</v>
      </c>
      <c r="L729" s="8">
        <v>0.128205128</v>
      </c>
      <c r="M729" s="8">
        <v>78.0</v>
      </c>
      <c r="N729" s="8">
        <v>-1.916922612</v>
      </c>
      <c r="O729" s="8">
        <v>2.38</v>
      </c>
      <c r="P729" s="8" t="s">
        <v>368</v>
      </c>
    </row>
    <row r="730">
      <c r="A730" s="8" t="s">
        <v>465</v>
      </c>
      <c r="B730" s="8">
        <v>2009.0</v>
      </c>
      <c r="C730" s="8" t="s">
        <v>32</v>
      </c>
      <c r="D730" s="8" t="s">
        <v>371</v>
      </c>
      <c r="E730" s="8">
        <v>2080.0</v>
      </c>
      <c r="F730" s="8" t="s">
        <v>34</v>
      </c>
      <c r="G730" s="8" t="s">
        <v>42</v>
      </c>
      <c r="H730" s="8" t="s">
        <v>374</v>
      </c>
      <c r="I730" s="8">
        <v>1.0</v>
      </c>
      <c r="J730" s="8">
        <v>0.0</v>
      </c>
      <c r="K730" s="8">
        <v>78.0</v>
      </c>
      <c r="L730" s="8">
        <v>0.0</v>
      </c>
      <c r="M730" s="8">
        <v>78.0</v>
      </c>
      <c r="N730" s="8">
        <v>-5.056245805</v>
      </c>
      <c r="O730" s="8">
        <v>3.97</v>
      </c>
      <c r="P730" s="8" t="s">
        <v>368</v>
      </c>
    </row>
    <row r="731">
      <c r="A731" s="8" t="s">
        <v>465</v>
      </c>
      <c r="B731" s="8">
        <v>2009.0</v>
      </c>
      <c r="C731" s="8" t="s">
        <v>32</v>
      </c>
      <c r="D731" s="8" t="s">
        <v>371</v>
      </c>
      <c r="E731" s="8">
        <v>2080.0</v>
      </c>
      <c r="F731" s="8" t="s">
        <v>34</v>
      </c>
      <c r="G731" s="8" t="s">
        <v>42</v>
      </c>
      <c r="H731" s="8" t="s">
        <v>374</v>
      </c>
      <c r="I731" s="8">
        <v>1.0</v>
      </c>
      <c r="J731" s="8">
        <v>0.0</v>
      </c>
      <c r="K731" s="8">
        <v>78.0</v>
      </c>
      <c r="L731" s="8">
        <v>0.0</v>
      </c>
      <c r="M731" s="8">
        <v>78.0</v>
      </c>
      <c r="N731" s="8">
        <v>-5.056245805</v>
      </c>
      <c r="O731" s="8">
        <v>3.27</v>
      </c>
      <c r="P731" s="8" t="s">
        <v>368</v>
      </c>
    </row>
    <row r="732">
      <c r="A732" s="8" t="s">
        <v>465</v>
      </c>
      <c r="B732" s="8">
        <v>2009.0</v>
      </c>
      <c r="C732" s="8" t="s">
        <v>32</v>
      </c>
      <c r="D732" s="8" t="s">
        <v>371</v>
      </c>
      <c r="E732" s="8">
        <v>2080.0</v>
      </c>
      <c r="F732" s="8" t="s">
        <v>34</v>
      </c>
      <c r="G732" s="8" t="s">
        <v>42</v>
      </c>
      <c r="H732" s="8" t="s">
        <v>374</v>
      </c>
      <c r="I732" s="8">
        <v>1.0</v>
      </c>
      <c r="J732" s="8">
        <v>0.0</v>
      </c>
      <c r="K732" s="8">
        <v>78.0</v>
      </c>
      <c r="L732" s="8">
        <v>0.0</v>
      </c>
      <c r="M732" s="8">
        <v>78.0</v>
      </c>
      <c r="N732" s="8">
        <v>-5.056245805</v>
      </c>
      <c r="O732" s="8">
        <v>2.06</v>
      </c>
      <c r="P732" s="8" t="s">
        <v>368</v>
      </c>
    </row>
    <row r="733">
      <c r="A733" s="8" t="s">
        <v>465</v>
      </c>
      <c r="B733" s="8">
        <v>2009.0</v>
      </c>
      <c r="C733" s="8" t="s">
        <v>32</v>
      </c>
      <c r="D733" s="8" t="s">
        <v>371</v>
      </c>
      <c r="E733" s="8">
        <v>2080.0</v>
      </c>
      <c r="F733" s="8" t="s">
        <v>34</v>
      </c>
      <c r="G733" s="8" t="s">
        <v>42</v>
      </c>
      <c r="H733" s="8" t="s">
        <v>374</v>
      </c>
      <c r="I733" s="8">
        <v>1.0</v>
      </c>
      <c r="J733" s="8">
        <v>0.0</v>
      </c>
      <c r="K733" s="8">
        <v>78.0</v>
      </c>
      <c r="L733" s="8">
        <v>0.0</v>
      </c>
      <c r="M733" s="8">
        <v>78.0</v>
      </c>
      <c r="N733" s="8">
        <v>-5.056245805</v>
      </c>
      <c r="O733" s="8">
        <v>2.38</v>
      </c>
      <c r="P733" s="8" t="s">
        <v>368</v>
      </c>
    </row>
    <row r="734">
      <c r="A734" s="8" t="s">
        <v>447</v>
      </c>
      <c r="B734" s="8">
        <v>2009.0</v>
      </c>
      <c r="C734" s="8" t="s">
        <v>365</v>
      </c>
      <c r="D734" s="8" t="s">
        <v>371</v>
      </c>
      <c r="E734" s="8">
        <v>2100.0</v>
      </c>
      <c r="F734" s="8" t="s">
        <v>41</v>
      </c>
      <c r="G734" s="8" t="s">
        <v>42</v>
      </c>
      <c r="H734" s="8" t="s">
        <v>374</v>
      </c>
      <c r="I734" s="8">
        <v>0.8</v>
      </c>
      <c r="J734" s="8">
        <v>0.0</v>
      </c>
      <c r="K734" s="8">
        <v>15.0</v>
      </c>
      <c r="L734" s="8">
        <v>0.0</v>
      </c>
      <c r="M734" s="8">
        <v>15.0</v>
      </c>
      <c r="N734" s="8">
        <v>-3.433987204</v>
      </c>
      <c r="O734" s="8">
        <v>4.2</v>
      </c>
      <c r="P734" s="8" t="s">
        <v>368</v>
      </c>
    </row>
    <row r="735">
      <c r="A735" s="8" t="s">
        <v>447</v>
      </c>
      <c r="B735" s="8">
        <v>2009.0</v>
      </c>
      <c r="C735" s="8" t="s">
        <v>365</v>
      </c>
      <c r="D735" s="8" t="s">
        <v>371</v>
      </c>
      <c r="E735" s="8">
        <v>2100.0</v>
      </c>
      <c r="F735" s="8" t="s">
        <v>41</v>
      </c>
      <c r="G735" s="8" t="s">
        <v>42</v>
      </c>
      <c r="H735" s="8" t="s">
        <v>374</v>
      </c>
      <c r="I735" s="8">
        <v>0.95</v>
      </c>
      <c r="J735" s="8">
        <v>0.0</v>
      </c>
      <c r="K735" s="8">
        <v>15.0</v>
      </c>
      <c r="L735" s="8">
        <v>0.0</v>
      </c>
      <c r="M735" s="8">
        <v>15.0</v>
      </c>
      <c r="N735" s="8">
        <v>-3.433987204</v>
      </c>
      <c r="O735" s="8">
        <v>4.2</v>
      </c>
      <c r="P735" s="8" t="s">
        <v>368</v>
      </c>
    </row>
    <row r="736">
      <c r="A736" s="8" t="s">
        <v>447</v>
      </c>
      <c r="B736" s="8">
        <v>2009.0</v>
      </c>
      <c r="C736" s="8" t="s">
        <v>365</v>
      </c>
      <c r="D736" s="8" t="s">
        <v>371</v>
      </c>
      <c r="E736" s="8">
        <v>2100.0</v>
      </c>
      <c r="F736" s="8" t="s">
        <v>41</v>
      </c>
      <c r="G736" s="8" t="s">
        <v>42</v>
      </c>
      <c r="H736" s="8" t="s">
        <v>374</v>
      </c>
      <c r="I736" s="8">
        <v>1.0</v>
      </c>
      <c r="J736" s="8">
        <v>0.0</v>
      </c>
      <c r="K736" s="8">
        <v>15.0</v>
      </c>
      <c r="L736" s="8">
        <v>0.0</v>
      </c>
      <c r="M736" s="8">
        <v>15.0</v>
      </c>
      <c r="N736" s="8">
        <v>-3.433987204</v>
      </c>
      <c r="O736" s="8">
        <v>4.2</v>
      </c>
      <c r="P736" s="8" t="s">
        <v>368</v>
      </c>
    </row>
    <row r="737">
      <c r="A737" s="8" t="s">
        <v>447</v>
      </c>
      <c r="B737" s="8">
        <v>2009.0</v>
      </c>
      <c r="C737" s="8" t="s">
        <v>365</v>
      </c>
      <c r="D737" s="8" t="s">
        <v>371</v>
      </c>
      <c r="E737" s="8">
        <v>2100.0</v>
      </c>
      <c r="F737" s="8" t="s">
        <v>41</v>
      </c>
      <c r="G737" s="8" t="s">
        <v>42</v>
      </c>
      <c r="H737" s="8" t="s">
        <v>416</v>
      </c>
      <c r="I737" s="8">
        <v>0.8</v>
      </c>
      <c r="J737" s="8">
        <v>0.0</v>
      </c>
      <c r="K737" s="8">
        <v>15.0</v>
      </c>
      <c r="L737" s="8">
        <v>0.0</v>
      </c>
      <c r="M737" s="8">
        <v>15.0</v>
      </c>
      <c r="N737" s="8">
        <v>-3.433987204</v>
      </c>
      <c r="O737" s="8">
        <v>4.2</v>
      </c>
      <c r="P737" s="8" t="s">
        <v>368</v>
      </c>
    </row>
    <row r="738">
      <c r="A738" s="8" t="s">
        <v>447</v>
      </c>
      <c r="B738" s="8">
        <v>2009.0</v>
      </c>
      <c r="C738" s="8" t="s">
        <v>365</v>
      </c>
      <c r="D738" s="8" t="s">
        <v>371</v>
      </c>
      <c r="E738" s="8">
        <v>2100.0</v>
      </c>
      <c r="F738" s="8" t="s">
        <v>41</v>
      </c>
      <c r="G738" s="8" t="s">
        <v>42</v>
      </c>
      <c r="H738" s="8" t="s">
        <v>416</v>
      </c>
      <c r="I738" s="8">
        <v>0.95</v>
      </c>
      <c r="J738" s="8">
        <v>0.0</v>
      </c>
      <c r="K738" s="8">
        <v>15.0</v>
      </c>
      <c r="L738" s="8">
        <v>0.0</v>
      </c>
      <c r="M738" s="8">
        <v>15.0</v>
      </c>
      <c r="N738" s="8">
        <v>-3.433987204</v>
      </c>
      <c r="O738" s="8">
        <v>4.2</v>
      </c>
      <c r="P738" s="8" t="s">
        <v>368</v>
      </c>
    </row>
    <row r="739">
      <c r="A739" s="8" t="s">
        <v>447</v>
      </c>
      <c r="B739" s="8">
        <v>2009.0</v>
      </c>
      <c r="C739" s="8" t="s">
        <v>365</v>
      </c>
      <c r="D739" s="8" t="s">
        <v>371</v>
      </c>
      <c r="E739" s="8">
        <v>2100.0</v>
      </c>
      <c r="F739" s="8" t="s">
        <v>41</v>
      </c>
      <c r="G739" s="8" t="s">
        <v>42</v>
      </c>
      <c r="H739" s="8" t="s">
        <v>416</v>
      </c>
      <c r="I739" s="8">
        <v>1.0</v>
      </c>
      <c r="J739" s="8">
        <v>0.0</v>
      </c>
      <c r="K739" s="8">
        <v>15.0</v>
      </c>
      <c r="L739" s="8">
        <v>0.0</v>
      </c>
      <c r="M739" s="8">
        <v>15.0</v>
      </c>
      <c r="N739" s="8">
        <v>-3.433987204</v>
      </c>
      <c r="O739" s="8">
        <v>4.2</v>
      </c>
      <c r="P739" s="8" t="s">
        <v>368</v>
      </c>
    </row>
    <row r="740">
      <c r="A740" s="8" t="s">
        <v>447</v>
      </c>
      <c r="B740" s="8">
        <v>2009.0</v>
      </c>
      <c r="C740" s="8" t="s">
        <v>365</v>
      </c>
      <c r="D740" s="8" t="s">
        <v>371</v>
      </c>
      <c r="E740" s="8">
        <v>2100.0</v>
      </c>
      <c r="F740" s="8" t="s">
        <v>41</v>
      </c>
      <c r="G740" s="8" t="s">
        <v>382</v>
      </c>
      <c r="H740" s="8" t="s">
        <v>374</v>
      </c>
      <c r="I740" s="8">
        <v>0.8</v>
      </c>
      <c r="J740" s="8">
        <v>0.0</v>
      </c>
      <c r="K740" s="8">
        <v>15.0</v>
      </c>
      <c r="L740" s="8">
        <v>0.0</v>
      </c>
      <c r="M740" s="8">
        <v>15.0</v>
      </c>
      <c r="N740" s="8">
        <v>-3.433987204</v>
      </c>
      <c r="O740" s="8">
        <v>4.2</v>
      </c>
      <c r="P740" s="8" t="s">
        <v>368</v>
      </c>
    </row>
    <row r="741">
      <c r="A741" s="8" t="s">
        <v>447</v>
      </c>
      <c r="B741" s="8">
        <v>2009.0</v>
      </c>
      <c r="C741" s="8" t="s">
        <v>365</v>
      </c>
      <c r="D741" s="8" t="s">
        <v>371</v>
      </c>
      <c r="E741" s="8">
        <v>2100.0</v>
      </c>
      <c r="F741" s="8" t="s">
        <v>41</v>
      </c>
      <c r="G741" s="8" t="s">
        <v>382</v>
      </c>
      <c r="H741" s="8" t="s">
        <v>374</v>
      </c>
      <c r="I741" s="8">
        <v>0.95</v>
      </c>
      <c r="J741" s="8">
        <v>0.0</v>
      </c>
      <c r="K741" s="8">
        <v>15.0</v>
      </c>
      <c r="L741" s="8">
        <v>0.0</v>
      </c>
      <c r="M741" s="8">
        <v>15.0</v>
      </c>
      <c r="N741" s="8">
        <v>-3.433987204</v>
      </c>
      <c r="O741" s="8">
        <v>4.2</v>
      </c>
      <c r="P741" s="8" t="s">
        <v>368</v>
      </c>
    </row>
    <row r="742">
      <c r="A742" s="8" t="s">
        <v>447</v>
      </c>
      <c r="B742" s="8">
        <v>2009.0</v>
      </c>
      <c r="C742" s="8" t="s">
        <v>365</v>
      </c>
      <c r="D742" s="8" t="s">
        <v>371</v>
      </c>
      <c r="E742" s="8">
        <v>2100.0</v>
      </c>
      <c r="F742" s="8" t="s">
        <v>41</v>
      </c>
      <c r="G742" s="8" t="s">
        <v>382</v>
      </c>
      <c r="H742" s="8" t="s">
        <v>374</v>
      </c>
      <c r="I742" s="8">
        <v>1.0</v>
      </c>
      <c r="J742" s="8">
        <v>0.0</v>
      </c>
      <c r="K742" s="8">
        <v>15.0</v>
      </c>
      <c r="L742" s="8">
        <v>0.0</v>
      </c>
      <c r="M742" s="8">
        <v>15.0</v>
      </c>
      <c r="N742" s="8">
        <v>-3.433987204</v>
      </c>
      <c r="O742" s="8">
        <v>4.2</v>
      </c>
      <c r="P742" s="8" t="s">
        <v>368</v>
      </c>
    </row>
    <row r="743">
      <c r="A743" s="8" t="s">
        <v>447</v>
      </c>
      <c r="B743" s="8">
        <v>2009.0</v>
      </c>
      <c r="C743" s="8" t="s">
        <v>365</v>
      </c>
      <c r="D743" s="8" t="s">
        <v>371</v>
      </c>
      <c r="E743" s="8">
        <v>2100.0</v>
      </c>
      <c r="F743" s="8" t="s">
        <v>41</v>
      </c>
      <c r="G743" s="8" t="s">
        <v>382</v>
      </c>
      <c r="H743" s="8" t="s">
        <v>416</v>
      </c>
      <c r="I743" s="8">
        <v>0.8</v>
      </c>
      <c r="J743" s="8">
        <v>1.0</v>
      </c>
      <c r="K743" s="8">
        <v>15.0</v>
      </c>
      <c r="L743" s="8">
        <v>0.066666667</v>
      </c>
      <c r="M743" s="8">
        <v>15.0</v>
      </c>
      <c r="N743" s="8">
        <v>-2.63905733</v>
      </c>
      <c r="O743" s="8">
        <v>4.2</v>
      </c>
      <c r="P743" s="8" t="s">
        <v>368</v>
      </c>
    </row>
    <row r="744">
      <c r="A744" s="8" t="s">
        <v>447</v>
      </c>
      <c r="B744" s="8">
        <v>2009.0</v>
      </c>
      <c r="C744" s="8" t="s">
        <v>365</v>
      </c>
      <c r="D744" s="8" t="s">
        <v>371</v>
      </c>
      <c r="E744" s="8">
        <v>2100.0</v>
      </c>
      <c r="F744" s="8" t="s">
        <v>41</v>
      </c>
      <c r="G744" s="8" t="s">
        <v>382</v>
      </c>
      <c r="H744" s="8" t="s">
        <v>416</v>
      </c>
      <c r="I744" s="8">
        <v>0.95</v>
      </c>
      <c r="J744" s="8">
        <v>0.0</v>
      </c>
      <c r="K744" s="8">
        <v>15.0</v>
      </c>
      <c r="L744" s="8">
        <v>0.0</v>
      </c>
      <c r="M744" s="8">
        <v>15.0</v>
      </c>
      <c r="N744" s="8">
        <v>-3.433987204</v>
      </c>
      <c r="O744" s="8">
        <v>4.2</v>
      </c>
      <c r="P744" s="8" t="s">
        <v>368</v>
      </c>
    </row>
    <row r="745">
      <c r="A745" s="8" t="s">
        <v>447</v>
      </c>
      <c r="B745" s="8">
        <v>2009.0</v>
      </c>
      <c r="C745" s="8" t="s">
        <v>365</v>
      </c>
      <c r="D745" s="8" t="s">
        <v>371</v>
      </c>
      <c r="E745" s="8">
        <v>2100.0</v>
      </c>
      <c r="F745" s="8" t="s">
        <v>41</v>
      </c>
      <c r="G745" s="8" t="s">
        <v>382</v>
      </c>
      <c r="H745" s="8" t="s">
        <v>416</v>
      </c>
      <c r="I745" s="8">
        <v>1.0</v>
      </c>
      <c r="J745" s="8">
        <v>0.0</v>
      </c>
      <c r="K745" s="8">
        <v>15.0</v>
      </c>
      <c r="L745" s="8">
        <v>0.0</v>
      </c>
      <c r="M745" s="8">
        <v>15.0</v>
      </c>
      <c r="N745" s="8">
        <v>-3.433987204</v>
      </c>
      <c r="O745" s="8">
        <v>4.2</v>
      </c>
      <c r="P745" s="8" t="s">
        <v>368</v>
      </c>
    </row>
    <row r="746">
      <c r="A746" s="8" t="s">
        <v>447</v>
      </c>
      <c r="B746" s="8">
        <v>2009.0</v>
      </c>
      <c r="C746" s="8" t="s">
        <v>365</v>
      </c>
      <c r="D746" s="8" t="s">
        <v>371</v>
      </c>
      <c r="E746" s="8">
        <v>2100.0</v>
      </c>
      <c r="F746" s="8" t="s">
        <v>41</v>
      </c>
      <c r="G746" s="8" t="s">
        <v>42</v>
      </c>
      <c r="H746" s="8" t="s">
        <v>374</v>
      </c>
      <c r="I746" s="8">
        <v>0.8</v>
      </c>
      <c r="J746" s="8">
        <v>0.0</v>
      </c>
      <c r="K746" s="8">
        <v>15.0</v>
      </c>
      <c r="L746" s="8">
        <v>0.0</v>
      </c>
      <c r="M746" s="8">
        <v>15.0</v>
      </c>
      <c r="N746" s="8">
        <v>-3.433987204</v>
      </c>
      <c r="O746" s="8">
        <v>2.8</v>
      </c>
      <c r="P746" s="8" t="s">
        <v>368</v>
      </c>
    </row>
    <row r="747">
      <c r="A747" s="8" t="s">
        <v>447</v>
      </c>
      <c r="B747" s="8">
        <v>2009.0</v>
      </c>
      <c r="C747" s="8" t="s">
        <v>365</v>
      </c>
      <c r="D747" s="8" t="s">
        <v>371</v>
      </c>
      <c r="E747" s="8">
        <v>2100.0</v>
      </c>
      <c r="F747" s="8" t="s">
        <v>41</v>
      </c>
      <c r="G747" s="8" t="s">
        <v>42</v>
      </c>
      <c r="H747" s="8" t="s">
        <v>374</v>
      </c>
      <c r="I747" s="8">
        <v>0.95</v>
      </c>
      <c r="J747" s="8">
        <v>0.0</v>
      </c>
      <c r="K747" s="8">
        <v>15.0</v>
      </c>
      <c r="L747" s="8">
        <v>0.0</v>
      </c>
      <c r="M747" s="8">
        <v>15.0</v>
      </c>
      <c r="N747" s="8">
        <v>-3.433987204</v>
      </c>
      <c r="O747" s="8">
        <v>2.8</v>
      </c>
      <c r="P747" s="8" t="s">
        <v>368</v>
      </c>
    </row>
    <row r="748">
      <c r="A748" s="8" t="s">
        <v>447</v>
      </c>
      <c r="B748" s="8">
        <v>2009.0</v>
      </c>
      <c r="C748" s="8" t="s">
        <v>365</v>
      </c>
      <c r="D748" s="8" t="s">
        <v>371</v>
      </c>
      <c r="E748" s="8">
        <v>2100.0</v>
      </c>
      <c r="F748" s="8" t="s">
        <v>41</v>
      </c>
      <c r="G748" s="8" t="s">
        <v>42</v>
      </c>
      <c r="H748" s="8" t="s">
        <v>374</v>
      </c>
      <c r="I748" s="8">
        <v>1.0</v>
      </c>
      <c r="J748" s="8">
        <v>0.0</v>
      </c>
      <c r="K748" s="8">
        <v>15.0</v>
      </c>
      <c r="L748" s="8">
        <v>0.0</v>
      </c>
      <c r="M748" s="8">
        <v>15.0</v>
      </c>
      <c r="N748" s="8">
        <v>-3.433987204</v>
      </c>
      <c r="O748" s="8">
        <v>2.8</v>
      </c>
      <c r="P748" s="8" t="s">
        <v>368</v>
      </c>
    </row>
    <row r="749">
      <c r="A749" s="8" t="s">
        <v>447</v>
      </c>
      <c r="B749" s="8">
        <v>2009.0</v>
      </c>
      <c r="C749" s="8" t="s">
        <v>365</v>
      </c>
      <c r="D749" s="8" t="s">
        <v>371</v>
      </c>
      <c r="E749" s="8">
        <v>2100.0</v>
      </c>
      <c r="F749" s="8" t="s">
        <v>41</v>
      </c>
      <c r="G749" s="8" t="s">
        <v>42</v>
      </c>
      <c r="H749" s="8" t="s">
        <v>416</v>
      </c>
      <c r="I749" s="8">
        <v>0.8</v>
      </c>
      <c r="J749" s="8">
        <v>0.0</v>
      </c>
      <c r="K749" s="8">
        <v>15.0</v>
      </c>
      <c r="L749" s="8">
        <v>0.0</v>
      </c>
      <c r="M749" s="8">
        <v>15.0</v>
      </c>
      <c r="N749" s="8">
        <v>-3.433987204</v>
      </c>
      <c r="O749" s="8">
        <v>2.8</v>
      </c>
      <c r="P749" s="8" t="s">
        <v>368</v>
      </c>
    </row>
    <row r="750">
      <c r="A750" s="8" t="s">
        <v>447</v>
      </c>
      <c r="B750" s="8">
        <v>2009.0</v>
      </c>
      <c r="C750" s="8" t="s">
        <v>365</v>
      </c>
      <c r="D750" s="8" t="s">
        <v>371</v>
      </c>
      <c r="E750" s="8">
        <v>2100.0</v>
      </c>
      <c r="F750" s="8" t="s">
        <v>41</v>
      </c>
      <c r="G750" s="8" t="s">
        <v>42</v>
      </c>
      <c r="H750" s="8" t="s">
        <v>416</v>
      </c>
      <c r="I750" s="8">
        <v>0.95</v>
      </c>
      <c r="J750" s="8">
        <v>0.0</v>
      </c>
      <c r="K750" s="8">
        <v>15.0</v>
      </c>
      <c r="L750" s="8">
        <v>0.0</v>
      </c>
      <c r="M750" s="8">
        <v>15.0</v>
      </c>
      <c r="N750" s="8">
        <v>-3.433987204</v>
      </c>
      <c r="O750" s="8">
        <v>2.8</v>
      </c>
      <c r="P750" s="8" t="s">
        <v>368</v>
      </c>
    </row>
    <row r="751">
      <c r="A751" s="8" t="s">
        <v>447</v>
      </c>
      <c r="B751" s="8">
        <v>2009.0</v>
      </c>
      <c r="C751" s="8" t="s">
        <v>365</v>
      </c>
      <c r="D751" s="8" t="s">
        <v>371</v>
      </c>
      <c r="E751" s="8">
        <v>2100.0</v>
      </c>
      <c r="F751" s="8" t="s">
        <v>41</v>
      </c>
      <c r="G751" s="8" t="s">
        <v>42</v>
      </c>
      <c r="H751" s="8" t="s">
        <v>416</v>
      </c>
      <c r="I751" s="8">
        <v>1.0</v>
      </c>
      <c r="J751" s="8">
        <v>0.0</v>
      </c>
      <c r="K751" s="8">
        <v>15.0</v>
      </c>
      <c r="L751" s="8">
        <v>0.0</v>
      </c>
      <c r="M751" s="8">
        <v>15.0</v>
      </c>
      <c r="N751" s="8">
        <v>-3.433987204</v>
      </c>
      <c r="O751" s="8">
        <v>2.8</v>
      </c>
      <c r="P751" s="8" t="s">
        <v>368</v>
      </c>
    </row>
    <row r="752">
      <c r="A752" s="8" t="s">
        <v>447</v>
      </c>
      <c r="B752" s="8">
        <v>2009.0</v>
      </c>
      <c r="C752" s="8" t="s">
        <v>365</v>
      </c>
      <c r="D752" s="8" t="s">
        <v>371</v>
      </c>
      <c r="E752" s="8">
        <v>2100.0</v>
      </c>
      <c r="F752" s="8" t="s">
        <v>41</v>
      </c>
      <c r="G752" s="8" t="s">
        <v>382</v>
      </c>
      <c r="H752" s="8" t="s">
        <v>374</v>
      </c>
      <c r="I752" s="8">
        <v>0.8</v>
      </c>
      <c r="J752" s="8">
        <v>0.0</v>
      </c>
      <c r="K752" s="8">
        <v>15.0</v>
      </c>
      <c r="L752" s="8">
        <v>0.0</v>
      </c>
      <c r="M752" s="8">
        <v>15.0</v>
      </c>
      <c r="N752" s="8">
        <v>-3.433987204</v>
      </c>
      <c r="O752" s="8">
        <v>2.8</v>
      </c>
      <c r="P752" s="8" t="s">
        <v>368</v>
      </c>
    </row>
    <row r="753">
      <c r="A753" s="8" t="s">
        <v>447</v>
      </c>
      <c r="B753" s="8">
        <v>2009.0</v>
      </c>
      <c r="C753" s="8" t="s">
        <v>365</v>
      </c>
      <c r="D753" s="8" t="s">
        <v>371</v>
      </c>
      <c r="E753" s="8">
        <v>2100.0</v>
      </c>
      <c r="F753" s="8" t="s">
        <v>41</v>
      </c>
      <c r="G753" s="8" t="s">
        <v>382</v>
      </c>
      <c r="H753" s="8" t="s">
        <v>374</v>
      </c>
      <c r="I753" s="8">
        <v>0.95</v>
      </c>
      <c r="J753" s="8">
        <v>0.0</v>
      </c>
      <c r="K753" s="8">
        <v>15.0</v>
      </c>
      <c r="L753" s="8">
        <v>0.0</v>
      </c>
      <c r="M753" s="8">
        <v>15.0</v>
      </c>
      <c r="N753" s="8">
        <v>-3.433987204</v>
      </c>
      <c r="O753" s="8">
        <v>2.8</v>
      </c>
      <c r="P753" s="8" t="s">
        <v>368</v>
      </c>
    </row>
    <row r="754">
      <c r="A754" s="8" t="s">
        <v>447</v>
      </c>
      <c r="B754" s="8">
        <v>2009.0</v>
      </c>
      <c r="C754" s="8" t="s">
        <v>365</v>
      </c>
      <c r="D754" s="8" t="s">
        <v>371</v>
      </c>
      <c r="E754" s="8">
        <v>2100.0</v>
      </c>
      <c r="F754" s="8" t="s">
        <v>41</v>
      </c>
      <c r="G754" s="8" t="s">
        <v>382</v>
      </c>
      <c r="H754" s="8" t="s">
        <v>374</v>
      </c>
      <c r="I754" s="8">
        <v>1.0</v>
      </c>
      <c r="J754" s="8">
        <v>0.0</v>
      </c>
      <c r="K754" s="8">
        <v>15.0</v>
      </c>
      <c r="L754" s="8">
        <v>0.0</v>
      </c>
      <c r="M754" s="8">
        <v>15.0</v>
      </c>
      <c r="N754" s="8">
        <v>-3.433987204</v>
      </c>
      <c r="O754" s="8">
        <v>2.8</v>
      </c>
      <c r="P754" s="8" t="s">
        <v>368</v>
      </c>
    </row>
    <row r="755">
      <c r="A755" s="8" t="s">
        <v>447</v>
      </c>
      <c r="B755" s="8">
        <v>2009.0</v>
      </c>
      <c r="C755" s="8" t="s">
        <v>365</v>
      </c>
      <c r="D755" s="8" t="s">
        <v>371</v>
      </c>
      <c r="E755" s="8">
        <v>2100.0</v>
      </c>
      <c r="F755" s="8" t="s">
        <v>41</v>
      </c>
      <c r="G755" s="8" t="s">
        <v>382</v>
      </c>
      <c r="H755" s="8" t="s">
        <v>416</v>
      </c>
      <c r="I755" s="8">
        <v>0.8</v>
      </c>
      <c r="J755" s="8">
        <v>1.0</v>
      </c>
      <c r="K755" s="8">
        <v>15.0</v>
      </c>
      <c r="L755" s="8">
        <v>0.066666667</v>
      </c>
      <c r="M755" s="8">
        <v>15.0</v>
      </c>
      <c r="N755" s="8">
        <v>-2.63905733</v>
      </c>
      <c r="O755" s="8">
        <v>2.8</v>
      </c>
      <c r="P755" s="8" t="s">
        <v>368</v>
      </c>
    </row>
    <row r="756">
      <c r="A756" s="8" t="s">
        <v>447</v>
      </c>
      <c r="B756" s="8">
        <v>2009.0</v>
      </c>
      <c r="C756" s="8" t="s">
        <v>365</v>
      </c>
      <c r="D756" s="8" t="s">
        <v>371</v>
      </c>
      <c r="E756" s="8">
        <v>2100.0</v>
      </c>
      <c r="F756" s="8" t="s">
        <v>41</v>
      </c>
      <c r="G756" s="8" t="s">
        <v>382</v>
      </c>
      <c r="H756" s="8" t="s">
        <v>416</v>
      </c>
      <c r="I756" s="8">
        <v>0.95</v>
      </c>
      <c r="J756" s="8">
        <v>0.0</v>
      </c>
      <c r="K756" s="8">
        <v>15.0</v>
      </c>
      <c r="L756" s="8">
        <v>0.0</v>
      </c>
      <c r="M756" s="8">
        <v>15.0</v>
      </c>
      <c r="N756" s="8">
        <v>-3.433987204</v>
      </c>
      <c r="O756" s="8">
        <v>2.8</v>
      </c>
      <c r="P756" s="8" t="s">
        <v>368</v>
      </c>
    </row>
    <row r="757">
      <c r="A757" s="8" t="s">
        <v>447</v>
      </c>
      <c r="B757" s="8">
        <v>2009.0</v>
      </c>
      <c r="C757" s="8" t="s">
        <v>365</v>
      </c>
      <c r="D757" s="8" t="s">
        <v>371</v>
      </c>
      <c r="E757" s="8">
        <v>2100.0</v>
      </c>
      <c r="F757" s="8" t="s">
        <v>41</v>
      </c>
      <c r="G757" s="8" t="s">
        <v>382</v>
      </c>
      <c r="H757" s="8" t="s">
        <v>416</v>
      </c>
      <c r="I757" s="8">
        <v>1.0</v>
      </c>
      <c r="J757" s="8">
        <v>0.0</v>
      </c>
      <c r="K757" s="8">
        <v>15.0</v>
      </c>
      <c r="L757" s="8">
        <v>0.0</v>
      </c>
      <c r="M757" s="8">
        <v>15.0</v>
      </c>
      <c r="N757" s="8">
        <v>-3.433987204</v>
      </c>
      <c r="O757" s="8">
        <v>2.8</v>
      </c>
      <c r="P757" s="8" t="s">
        <v>368</v>
      </c>
    </row>
    <row r="758">
      <c r="A758" s="8" t="s">
        <v>466</v>
      </c>
      <c r="B758" s="8">
        <v>2009.0</v>
      </c>
      <c r="C758" s="8" t="s">
        <v>32</v>
      </c>
      <c r="D758" s="8" t="s">
        <v>370</v>
      </c>
      <c r="E758" s="8">
        <v>2100.0</v>
      </c>
      <c r="F758" s="8" t="s">
        <v>34</v>
      </c>
      <c r="G758" s="8" t="s">
        <v>460</v>
      </c>
      <c r="H758" s="8" t="s">
        <v>36</v>
      </c>
      <c r="I758" s="8" t="s">
        <v>36</v>
      </c>
      <c r="J758" s="8">
        <v>90.0</v>
      </c>
      <c r="K758" s="8">
        <v>1134.0</v>
      </c>
      <c r="L758" s="8">
        <v>0.079365079</v>
      </c>
      <c r="M758" s="8">
        <v>1134.0</v>
      </c>
      <c r="N758" s="8">
        <v>-2.451005098</v>
      </c>
      <c r="O758" s="8" t="s">
        <v>36</v>
      </c>
      <c r="P758" s="8" t="s">
        <v>36</v>
      </c>
    </row>
    <row r="759">
      <c r="A759" s="8" t="s">
        <v>467</v>
      </c>
      <c r="B759" s="8">
        <v>2009.0</v>
      </c>
      <c r="C759" s="8" t="s">
        <v>365</v>
      </c>
      <c r="D759" s="8" t="s">
        <v>366</v>
      </c>
      <c r="E759" s="8">
        <v>2100.0</v>
      </c>
      <c r="F759" s="8" t="s">
        <v>41</v>
      </c>
      <c r="G759" s="8" t="s">
        <v>382</v>
      </c>
      <c r="H759" s="8" t="s">
        <v>416</v>
      </c>
      <c r="I759" s="8">
        <v>1.0</v>
      </c>
      <c r="J759" s="8">
        <v>0.0</v>
      </c>
      <c r="K759" s="8">
        <v>1.0</v>
      </c>
      <c r="L759" s="8">
        <v>0.0</v>
      </c>
      <c r="M759" s="8">
        <v>1.0</v>
      </c>
      <c r="N759" s="8">
        <v>-1.098612289</v>
      </c>
      <c r="O759" s="8">
        <v>4.2</v>
      </c>
      <c r="P759" s="8" t="s">
        <v>368</v>
      </c>
    </row>
    <row r="760">
      <c r="A760" s="8" t="s">
        <v>467</v>
      </c>
      <c r="B760" s="8">
        <v>2009.0</v>
      </c>
      <c r="C760" s="8" t="s">
        <v>365</v>
      </c>
      <c r="D760" s="8" t="s">
        <v>366</v>
      </c>
      <c r="E760" s="8">
        <v>2100.0</v>
      </c>
      <c r="F760" s="8" t="s">
        <v>41</v>
      </c>
      <c r="G760" s="8" t="s">
        <v>382</v>
      </c>
      <c r="H760" s="8" t="s">
        <v>416</v>
      </c>
      <c r="I760" s="8">
        <v>0.95</v>
      </c>
      <c r="J760" s="8">
        <v>0.0</v>
      </c>
      <c r="K760" s="8">
        <v>1.0</v>
      </c>
      <c r="L760" s="8">
        <v>0.0</v>
      </c>
      <c r="M760" s="8">
        <v>1.0</v>
      </c>
      <c r="N760" s="8">
        <v>-1.098612289</v>
      </c>
      <c r="O760" s="8">
        <v>4.2</v>
      </c>
      <c r="P760" s="8" t="s">
        <v>368</v>
      </c>
    </row>
    <row r="761">
      <c r="A761" s="8" t="s">
        <v>467</v>
      </c>
      <c r="B761" s="8">
        <v>2009.0</v>
      </c>
      <c r="C761" s="8" t="s">
        <v>365</v>
      </c>
      <c r="D761" s="8" t="s">
        <v>366</v>
      </c>
      <c r="E761" s="8">
        <v>2100.0</v>
      </c>
      <c r="F761" s="8" t="s">
        <v>41</v>
      </c>
      <c r="G761" s="8" t="s">
        <v>382</v>
      </c>
      <c r="H761" s="8" t="s">
        <v>416</v>
      </c>
      <c r="I761" s="8">
        <v>0.8</v>
      </c>
      <c r="J761" s="8">
        <v>1.0</v>
      </c>
      <c r="K761" s="8">
        <v>1.0</v>
      </c>
      <c r="L761" s="8">
        <v>1.0</v>
      </c>
      <c r="M761" s="8">
        <v>1.0</v>
      </c>
      <c r="N761" s="8">
        <v>1.098612289</v>
      </c>
      <c r="O761" s="8">
        <v>4.2</v>
      </c>
      <c r="P761" s="8" t="s">
        <v>368</v>
      </c>
    </row>
    <row r="762">
      <c r="A762" s="8" t="s">
        <v>467</v>
      </c>
      <c r="B762" s="8">
        <v>2009.0</v>
      </c>
      <c r="C762" s="8" t="s">
        <v>365</v>
      </c>
      <c r="D762" s="8" t="s">
        <v>366</v>
      </c>
      <c r="E762" s="8">
        <v>2100.0</v>
      </c>
      <c r="F762" s="8" t="s">
        <v>41</v>
      </c>
      <c r="G762" s="8" t="s">
        <v>382</v>
      </c>
      <c r="H762" s="8" t="s">
        <v>416</v>
      </c>
      <c r="I762" s="8">
        <v>1.0</v>
      </c>
      <c r="J762" s="8">
        <v>0.0</v>
      </c>
      <c r="K762" s="8">
        <v>1.0</v>
      </c>
      <c r="L762" s="8">
        <v>0.0</v>
      </c>
      <c r="M762" s="8">
        <v>1.0</v>
      </c>
      <c r="N762" s="8">
        <v>-1.098612289</v>
      </c>
      <c r="O762" s="8">
        <v>4.2</v>
      </c>
      <c r="P762" s="8" t="s">
        <v>368</v>
      </c>
    </row>
    <row r="763">
      <c r="A763" s="8" t="s">
        <v>467</v>
      </c>
      <c r="B763" s="8">
        <v>2009.0</v>
      </c>
      <c r="C763" s="8" t="s">
        <v>365</v>
      </c>
      <c r="D763" s="8" t="s">
        <v>366</v>
      </c>
      <c r="E763" s="8">
        <v>2100.0</v>
      </c>
      <c r="F763" s="8" t="s">
        <v>41</v>
      </c>
      <c r="G763" s="8" t="s">
        <v>382</v>
      </c>
      <c r="H763" s="8" t="s">
        <v>416</v>
      </c>
      <c r="I763" s="8">
        <v>0.95</v>
      </c>
      <c r="J763" s="8">
        <v>0.0</v>
      </c>
      <c r="K763" s="8">
        <v>1.0</v>
      </c>
      <c r="L763" s="8">
        <v>0.0</v>
      </c>
      <c r="M763" s="8">
        <v>1.0</v>
      </c>
      <c r="N763" s="8">
        <v>-1.098612289</v>
      </c>
      <c r="O763" s="8">
        <v>4.2</v>
      </c>
      <c r="P763" s="8" t="s">
        <v>368</v>
      </c>
    </row>
    <row r="764">
      <c r="A764" s="8" t="s">
        <v>467</v>
      </c>
      <c r="B764" s="8">
        <v>2009.0</v>
      </c>
      <c r="C764" s="8" t="s">
        <v>365</v>
      </c>
      <c r="D764" s="8" t="s">
        <v>366</v>
      </c>
      <c r="E764" s="8">
        <v>2100.0</v>
      </c>
      <c r="F764" s="8" t="s">
        <v>41</v>
      </c>
      <c r="G764" s="8" t="s">
        <v>382</v>
      </c>
      <c r="H764" s="8" t="s">
        <v>416</v>
      </c>
      <c r="I764" s="8">
        <v>0.8</v>
      </c>
      <c r="J764" s="8">
        <v>0.0</v>
      </c>
      <c r="K764" s="8">
        <v>1.0</v>
      </c>
      <c r="L764" s="8">
        <v>0.0</v>
      </c>
      <c r="M764" s="8">
        <v>1.0</v>
      </c>
      <c r="N764" s="8">
        <v>-1.098612289</v>
      </c>
      <c r="O764" s="8">
        <v>4.2</v>
      </c>
      <c r="P764" s="8" t="s">
        <v>368</v>
      </c>
    </row>
    <row r="765">
      <c r="A765" s="8" t="s">
        <v>468</v>
      </c>
      <c r="B765" s="8">
        <v>2010.0</v>
      </c>
      <c r="C765" s="8" t="s">
        <v>32</v>
      </c>
      <c r="D765" s="8" t="s">
        <v>366</v>
      </c>
      <c r="E765" s="8">
        <v>2095.0</v>
      </c>
      <c r="F765" s="8" t="s">
        <v>34</v>
      </c>
      <c r="G765" s="8" t="s">
        <v>42</v>
      </c>
      <c r="H765" s="8" t="s">
        <v>374</v>
      </c>
      <c r="I765" s="8">
        <v>0.9</v>
      </c>
      <c r="J765" s="8">
        <v>4.0</v>
      </c>
      <c r="K765" s="8">
        <v>28.0</v>
      </c>
      <c r="L765" s="8">
        <v>0.142857143</v>
      </c>
      <c r="M765" s="8">
        <v>28.0</v>
      </c>
      <c r="N765" s="8">
        <v>-1.791759469</v>
      </c>
      <c r="O765" s="8">
        <v>4.8</v>
      </c>
      <c r="P765" s="8" t="s">
        <v>368</v>
      </c>
    </row>
    <row r="766">
      <c r="A766" s="8" t="s">
        <v>468</v>
      </c>
      <c r="B766" s="8">
        <v>2010.0</v>
      </c>
      <c r="C766" s="8" t="s">
        <v>32</v>
      </c>
      <c r="D766" s="8" t="s">
        <v>366</v>
      </c>
      <c r="E766" s="8">
        <v>2095.0</v>
      </c>
      <c r="F766" s="8" t="s">
        <v>34</v>
      </c>
      <c r="G766" s="8" t="s">
        <v>42</v>
      </c>
      <c r="H766" s="8" t="s">
        <v>374</v>
      </c>
      <c r="I766" s="8">
        <v>0.9</v>
      </c>
      <c r="J766" s="8">
        <v>2.0</v>
      </c>
      <c r="K766" s="8">
        <v>28.0</v>
      </c>
      <c r="L766" s="8">
        <v>0.071428571</v>
      </c>
      <c r="M766" s="8">
        <v>28.0</v>
      </c>
      <c r="N766" s="8">
        <v>-2.564949357</v>
      </c>
      <c r="O766" s="8">
        <v>4.0</v>
      </c>
      <c r="P766" s="8" t="s">
        <v>368</v>
      </c>
    </row>
    <row r="767">
      <c r="A767" s="8" t="s">
        <v>468</v>
      </c>
      <c r="B767" s="8">
        <v>2010.0</v>
      </c>
      <c r="C767" s="8" t="s">
        <v>32</v>
      </c>
      <c r="D767" s="8" t="s">
        <v>366</v>
      </c>
      <c r="E767" s="8">
        <v>2095.0</v>
      </c>
      <c r="F767" s="8" t="s">
        <v>34</v>
      </c>
      <c r="G767" s="8" t="s">
        <v>42</v>
      </c>
      <c r="H767" s="8" t="s">
        <v>374</v>
      </c>
      <c r="I767" s="8">
        <v>0.9</v>
      </c>
      <c r="J767" s="8">
        <v>1.0</v>
      </c>
      <c r="K767" s="8">
        <v>28.0</v>
      </c>
      <c r="L767" s="8">
        <v>0.035714286</v>
      </c>
      <c r="M767" s="8">
        <v>28.0</v>
      </c>
      <c r="N767" s="8">
        <v>-3.295836866</v>
      </c>
      <c r="O767" s="8">
        <v>2.9</v>
      </c>
      <c r="P767" s="8" t="s">
        <v>368</v>
      </c>
    </row>
    <row r="768">
      <c r="A768" s="8" t="s">
        <v>468</v>
      </c>
      <c r="B768" s="8">
        <v>2010.0</v>
      </c>
      <c r="C768" s="8" t="s">
        <v>32</v>
      </c>
      <c r="D768" s="8" t="s">
        <v>366</v>
      </c>
      <c r="E768" s="8">
        <v>2095.0</v>
      </c>
      <c r="F768" s="8" t="s">
        <v>34</v>
      </c>
      <c r="G768" s="8" t="s">
        <v>42</v>
      </c>
      <c r="H768" s="8" t="s">
        <v>374</v>
      </c>
      <c r="I768" s="8">
        <v>0.9</v>
      </c>
      <c r="J768" s="8">
        <v>1.0</v>
      </c>
      <c r="K768" s="8">
        <v>28.0</v>
      </c>
      <c r="L768" s="8">
        <v>0.035714286</v>
      </c>
      <c r="M768" s="8">
        <v>28.0</v>
      </c>
      <c r="N768" s="8">
        <v>-3.295836866</v>
      </c>
      <c r="O768" s="8">
        <v>2.3</v>
      </c>
      <c r="P768" s="8" t="s">
        <v>368</v>
      </c>
    </row>
    <row r="769">
      <c r="A769" s="8" t="s">
        <v>468</v>
      </c>
      <c r="B769" s="8">
        <v>2010.0</v>
      </c>
      <c r="C769" s="8" t="s">
        <v>32</v>
      </c>
      <c r="D769" s="8" t="s">
        <v>366</v>
      </c>
      <c r="E769" s="8">
        <v>2095.0</v>
      </c>
      <c r="F769" s="8" t="s">
        <v>34</v>
      </c>
      <c r="G769" s="8" t="s">
        <v>42</v>
      </c>
      <c r="H769" s="8" t="s">
        <v>374</v>
      </c>
      <c r="I769" s="8">
        <v>0.95</v>
      </c>
      <c r="J769" s="8">
        <v>1.0</v>
      </c>
      <c r="K769" s="8">
        <v>28.0</v>
      </c>
      <c r="L769" s="8">
        <v>0.035714286</v>
      </c>
      <c r="M769" s="8">
        <v>28.0</v>
      </c>
      <c r="N769" s="8">
        <v>-3.295836866</v>
      </c>
      <c r="O769" s="8">
        <v>4.8</v>
      </c>
      <c r="P769" s="8" t="s">
        <v>368</v>
      </c>
    </row>
    <row r="770">
      <c r="A770" s="8" t="s">
        <v>468</v>
      </c>
      <c r="B770" s="8">
        <v>2010.0</v>
      </c>
      <c r="C770" s="8" t="s">
        <v>32</v>
      </c>
      <c r="D770" s="8" t="s">
        <v>366</v>
      </c>
      <c r="E770" s="8">
        <v>2095.0</v>
      </c>
      <c r="F770" s="8" t="s">
        <v>34</v>
      </c>
      <c r="G770" s="8" t="s">
        <v>42</v>
      </c>
      <c r="H770" s="8" t="s">
        <v>374</v>
      </c>
      <c r="I770" s="8">
        <v>0.95</v>
      </c>
      <c r="J770" s="8">
        <v>2.0</v>
      </c>
      <c r="K770" s="8">
        <v>28.0</v>
      </c>
      <c r="L770" s="8">
        <v>0.071428571</v>
      </c>
      <c r="M770" s="8">
        <v>28.0</v>
      </c>
      <c r="N770" s="8">
        <v>-2.564949357</v>
      </c>
      <c r="O770" s="8">
        <v>4.0</v>
      </c>
      <c r="P770" s="8" t="s">
        <v>368</v>
      </c>
    </row>
    <row r="771">
      <c r="A771" s="8" t="s">
        <v>468</v>
      </c>
      <c r="B771" s="8">
        <v>2010.0</v>
      </c>
      <c r="C771" s="8" t="s">
        <v>32</v>
      </c>
      <c r="D771" s="8" t="s">
        <v>366</v>
      </c>
      <c r="E771" s="8">
        <v>2095.0</v>
      </c>
      <c r="F771" s="8" t="s">
        <v>34</v>
      </c>
      <c r="G771" s="8" t="s">
        <v>42</v>
      </c>
      <c r="H771" s="8" t="s">
        <v>374</v>
      </c>
      <c r="I771" s="8">
        <v>0.95</v>
      </c>
      <c r="J771" s="8">
        <v>1.0</v>
      </c>
      <c r="K771" s="8">
        <v>28.0</v>
      </c>
      <c r="L771" s="8">
        <v>0.035714286</v>
      </c>
      <c r="M771" s="8">
        <v>28.0</v>
      </c>
      <c r="N771" s="8">
        <v>-3.295836866</v>
      </c>
      <c r="O771" s="8">
        <v>2.9</v>
      </c>
      <c r="P771" s="8" t="s">
        <v>368</v>
      </c>
    </row>
    <row r="772">
      <c r="A772" s="8" t="s">
        <v>468</v>
      </c>
      <c r="B772" s="8">
        <v>2010.0</v>
      </c>
      <c r="C772" s="8" t="s">
        <v>32</v>
      </c>
      <c r="D772" s="8" t="s">
        <v>366</v>
      </c>
      <c r="E772" s="8">
        <v>2095.0</v>
      </c>
      <c r="F772" s="8" t="s">
        <v>34</v>
      </c>
      <c r="G772" s="8" t="s">
        <v>42</v>
      </c>
      <c r="H772" s="8" t="s">
        <v>374</v>
      </c>
      <c r="I772" s="8">
        <v>0.95</v>
      </c>
      <c r="J772" s="8">
        <v>1.0</v>
      </c>
      <c r="K772" s="8">
        <v>28.0</v>
      </c>
      <c r="L772" s="8">
        <v>0.035714286</v>
      </c>
      <c r="M772" s="8">
        <v>28.0</v>
      </c>
      <c r="N772" s="8">
        <v>-3.295836866</v>
      </c>
      <c r="O772" s="8">
        <v>2.3</v>
      </c>
      <c r="P772" s="8" t="s">
        <v>368</v>
      </c>
    </row>
    <row r="773">
      <c r="A773" s="8" t="s">
        <v>468</v>
      </c>
      <c r="B773" s="8">
        <v>2010.0</v>
      </c>
      <c r="C773" s="8" t="s">
        <v>32</v>
      </c>
      <c r="D773" s="8" t="s">
        <v>366</v>
      </c>
      <c r="E773" s="8">
        <v>2095.0</v>
      </c>
      <c r="F773" s="8" t="s">
        <v>34</v>
      </c>
      <c r="G773" s="8" t="s">
        <v>42</v>
      </c>
      <c r="H773" s="8" t="s">
        <v>374</v>
      </c>
      <c r="I773" s="8">
        <v>1.0</v>
      </c>
      <c r="J773" s="8">
        <v>0.0</v>
      </c>
      <c r="K773" s="8">
        <v>28.0</v>
      </c>
      <c r="L773" s="8">
        <v>0.0</v>
      </c>
      <c r="M773" s="8">
        <v>28.0</v>
      </c>
      <c r="N773" s="8">
        <v>-4.043051268</v>
      </c>
      <c r="O773" s="8">
        <v>4.8</v>
      </c>
      <c r="P773" s="8" t="s">
        <v>368</v>
      </c>
    </row>
    <row r="774">
      <c r="A774" s="8" t="s">
        <v>468</v>
      </c>
      <c r="B774" s="8">
        <v>2010.0</v>
      </c>
      <c r="C774" s="8" t="s">
        <v>32</v>
      </c>
      <c r="D774" s="8" t="s">
        <v>366</v>
      </c>
      <c r="E774" s="8">
        <v>2095.0</v>
      </c>
      <c r="F774" s="8" t="s">
        <v>34</v>
      </c>
      <c r="G774" s="8" t="s">
        <v>42</v>
      </c>
      <c r="H774" s="8" t="s">
        <v>374</v>
      </c>
      <c r="I774" s="8">
        <v>1.0</v>
      </c>
      <c r="J774" s="8">
        <v>0.0</v>
      </c>
      <c r="K774" s="8">
        <v>28.0</v>
      </c>
      <c r="L774" s="8">
        <v>0.0</v>
      </c>
      <c r="M774" s="8">
        <v>28.0</v>
      </c>
      <c r="N774" s="8">
        <v>-4.043051268</v>
      </c>
      <c r="O774" s="8">
        <v>4.0</v>
      </c>
      <c r="P774" s="8" t="s">
        <v>368</v>
      </c>
    </row>
    <row r="775">
      <c r="A775" s="8" t="s">
        <v>468</v>
      </c>
      <c r="B775" s="8">
        <v>2010.0</v>
      </c>
      <c r="C775" s="8" t="s">
        <v>32</v>
      </c>
      <c r="D775" s="8" t="s">
        <v>366</v>
      </c>
      <c r="E775" s="8">
        <v>2095.0</v>
      </c>
      <c r="F775" s="8" t="s">
        <v>34</v>
      </c>
      <c r="G775" s="8" t="s">
        <v>42</v>
      </c>
      <c r="H775" s="8" t="s">
        <v>374</v>
      </c>
      <c r="I775" s="8">
        <v>1.0</v>
      </c>
      <c r="J775" s="8">
        <v>0.0</v>
      </c>
      <c r="K775" s="8">
        <v>28.0</v>
      </c>
      <c r="L775" s="8">
        <v>0.0</v>
      </c>
      <c r="M775" s="8">
        <v>28.0</v>
      </c>
      <c r="N775" s="8">
        <v>-4.043051268</v>
      </c>
      <c r="O775" s="8">
        <v>2.9</v>
      </c>
      <c r="P775" s="8" t="s">
        <v>368</v>
      </c>
    </row>
    <row r="776">
      <c r="A776" s="8" t="s">
        <v>468</v>
      </c>
      <c r="B776" s="8">
        <v>2010.0</v>
      </c>
      <c r="C776" s="8" t="s">
        <v>32</v>
      </c>
      <c r="D776" s="8" t="s">
        <v>366</v>
      </c>
      <c r="E776" s="8">
        <v>2095.0</v>
      </c>
      <c r="F776" s="8" t="s">
        <v>34</v>
      </c>
      <c r="G776" s="8" t="s">
        <v>42</v>
      </c>
      <c r="H776" s="8" t="s">
        <v>374</v>
      </c>
      <c r="I776" s="8">
        <v>1.0</v>
      </c>
      <c r="J776" s="8">
        <v>0.0</v>
      </c>
      <c r="K776" s="8">
        <v>28.0</v>
      </c>
      <c r="L776" s="8">
        <v>0.0</v>
      </c>
      <c r="M776" s="8">
        <v>28.0</v>
      </c>
      <c r="N776" s="8">
        <v>-4.043051268</v>
      </c>
      <c r="O776" s="8">
        <v>2.3</v>
      </c>
      <c r="P776" s="8" t="s">
        <v>368</v>
      </c>
    </row>
    <row r="777">
      <c r="A777" s="8" t="s">
        <v>469</v>
      </c>
      <c r="B777" s="8">
        <v>2010.0</v>
      </c>
      <c r="C777" s="8" t="s">
        <v>77</v>
      </c>
      <c r="D777" s="8" t="s">
        <v>376</v>
      </c>
      <c r="E777" s="8">
        <v>2050.0</v>
      </c>
      <c r="F777" s="8" t="s">
        <v>41</v>
      </c>
      <c r="G777" s="8" t="s">
        <v>382</v>
      </c>
      <c r="H777" s="8" t="s">
        <v>367</v>
      </c>
      <c r="I777" s="8">
        <v>1.0</v>
      </c>
      <c r="J777" s="8">
        <v>181.0</v>
      </c>
      <c r="K777" s="8">
        <v>5077.0</v>
      </c>
      <c r="L777" s="8">
        <v>0.035650975</v>
      </c>
      <c r="M777" s="8">
        <v>5077.0</v>
      </c>
      <c r="N777" s="8">
        <v>-3.297676793</v>
      </c>
      <c r="O777" s="8">
        <v>2.2</v>
      </c>
      <c r="P777" s="8" t="s">
        <v>368</v>
      </c>
    </row>
    <row r="778">
      <c r="A778" s="8" t="s">
        <v>469</v>
      </c>
      <c r="B778" s="8">
        <v>2010.0</v>
      </c>
      <c r="C778" s="8" t="s">
        <v>77</v>
      </c>
      <c r="D778" s="8" t="s">
        <v>376</v>
      </c>
      <c r="E778" s="8">
        <v>2080.0</v>
      </c>
      <c r="F778" s="8" t="s">
        <v>41</v>
      </c>
      <c r="G778" s="8" t="s">
        <v>382</v>
      </c>
      <c r="H778" s="8" t="s">
        <v>367</v>
      </c>
      <c r="I778" s="8">
        <v>1.0</v>
      </c>
      <c r="J778" s="8">
        <v>984.0</v>
      </c>
      <c r="K778" s="8">
        <v>5077.0</v>
      </c>
      <c r="L778" s="8">
        <v>0.193815245</v>
      </c>
      <c r="M778" s="8">
        <v>5077.0</v>
      </c>
      <c r="N778" s="8">
        <v>-1.425407579</v>
      </c>
      <c r="O778" s="8">
        <v>3.6</v>
      </c>
      <c r="P778" s="8" t="s">
        <v>368</v>
      </c>
    </row>
    <row r="779">
      <c r="A779" s="8" t="s">
        <v>469</v>
      </c>
      <c r="B779" s="8">
        <v>2010.0</v>
      </c>
      <c r="C779" s="8" t="s">
        <v>365</v>
      </c>
      <c r="D779" s="8" t="s">
        <v>376</v>
      </c>
      <c r="E779" s="8">
        <v>2050.0</v>
      </c>
      <c r="F779" s="8" t="s">
        <v>41</v>
      </c>
      <c r="G779" s="8" t="s">
        <v>382</v>
      </c>
      <c r="H779" s="8" t="s">
        <v>367</v>
      </c>
      <c r="I779" s="8">
        <v>1.0</v>
      </c>
      <c r="J779" s="8">
        <v>26.0</v>
      </c>
      <c r="K779" s="8">
        <v>48.0</v>
      </c>
      <c r="L779" s="8">
        <v>0.541666667</v>
      </c>
      <c r="M779" s="8">
        <v>48.0</v>
      </c>
      <c r="N779" s="8">
        <v>0.167054085</v>
      </c>
      <c r="O779" s="8">
        <v>2.2</v>
      </c>
      <c r="P779" s="8" t="s">
        <v>368</v>
      </c>
    </row>
    <row r="780">
      <c r="A780" s="8" t="s">
        <v>469</v>
      </c>
      <c r="B780" s="8">
        <v>2010.0</v>
      </c>
      <c r="C780" s="8" t="s">
        <v>32</v>
      </c>
      <c r="D780" s="8" t="s">
        <v>376</v>
      </c>
      <c r="E780" s="8">
        <v>2050.0</v>
      </c>
      <c r="F780" s="8" t="s">
        <v>41</v>
      </c>
      <c r="G780" s="8" t="s">
        <v>382</v>
      </c>
      <c r="H780" s="8" t="s">
        <v>367</v>
      </c>
      <c r="I780" s="8">
        <v>1.0</v>
      </c>
      <c r="J780" s="8">
        <v>6.0</v>
      </c>
      <c r="K780" s="8">
        <v>6.0</v>
      </c>
      <c r="L780" s="8">
        <v>1.0</v>
      </c>
      <c r="M780" s="8">
        <v>6.0</v>
      </c>
      <c r="N780" s="8">
        <v>2.564949357</v>
      </c>
      <c r="O780" s="8">
        <v>2.2</v>
      </c>
      <c r="P780" s="8" t="s">
        <v>368</v>
      </c>
    </row>
    <row r="781">
      <c r="A781" s="8" t="s">
        <v>469</v>
      </c>
      <c r="B781" s="8">
        <v>2010.0</v>
      </c>
      <c r="C781" s="8" t="s">
        <v>403</v>
      </c>
      <c r="D781" s="8" t="s">
        <v>376</v>
      </c>
      <c r="E781" s="8">
        <v>2050.0</v>
      </c>
      <c r="F781" s="8" t="s">
        <v>41</v>
      </c>
      <c r="G781" s="8" t="s">
        <v>382</v>
      </c>
      <c r="H781" s="8" t="s">
        <v>367</v>
      </c>
      <c r="I781" s="8">
        <v>1.0</v>
      </c>
      <c r="J781" s="8">
        <v>13.0</v>
      </c>
      <c r="K781" s="8">
        <v>76.0</v>
      </c>
      <c r="L781" s="8">
        <v>0.171052632</v>
      </c>
      <c r="M781" s="8">
        <v>76.0</v>
      </c>
      <c r="N781" s="8">
        <v>-1.578185369</v>
      </c>
      <c r="O781" s="8">
        <v>2.2</v>
      </c>
      <c r="P781" s="8" t="s">
        <v>368</v>
      </c>
    </row>
    <row r="782">
      <c r="A782" s="8" t="s">
        <v>469</v>
      </c>
      <c r="B782" s="8">
        <v>2010.0</v>
      </c>
      <c r="C782" s="8" t="s">
        <v>39</v>
      </c>
      <c r="D782" s="8" t="s">
        <v>376</v>
      </c>
      <c r="E782" s="8">
        <v>2050.0</v>
      </c>
      <c r="F782" s="8" t="s">
        <v>41</v>
      </c>
      <c r="G782" s="8" t="s">
        <v>382</v>
      </c>
      <c r="H782" s="8" t="s">
        <v>367</v>
      </c>
      <c r="I782" s="8">
        <v>1.0</v>
      </c>
      <c r="J782" s="8">
        <v>2.0</v>
      </c>
      <c r="K782" s="8">
        <v>66.0</v>
      </c>
      <c r="L782" s="8">
        <v>0.03030303</v>
      </c>
      <c r="M782" s="8">
        <v>66.0</v>
      </c>
      <c r="N782" s="8">
        <v>-3.465735903</v>
      </c>
      <c r="O782" s="8">
        <v>2.2</v>
      </c>
      <c r="P782" s="8" t="s">
        <v>368</v>
      </c>
    </row>
    <row r="783">
      <c r="A783" s="8" t="s">
        <v>469</v>
      </c>
      <c r="B783" s="8">
        <v>2010.0</v>
      </c>
      <c r="C783" s="8" t="s">
        <v>373</v>
      </c>
      <c r="D783" s="8" t="s">
        <v>376</v>
      </c>
      <c r="E783" s="8">
        <v>2050.0</v>
      </c>
      <c r="F783" s="8" t="s">
        <v>41</v>
      </c>
      <c r="G783" s="8" t="s">
        <v>382</v>
      </c>
      <c r="H783" s="8" t="s">
        <v>367</v>
      </c>
      <c r="I783" s="8">
        <v>1.0</v>
      </c>
      <c r="J783" s="8">
        <v>1.0</v>
      </c>
      <c r="K783" s="8">
        <v>10.0</v>
      </c>
      <c r="L783" s="8">
        <v>0.1</v>
      </c>
      <c r="M783" s="8">
        <v>10.0</v>
      </c>
      <c r="N783" s="8">
        <v>-2.197224577</v>
      </c>
      <c r="O783" s="8">
        <v>2.2</v>
      </c>
      <c r="P783" s="8" t="s">
        <v>368</v>
      </c>
    </row>
    <row r="784">
      <c r="A784" s="8" t="s">
        <v>469</v>
      </c>
      <c r="B784" s="8">
        <v>2010.0</v>
      </c>
      <c r="C784" s="8" t="s">
        <v>365</v>
      </c>
      <c r="D784" s="8" t="s">
        <v>376</v>
      </c>
      <c r="E784" s="8">
        <v>2080.0</v>
      </c>
      <c r="F784" s="8" t="s">
        <v>41</v>
      </c>
      <c r="G784" s="8" t="s">
        <v>382</v>
      </c>
      <c r="H784" s="8" t="s">
        <v>367</v>
      </c>
      <c r="I784" s="8">
        <v>1.0</v>
      </c>
      <c r="J784" s="8">
        <v>28.0</v>
      </c>
      <c r="K784" s="8">
        <v>48.0</v>
      </c>
      <c r="L784" s="8">
        <v>0.583333333</v>
      </c>
      <c r="M784" s="8">
        <v>48.0</v>
      </c>
      <c r="N784" s="8">
        <v>0.336472237</v>
      </c>
      <c r="O784" s="8">
        <v>3.6</v>
      </c>
      <c r="P784" s="8" t="s">
        <v>368</v>
      </c>
    </row>
    <row r="785">
      <c r="A785" s="8" t="s">
        <v>469</v>
      </c>
      <c r="B785" s="8">
        <v>2010.0</v>
      </c>
      <c r="C785" s="8" t="s">
        <v>32</v>
      </c>
      <c r="D785" s="8" t="s">
        <v>376</v>
      </c>
      <c r="E785" s="8">
        <v>2080.0</v>
      </c>
      <c r="F785" s="8" t="s">
        <v>41</v>
      </c>
      <c r="G785" s="8" t="s">
        <v>382</v>
      </c>
      <c r="H785" s="8" t="s">
        <v>367</v>
      </c>
      <c r="I785" s="8">
        <v>1.0</v>
      </c>
      <c r="J785" s="8">
        <v>3.0</v>
      </c>
      <c r="K785" s="8">
        <v>6.0</v>
      </c>
      <c r="L785" s="8">
        <v>0.5</v>
      </c>
      <c r="M785" s="8">
        <v>6.0</v>
      </c>
      <c r="N785" s="8">
        <v>0.0</v>
      </c>
      <c r="O785" s="8">
        <v>3.6</v>
      </c>
      <c r="P785" s="8" t="s">
        <v>368</v>
      </c>
    </row>
    <row r="786">
      <c r="A786" s="8" t="s">
        <v>469</v>
      </c>
      <c r="B786" s="8">
        <v>2010.0</v>
      </c>
      <c r="C786" s="8" t="s">
        <v>403</v>
      </c>
      <c r="D786" s="8" t="s">
        <v>376</v>
      </c>
      <c r="E786" s="8">
        <v>2080.0</v>
      </c>
      <c r="F786" s="8" t="s">
        <v>41</v>
      </c>
      <c r="G786" s="8" t="s">
        <v>382</v>
      </c>
      <c r="H786" s="8" t="s">
        <v>367</v>
      </c>
      <c r="I786" s="8">
        <v>1.0</v>
      </c>
      <c r="J786" s="8">
        <v>6.0</v>
      </c>
      <c r="K786" s="8">
        <v>76.0</v>
      </c>
      <c r="L786" s="8">
        <v>0.078947368</v>
      </c>
      <c r="M786" s="8">
        <v>76.0</v>
      </c>
      <c r="N786" s="8">
        <v>-2.456735773</v>
      </c>
      <c r="O786" s="8">
        <v>3.6</v>
      </c>
      <c r="P786" s="8" t="s">
        <v>368</v>
      </c>
    </row>
    <row r="787">
      <c r="A787" s="8" t="s">
        <v>469</v>
      </c>
      <c r="B787" s="8">
        <v>2010.0</v>
      </c>
      <c r="C787" s="8" t="s">
        <v>39</v>
      </c>
      <c r="D787" s="8" t="s">
        <v>376</v>
      </c>
      <c r="E787" s="8">
        <v>2080.0</v>
      </c>
      <c r="F787" s="8" t="s">
        <v>41</v>
      </c>
      <c r="G787" s="8" t="s">
        <v>382</v>
      </c>
      <c r="H787" s="8" t="s">
        <v>367</v>
      </c>
      <c r="I787" s="8">
        <v>1.0</v>
      </c>
      <c r="J787" s="8">
        <v>14.0</v>
      </c>
      <c r="K787" s="8">
        <v>66.0</v>
      </c>
      <c r="L787" s="8">
        <v>0.212121212</v>
      </c>
      <c r="M787" s="8">
        <v>66.0</v>
      </c>
      <c r="N787" s="8">
        <v>-1.312186389</v>
      </c>
      <c r="O787" s="8">
        <v>3.6</v>
      </c>
      <c r="P787" s="8" t="s">
        <v>368</v>
      </c>
    </row>
    <row r="788">
      <c r="A788" s="8" t="s">
        <v>469</v>
      </c>
      <c r="B788" s="8">
        <v>2010.0</v>
      </c>
      <c r="C788" s="8" t="s">
        <v>373</v>
      </c>
      <c r="D788" s="8" t="s">
        <v>376</v>
      </c>
      <c r="E788" s="8">
        <v>2080.0</v>
      </c>
      <c r="F788" s="8" t="s">
        <v>41</v>
      </c>
      <c r="G788" s="8" t="s">
        <v>382</v>
      </c>
      <c r="H788" s="8" t="s">
        <v>367</v>
      </c>
      <c r="I788" s="8">
        <v>1.0</v>
      </c>
      <c r="J788" s="8">
        <v>2.0</v>
      </c>
      <c r="K788" s="8">
        <v>10.0</v>
      </c>
      <c r="L788" s="8">
        <v>0.2</v>
      </c>
      <c r="M788" s="8">
        <v>10.0</v>
      </c>
      <c r="N788" s="8">
        <v>-1.386294361</v>
      </c>
      <c r="O788" s="8">
        <v>3.6</v>
      </c>
      <c r="P788" s="8" t="s">
        <v>368</v>
      </c>
    </row>
    <row r="789">
      <c r="A789" s="8" t="s">
        <v>457</v>
      </c>
      <c r="B789" s="8">
        <v>2010.0</v>
      </c>
      <c r="C789" s="8" t="s">
        <v>365</v>
      </c>
      <c r="D789" s="8" t="s">
        <v>376</v>
      </c>
      <c r="E789" s="8">
        <v>2100.0</v>
      </c>
      <c r="F789" s="8" t="s">
        <v>41</v>
      </c>
      <c r="G789" s="8" t="s">
        <v>42</v>
      </c>
      <c r="H789" s="8" t="s">
        <v>374</v>
      </c>
      <c r="I789" s="8">
        <v>0.95</v>
      </c>
      <c r="J789" s="8">
        <v>0.0</v>
      </c>
      <c r="K789" s="8">
        <v>1.0</v>
      </c>
      <c r="L789" s="8">
        <v>0.0</v>
      </c>
      <c r="M789" s="8">
        <v>1.0</v>
      </c>
      <c r="N789" s="8">
        <v>-1.098612289</v>
      </c>
      <c r="O789" s="8">
        <v>3.3</v>
      </c>
      <c r="P789" s="8" t="s">
        <v>368</v>
      </c>
    </row>
    <row r="790">
      <c r="A790" s="8" t="s">
        <v>457</v>
      </c>
      <c r="B790" s="8">
        <v>2010.0</v>
      </c>
      <c r="C790" s="8" t="s">
        <v>365</v>
      </c>
      <c r="D790" s="8" t="s">
        <v>376</v>
      </c>
      <c r="E790" s="8">
        <v>2100.0</v>
      </c>
      <c r="F790" s="8" t="s">
        <v>41</v>
      </c>
      <c r="G790" s="8" t="s">
        <v>382</v>
      </c>
      <c r="H790" s="8" t="s">
        <v>374</v>
      </c>
      <c r="I790" s="8">
        <v>0.95</v>
      </c>
      <c r="J790" s="8">
        <v>0.0</v>
      </c>
      <c r="K790" s="8">
        <v>1.0</v>
      </c>
      <c r="L790" s="8">
        <v>0.0</v>
      </c>
      <c r="M790" s="8">
        <v>1.0</v>
      </c>
      <c r="N790" s="8">
        <v>-1.098612289</v>
      </c>
      <c r="O790" s="8">
        <v>3.3</v>
      </c>
      <c r="P790" s="8" t="s">
        <v>368</v>
      </c>
    </row>
    <row r="791">
      <c r="A791" s="8" t="s">
        <v>457</v>
      </c>
      <c r="B791" s="8">
        <v>2010.0</v>
      </c>
      <c r="C791" s="8" t="s">
        <v>365</v>
      </c>
      <c r="D791" s="8" t="s">
        <v>370</v>
      </c>
      <c r="E791" s="8">
        <v>2100.0</v>
      </c>
      <c r="F791" s="8" t="s">
        <v>41</v>
      </c>
      <c r="G791" s="8" t="s">
        <v>42</v>
      </c>
      <c r="H791" s="8" t="s">
        <v>374</v>
      </c>
      <c r="I791" s="8">
        <v>0.95</v>
      </c>
      <c r="J791" s="8">
        <v>0.0</v>
      </c>
      <c r="K791" s="8">
        <v>1.0</v>
      </c>
      <c r="L791" s="8">
        <v>0.0</v>
      </c>
      <c r="M791" s="8">
        <v>1.0</v>
      </c>
      <c r="N791" s="8">
        <v>-1.098612289</v>
      </c>
      <c r="O791" s="8">
        <v>3.3</v>
      </c>
      <c r="P791" s="8" t="s">
        <v>368</v>
      </c>
    </row>
    <row r="792">
      <c r="A792" s="8" t="s">
        <v>457</v>
      </c>
      <c r="B792" s="8">
        <v>2010.0</v>
      </c>
      <c r="C792" s="8" t="s">
        <v>365</v>
      </c>
      <c r="D792" s="8" t="s">
        <v>370</v>
      </c>
      <c r="E792" s="8">
        <v>2100.0</v>
      </c>
      <c r="F792" s="8" t="s">
        <v>41</v>
      </c>
      <c r="G792" s="8" t="s">
        <v>382</v>
      </c>
      <c r="H792" s="8" t="s">
        <v>374</v>
      </c>
      <c r="I792" s="8">
        <v>0.95</v>
      </c>
      <c r="J792" s="8">
        <v>0.0</v>
      </c>
      <c r="K792" s="8">
        <v>1.0</v>
      </c>
      <c r="L792" s="8">
        <v>0.0</v>
      </c>
      <c r="M792" s="8">
        <v>1.0</v>
      </c>
      <c r="N792" s="8">
        <v>-1.098612289</v>
      </c>
      <c r="O792" s="8">
        <v>3.3</v>
      </c>
      <c r="P792" s="8" t="s">
        <v>368</v>
      </c>
    </row>
    <row r="793">
      <c r="A793" s="8" t="s">
        <v>470</v>
      </c>
      <c r="B793" s="8">
        <v>2010.0</v>
      </c>
      <c r="C793" s="8" t="s">
        <v>373</v>
      </c>
      <c r="D793" s="8" t="s">
        <v>371</v>
      </c>
      <c r="E793" s="8">
        <v>2070.0</v>
      </c>
      <c r="F793" s="8" t="s">
        <v>41</v>
      </c>
      <c r="G793" s="8" t="s">
        <v>42</v>
      </c>
      <c r="H793" s="8" t="s">
        <v>374</v>
      </c>
      <c r="I793" s="8">
        <v>1.0</v>
      </c>
      <c r="J793" s="8">
        <v>0.0</v>
      </c>
      <c r="K793" s="8">
        <v>18.0</v>
      </c>
      <c r="L793" s="8">
        <v>0.0</v>
      </c>
      <c r="M793" s="8">
        <v>18.0</v>
      </c>
      <c r="N793" s="8">
        <v>-3.610917913</v>
      </c>
      <c r="O793" s="8">
        <v>2.1</v>
      </c>
      <c r="P793" s="8" t="s">
        <v>368</v>
      </c>
    </row>
    <row r="794">
      <c r="A794" s="8" t="s">
        <v>470</v>
      </c>
      <c r="B794" s="8">
        <v>2010.0</v>
      </c>
      <c r="C794" s="8" t="s">
        <v>373</v>
      </c>
      <c r="D794" s="8" t="s">
        <v>371</v>
      </c>
      <c r="E794" s="8">
        <v>2070.0</v>
      </c>
      <c r="F794" s="8" t="s">
        <v>41</v>
      </c>
      <c r="G794" s="8" t="s">
        <v>42</v>
      </c>
      <c r="H794" s="8" t="s">
        <v>374</v>
      </c>
      <c r="I794" s="8">
        <v>1.0</v>
      </c>
      <c r="J794" s="8">
        <v>0.0</v>
      </c>
      <c r="K794" s="8">
        <v>18.0</v>
      </c>
      <c r="L794" s="8">
        <v>0.0</v>
      </c>
      <c r="M794" s="8">
        <v>18.0</v>
      </c>
      <c r="N794" s="8">
        <v>-3.610917913</v>
      </c>
      <c r="O794" s="8">
        <v>2.73</v>
      </c>
      <c r="P794" s="8" t="s">
        <v>368</v>
      </c>
    </row>
    <row r="795">
      <c r="A795" s="8" t="s">
        <v>470</v>
      </c>
      <c r="B795" s="8">
        <v>2010.0</v>
      </c>
      <c r="C795" s="8" t="s">
        <v>373</v>
      </c>
      <c r="D795" s="8" t="s">
        <v>371</v>
      </c>
      <c r="E795" s="8">
        <v>2070.0</v>
      </c>
      <c r="F795" s="8" t="s">
        <v>41</v>
      </c>
      <c r="G795" s="8" t="s">
        <v>42</v>
      </c>
      <c r="H795" s="8" t="s">
        <v>374</v>
      </c>
      <c r="I795" s="8">
        <v>1.0</v>
      </c>
      <c r="J795" s="8">
        <v>1.0</v>
      </c>
      <c r="K795" s="8">
        <v>18.0</v>
      </c>
      <c r="L795" s="8">
        <v>0.055555556</v>
      </c>
      <c r="M795" s="8">
        <v>18.0</v>
      </c>
      <c r="N795" s="8">
        <v>-2.833213344</v>
      </c>
      <c r="O795" s="8">
        <v>3.5</v>
      </c>
      <c r="P795" s="8" t="s">
        <v>368</v>
      </c>
    </row>
    <row r="796">
      <c r="A796" s="8" t="s">
        <v>470</v>
      </c>
      <c r="B796" s="8">
        <v>2010.0</v>
      </c>
      <c r="C796" s="8" t="s">
        <v>373</v>
      </c>
      <c r="D796" s="8" t="s">
        <v>371</v>
      </c>
      <c r="E796" s="8">
        <v>2070.0</v>
      </c>
      <c r="F796" s="8" t="s">
        <v>41</v>
      </c>
      <c r="G796" s="8" t="s">
        <v>42</v>
      </c>
      <c r="H796" s="8" t="s">
        <v>374</v>
      </c>
      <c r="I796" s="8">
        <v>0.95</v>
      </c>
      <c r="J796" s="8">
        <v>0.0</v>
      </c>
      <c r="K796" s="8">
        <v>18.0</v>
      </c>
      <c r="L796" s="8">
        <v>0.0</v>
      </c>
      <c r="M796" s="8">
        <v>18.0</v>
      </c>
      <c r="N796" s="8">
        <v>-3.610917913</v>
      </c>
      <c r="O796" s="8">
        <v>2.1</v>
      </c>
      <c r="P796" s="8" t="s">
        <v>368</v>
      </c>
    </row>
    <row r="797">
      <c r="A797" s="8" t="s">
        <v>470</v>
      </c>
      <c r="B797" s="8">
        <v>2010.0</v>
      </c>
      <c r="C797" s="8" t="s">
        <v>373</v>
      </c>
      <c r="D797" s="8" t="s">
        <v>371</v>
      </c>
      <c r="E797" s="8">
        <v>2070.0</v>
      </c>
      <c r="F797" s="8" t="s">
        <v>41</v>
      </c>
      <c r="G797" s="8" t="s">
        <v>42</v>
      </c>
      <c r="H797" s="8" t="s">
        <v>374</v>
      </c>
      <c r="I797" s="8">
        <v>0.95</v>
      </c>
      <c r="J797" s="8">
        <v>1.0</v>
      </c>
      <c r="K797" s="8">
        <v>18.0</v>
      </c>
      <c r="L797" s="8">
        <v>0.055555556</v>
      </c>
      <c r="M797" s="8">
        <v>18.0</v>
      </c>
      <c r="N797" s="8">
        <v>-2.833213344</v>
      </c>
      <c r="O797" s="8">
        <v>2.73</v>
      </c>
      <c r="P797" s="8" t="s">
        <v>368</v>
      </c>
    </row>
    <row r="798">
      <c r="A798" s="8" t="s">
        <v>470</v>
      </c>
      <c r="B798" s="8">
        <v>2010.0</v>
      </c>
      <c r="C798" s="8" t="s">
        <v>373</v>
      </c>
      <c r="D798" s="8" t="s">
        <v>371</v>
      </c>
      <c r="E798" s="8">
        <v>2070.0</v>
      </c>
      <c r="F798" s="8" t="s">
        <v>41</v>
      </c>
      <c r="G798" s="8" t="s">
        <v>42</v>
      </c>
      <c r="H798" s="8" t="s">
        <v>374</v>
      </c>
      <c r="I798" s="8">
        <v>0.95</v>
      </c>
      <c r="J798" s="8">
        <v>4.0</v>
      </c>
      <c r="K798" s="8">
        <v>18.0</v>
      </c>
      <c r="L798" s="8">
        <v>0.222222222</v>
      </c>
      <c r="M798" s="8">
        <v>18.0</v>
      </c>
      <c r="N798" s="8">
        <v>-1.252762968</v>
      </c>
      <c r="O798" s="8">
        <v>3.5</v>
      </c>
      <c r="P798" s="8" t="s">
        <v>368</v>
      </c>
    </row>
    <row r="799">
      <c r="A799" s="8" t="s">
        <v>470</v>
      </c>
      <c r="B799" s="8">
        <v>2010.0</v>
      </c>
      <c r="C799" s="8" t="s">
        <v>373</v>
      </c>
      <c r="D799" s="8" t="s">
        <v>371</v>
      </c>
      <c r="E799" s="8">
        <v>2070.0</v>
      </c>
      <c r="F799" s="8" t="s">
        <v>41</v>
      </c>
      <c r="G799" s="8" t="s">
        <v>42</v>
      </c>
      <c r="H799" s="8" t="s">
        <v>374</v>
      </c>
      <c r="I799" s="8">
        <v>0.8</v>
      </c>
      <c r="J799" s="8">
        <v>0.0</v>
      </c>
      <c r="K799" s="8">
        <v>18.0</v>
      </c>
      <c r="L799" s="8">
        <v>0.0</v>
      </c>
      <c r="M799" s="8">
        <v>18.0</v>
      </c>
      <c r="N799" s="8">
        <v>-3.610917913</v>
      </c>
      <c r="O799" s="8">
        <v>2.1</v>
      </c>
      <c r="P799" s="8" t="s">
        <v>368</v>
      </c>
    </row>
    <row r="800">
      <c r="A800" s="8" t="s">
        <v>470</v>
      </c>
      <c r="B800" s="8">
        <v>2010.0</v>
      </c>
      <c r="C800" s="8" t="s">
        <v>373</v>
      </c>
      <c r="D800" s="8" t="s">
        <v>371</v>
      </c>
      <c r="E800" s="8">
        <v>2070.0</v>
      </c>
      <c r="F800" s="8" t="s">
        <v>41</v>
      </c>
      <c r="G800" s="8" t="s">
        <v>42</v>
      </c>
      <c r="H800" s="8" t="s">
        <v>374</v>
      </c>
      <c r="I800" s="8">
        <v>0.8</v>
      </c>
      <c r="J800" s="8">
        <v>2.0</v>
      </c>
      <c r="K800" s="8">
        <v>18.0</v>
      </c>
      <c r="L800" s="8">
        <v>0.111111111</v>
      </c>
      <c r="M800" s="8">
        <v>18.0</v>
      </c>
      <c r="N800" s="8">
        <v>-2.079441542</v>
      </c>
      <c r="O800" s="8">
        <v>2.73</v>
      </c>
      <c r="P800" s="8" t="s">
        <v>368</v>
      </c>
    </row>
    <row r="801">
      <c r="A801" s="8" t="s">
        <v>470</v>
      </c>
      <c r="B801" s="8">
        <v>2010.0</v>
      </c>
      <c r="C801" s="8" t="s">
        <v>373</v>
      </c>
      <c r="D801" s="8" t="s">
        <v>371</v>
      </c>
      <c r="E801" s="8">
        <v>2070.0</v>
      </c>
      <c r="F801" s="8" t="s">
        <v>41</v>
      </c>
      <c r="G801" s="8" t="s">
        <v>42</v>
      </c>
      <c r="H801" s="8" t="s">
        <v>374</v>
      </c>
      <c r="I801" s="8">
        <v>0.8</v>
      </c>
      <c r="J801" s="8">
        <v>6.0</v>
      </c>
      <c r="K801" s="8">
        <v>18.0</v>
      </c>
      <c r="L801" s="8">
        <v>0.333333333</v>
      </c>
      <c r="M801" s="8">
        <v>18.0</v>
      </c>
      <c r="N801" s="8">
        <v>-0.693147181</v>
      </c>
      <c r="O801" s="8">
        <v>3.5</v>
      </c>
      <c r="P801" s="8" t="s">
        <v>368</v>
      </c>
    </row>
    <row r="802">
      <c r="A802" s="8" t="s">
        <v>470</v>
      </c>
      <c r="B802" s="8">
        <v>2010.0</v>
      </c>
      <c r="C802" s="8" t="s">
        <v>373</v>
      </c>
      <c r="D802" s="8" t="s">
        <v>371</v>
      </c>
      <c r="E802" s="8">
        <v>2070.0</v>
      </c>
      <c r="F802" s="8" t="s">
        <v>41</v>
      </c>
      <c r="G802" s="8" t="s">
        <v>42</v>
      </c>
      <c r="H802" s="8" t="s">
        <v>367</v>
      </c>
      <c r="I802" s="8">
        <v>1.0</v>
      </c>
      <c r="J802" s="8">
        <v>0.0</v>
      </c>
      <c r="K802" s="8">
        <v>18.0</v>
      </c>
      <c r="L802" s="8">
        <v>0.0</v>
      </c>
      <c r="M802" s="8">
        <v>18.0</v>
      </c>
      <c r="N802" s="8">
        <v>-3.610917913</v>
      </c>
      <c r="O802" s="8">
        <v>2.1</v>
      </c>
      <c r="P802" s="8" t="s">
        <v>368</v>
      </c>
    </row>
    <row r="803">
      <c r="A803" s="8" t="s">
        <v>470</v>
      </c>
      <c r="B803" s="8">
        <v>2010.0</v>
      </c>
      <c r="C803" s="8" t="s">
        <v>373</v>
      </c>
      <c r="D803" s="8" t="s">
        <v>371</v>
      </c>
      <c r="E803" s="8">
        <v>2070.0</v>
      </c>
      <c r="F803" s="8" t="s">
        <v>41</v>
      </c>
      <c r="G803" s="8" t="s">
        <v>42</v>
      </c>
      <c r="H803" s="8" t="s">
        <v>367</v>
      </c>
      <c r="I803" s="8">
        <v>1.0</v>
      </c>
      <c r="J803" s="8">
        <v>0.0</v>
      </c>
      <c r="K803" s="8">
        <v>18.0</v>
      </c>
      <c r="L803" s="8">
        <v>0.0</v>
      </c>
      <c r="M803" s="8">
        <v>18.0</v>
      </c>
      <c r="N803" s="8">
        <v>-3.610917913</v>
      </c>
      <c r="O803" s="8">
        <v>2.73</v>
      </c>
      <c r="P803" s="8" t="s">
        <v>368</v>
      </c>
    </row>
    <row r="804">
      <c r="A804" s="8" t="s">
        <v>470</v>
      </c>
      <c r="B804" s="8">
        <v>2010.0</v>
      </c>
      <c r="C804" s="8" t="s">
        <v>373</v>
      </c>
      <c r="D804" s="8" t="s">
        <v>371</v>
      </c>
      <c r="E804" s="8">
        <v>2070.0</v>
      </c>
      <c r="F804" s="8" t="s">
        <v>41</v>
      </c>
      <c r="G804" s="8" t="s">
        <v>42</v>
      </c>
      <c r="H804" s="8" t="s">
        <v>367</v>
      </c>
      <c r="I804" s="8">
        <v>1.0</v>
      </c>
      <c r="J804" s="8">
        <v>2.0</v>
      </c>
      <c r="K804" s="8">
        <v>18.0</v>
      </c>
      <c r="L804" s="8">
        <v>0.111111111</v>
      </c>
      <c r="M804" s="8">
        <v>18.0</v>
      </c>
      <c r="N804" s="8">
        <v>-2.079441542</v>
      </c>
      <c r="O804" s="8">
        <v>3.5</v>
      </c>
      <c r="P804" s="8" t="s">
        <v>368</v>
      </c>
    </row>
    <row r="805">
      <c r="A805" s="8" t="s">
        <v>470</v>
      </c>
      <c r="B805" s="8">
        <v>2010.0</v>
      </c>
      <c r="C805" s="8" t="s">
        <v>373</v>
      </c>
      <c r="D805" s="8" t="s">
        <v>371</v>
      </c>
      <c r="E805" s="8">
        <v>2070.0</v>
      </c>
      <c r="F805" s="8" t="s">
        <v>41</v>
      </c>
      <c r="G805" s="8" t="s">
        <v>42</v>
      </c>
      <c r="H805" s="8" t="s">
        <v>367</v>
      </c>
      <c r="I805" s="8">
        <v>0.95</v>
      </c>
      <c r="J805" s="8">
        <v>0.0</v>
      </c>
      <c r="K805" s="8">
        <v>18.0</v>
      </c>
      <c r="L805" s="8">
        <v>0.0</v>
      </c>
      <c r="M805" s="8">
        <v>18.0</v>
      </c>
      <c r="N805" s="8">
        <v>-3.610917913</v>
      </c>
      <c r="O805" s="8">
        <v>2.1</v>
      </c>
      <c r="P805" s="8" t="s">
        <v>368</v>
      </c>
    </row>
    <row r="806">
      <c r="A806" s="8" t="s">
        <v>470</v>
      </c>
      <c r="B806" s="8">
        <v>2010.0</v>
      </c>
      <c r="C806" s="8" t="s">
        <v>373</v>
      </c>
      <c r="D806" s="8" t="s">
        <v>371</v>
      </c>
      <c r="E806" s="8">
        <v>2070.0</v>
      </c>
      <c r="F806" s="8" t="s">
        <v>41</v>
      </c>
      <c r="G806" s="8" t="s">
        <v>42</v>
      </c>
      <c r="H806" s="8" t="s">
        <v>367</v>
      </c>
      <c r="I806" s="8">
        <v>0.95</v>
      </c>
      <c r="J806" s="8">
        <v>1.0</v>
      </c>
      <c r="K806" s="8">
        <v>18.0</v>
      </c>
      <c r="L806" s="8">
        <v>0.055555556</v>
      </c>
      <c r="M806" s="8">
        <v>18.0</v>
      </c>
      <c r="N806" s="8">
        <v>-2.833213344</v>
      </c>
      <c r="O806" s="8">
        <v>2.73</v>
      </c>
      <c r="P806" s="8" t="s">
        <v>368</v>
      </c>
    </row>
    <row r="807">
      <c r="A807" s="8" t="s">
        <v>470</v>
      </c>
      <c r="B807" s="8">
        <v>2010.0</v>
      </c>
      <c r="C807" s="8" t="s">
        <v>373</v>
      </c>
      <c r="D807" s="8" t="s">
        <v>371</v>
      </c>
      <c r="E807" s="8">
        <v>2070.0</v>
      </c>
      <c r="F807" s="8" t="s">
        <v>41</v>
      </c>
      <c r="G807" s="8" t="s">
        <v>42</v>
      </c>
      <c r="H807" s="8" t="s">
        <v>367</v>
      </c>
      <c r="I807" s="8">
        <v>0.95</v>
      </c>
      <c r="J807" s="8">
        <v>10.0</v>
      </c>
      <c r="K807" s="8">
        <v>18.0</v>
      </c>
      <c r="L807" s="8">
        <v>0.555555556</v>
      </c>
      <c r="M807" s="8">
        <v>18.0</v>
      </c>
      <c r="N807" s="8">
        <v>0.223143551</v>
      </c>
      <c r="O807" s="8">
        <v>3.5</v>
      </c>
      <c r="P807" s="8" t="s">
        <v>368</v>
      </c>
    </row>
    <row r="808">
      <c r="A808" s="8" t="s">
        <v>470</v>
      </c>
      <c r="B808" s="8">
        <v>2010.0</v>
      </c>
      <c r="C808" s="8" t="s">
        <v>373</v>
      </c>
      <c r="D808" s="8" t="s">
        <v>371</v>
      </c>
      <c r="E808" s="8">
        <v>2070.0</v>
      </c>
      <c r="F808" s="8" t="s">
        <v>41</v>
      </c>
      <c r="G808" s="8" t="s">
        <v>42</v>
      </c>
      <c r="H808" s="8" t="s">
        <v>367</v>
      </c>
      <c r="I808" s="8">
        <v>0.8</v>
      </c>
      <c r="J808" s="8">
        <v>0.0</v>
      </c>
      <c r="K808" s="8">
        <v>18.0</v>
      </c>
      <c r="L808" s="8">
        <v>0.0</v>
      </c>
      <c r="M808" s="8">
        <v>18.0</v>
      </c>
      <c r="N808" s="8">
        <v>-3.610917913</v>
      </c>
      <c r="O808" s="8">
        <v>2.1</v>
      </c>
      <c r="P808" s="8" t="s">
        <v>368</v>
      </c>
    </row>
    <row r="809">
      <c r="A809" s="8" t="s">
        <v>470</v>
      </c>
      <c r="B809" s="8">
        <v>2010.0</v>
      </c>
      <c r="C809" s="8" t="s">
        <v>373</v>
      </c>
      <c r="D809" s="8" t="s">
        <v>371</v>
      </c>
      <c r="E809" s="8">
        <v>2070.0</v>
      </c>
      <c r="F809" s="8" t="s">
        <v>41</v>
      </c>
      <c r="G809" s="8" t="s">
        <v>42</v>
      </c>
      <c r="H809" s="8" t="s">
        <v>367</v>
      </c>
      <c r="I809" s="8">
        <v>0.8</v>
      </c>
      <c r="J809" s="8">
        <v>5.0</v>
      </c>
      <c r="K809" s="8">
        <v>18.0</v>
      </c>
      <c r="L809" s="8">
        <v>0.277777778</v>
      </c>
      <c r="M809" s="8">
        <v>18.0</v>
      </c>
      <c r="N809" s="8">
        <v>-0.955511445</v>
      </c>
      <c r="O809" s="8">
        <v>2.73</v>
      </c>
      <c r="P809" s="8" t="s">
        <v>368</v>
      </c>
    </row>
    <row r="810">
      <c r="A810" s="8" t="s">
        <v>470</v>
      </c>
      <c r="B810" s="8">
        <v>2010.0</v>
      </c>
      <c r="C810" s="8" t="s">
        <v>373</v>
      </c>
      <c r="D810" s="8" t="s">
        <v>371</v>
      </c>
      <c r="E810" s="8">
        <v>2070.0</v>
      </c>
      <c r="F810" s="8" t="s">
        <v>41</v>
      </c>
      <c r="G810" s="8" t="s">
        <v>42</v>
      </c>
      <c r="H810" s="8" t="s">
        <v>367</v>
      </c>
      <c r="I810" s="8">
        <v>0.8</v>
      </c>
      <c r="J810" s="8">
        <v>11.0</v>
      </c>
      <c r="K810" s="8">
        <v>18.0</v>
      </c>
      <c r="L810" s="8">
        <v>0.611111111</v>
      </c>
      <c r="M810" s="8">
        <v>18.0</v>
      </c>
      <c r="N810" s="8">
        <v>0.451985124</v>
      </c>
      <c r="O810" s="8">
        <v>3.5</v>
      </c>
      <c r="P810" s="8" t="s">
        <v>368</v>
      </c>
    </row>
    <row r="811">
      <c r="A811" s="8" t="s">
        <v>471</v>
      </c>
      <c r="B811" s="8">
        <v>2010.0</v>
      </c>
      <c r="C811" s="8" t="s">
        <v>32</v>
      </c>
      <c r="D811" s="8" t="s">
        <v>370</v>
      </c>
      <c r="E811" s="8">
        <v>2065.0</v>
      </c>
      <c r="F811" s="8" t="s">
        <v>34</v>
      </c>
      <c r="G811" s="8" t="s">
        <v>42</v>
      </c>
      <c r="H811" s="8" t="s">
        <v>374</v>
      </c>
      <c r="I811" s="8">
        <v>1.0</v>
      </c>
      <c r="J811" s="8">
        <v>0.0</v>
      </c>
      <c r="K811" s="8">
        <v>100.0</v>
      </c>
      <c r="L811" s="8">
        <v>0.0</v>
      </c>
      <c r="M811" s="8">
        <v>100.0</v>
      </c>
      <c r="N811" s="8">
        <v>-5.303304908</v>
      </c>
      <c r="O811" s="8">
        <v>2.88</v>
      </c>
      <c r="P811" s="8" t="s">
        <v>368</v>
      </c>
    </row>
    <row r="812">
      <c r="A812" s="8" t="s">
        <v>471</v>
      </c>
      <c r="B812" s="8">
        <v>2010.0</v>
      </c>
      <c r="C812" s="8" t="s">
        <v>32</v>
      </c>
      <c r="D812" s="8" t="s">
        <v>370</v>
      </c>
      <c r="E812" s="8">
        <v>2065.0</v>
      </c>
      <c r="F812" s="8" t="s">
        <v>34</v>
      </c>
      <c r="G812" s="8" t="s">
        <v>42</v>
      </c>
      <c r="H812" s="8" t="s">
        <v>374</v>
      </c>
      <c r="I812" s="8">
        <v>0.95</v>
      </c>
      <c r="J812" s="8">
        <v>0.0</v>
      </c>
      <c r="K812" s="8">
        <v>100.0</v>
      </c>
      <c r="L812" s="8">
        <v>0.0</v>
      </c>
      <c r="M812" s="8">
        <v>100.0</v>
      </c>
      <c r="N812" s="8">
        <v>-5.303304908</v>
      </c>
      <c r="O812" s="8">
        <v>2.88</v>
      </c>
      <c r="P812" s="8" t="s">
        <v>368</v>
      </c>
    </row>
    <row r="813">
      <c r="A813" s="8" t="s">
        <v>471</v>
      </c>
      <c r="B813" s="8">
        <v>2010.0</v>
      </c>
      <c r="C813" s="8" t="s">
        <v>32</v>
      </c>
      <c r="D813" s="8" t="s">
        <v>370</v>
      </c>
      <c r="E813" s="8">
        <v>2065.0</v>
      </c>
      <c r="F813" s="8" t="s">
        <v>34</v>
      </c>
      <c r="G813" s="8" t="s">
        <v>42</v>
      </c>
      <c r="H813" s="8" t="s">
        <v>374</v>
      </c>
      <c r="I813" s="8">
        <v>0.8</v>
      </c>
      <c r="J813" s="8">
        <v>3.0</v>
      </c>
      <c r="K813" s="8">
        <v>100.0</v>
      </c>
      <c r="L813" s="8">
        <v>0.03</v>
      </c>
      <c r="M813" s="8">
        <v>100.0</v>
      </c>
      <c r="N813" s="8">
        <v>-3.47609869</v>
      </c>
      <c r="O813" s="8">
        <v>2.88</v>
      </c>
      <c r="P813" s="8" t="s">
        <v>368</v>
      </c>
    </row>
    <row r="814">
      <c r="A814" s="8" t="s">
        <v>471</v>
      </c>
      <c r="B814" s="8">
        <v>2010.0</v>
      </c>
      <c r="C814" s="8" t="s">
        <v>32</v>
      </c>
      <c r="D814" s="8" t="s">
        <v>370</v>
      </c>
      <c r="E814" s="8">
        <v>2065.0</v>
      </c>
      <c r="F814" s="8" t="s">
        <v>34</v>
      </c>
      <c r="G814" s="8" t="s">
        <v>42</v>
      </c>
      <c r="H814" s="8" t="s">
        <v>367</v>
      </c>
      <c r="I814" s="8">
        <v>1.0</v>
      </c>
      <c r="J814" s="8">
        <v>0.0</v>
      </c>
      <c r="K814" s="8">
        <v>100.0</v>
      </c>
      <c r="L814" s="8">
        <v>0.0</v>
      </c>
      <c r="M814" s="8">
        <v>100.0</v>
      </c>
      <c r="N814" s="8">
        <v>-5.303304908</v>
      </c>
      <c r="O814" s="8">
        <v>2.88</v>
      </c>
      <c r="P814" s="8" t="s">
        <v>368</v>
      </c>
    </row>
    <row r="815">
      <c r="A815" s="8" t="s">
        <v>471</v>
      </c>
      <c r="B815" s="8">
        <v>2010.0</v>
      </c>
      <c r="C815" s="8" t="s">
        <v>32</v>
      </c>
      <c r="D815" s="8" t="s">
        <v>370</v>
      </c>
      <c r="E815" s="8">
        <v>2065.0</v>
      </c>
      <c r="F815" s="8" t="s">
        <v>34</v>
      </c>
      <c r="G815" s="8" t="s">
        <v>42</v>
      </c>
      <c r="H815" s="8" t="s">
        <v>367</v>
      </c>
      <c r="I815" s="8">
        <v>0.95</v>
      </c>
      <c r="J815" s="8">
        <v>1.0</v>
      </c>
      <c r="K815" s="8">
        <v>100.0</v>
      </c>
      <c r="L815" s="8">
        <v>0.01</v>
      </c>
      <c r="M815" s="8">
        <v>100.0</v>
      </c>
      <c r="N815" s="8">
        <v>-4.59511985</v>
      </c>
      <c r="O815" s="8">
        <v>2.88</v>
      </c>
      <c r="P815" s="8" t="s">
        <v>368</v>
      </c>
    </row>
    <row r="816">
      <c r="A816" s="8" t="s">
        <v>471</v>
      </c>
      <c r="B816" s="8">
        <v>2010.0</v>
      </c>
      <c r="C816" s="8" t="s">
        <v>32</v>
      </c>
      <c r="D816" s="8" t="s">
        <v>370</v>
      </c>
      <c r="E816" s="8">
        <v>2065.0</v>
      </c>
      <c r="F816" s="8" t="s">
        <v>34</v>
      </c>
      <c r="G816" s="8" t="s">
        <v>42</v>
      </c>
      <c r="H816" s="8" t="s">
        <v>367</v>
      </c>
      <c r="I816" s="8">
        <v>0.8</v>
      </c>
      <c r="J816" s="8">
        <v>3.0</v>
      </c>
      <c r="K816" s="8">
        <v>100.0</v>
      </c>
      <c r="L816" s="8">
        <v>0.03</v>
      </c>
      <c r="M816" s="8">
        <v>100.0</v>
      </c>
      <c r="N816" s="8">
        <v>-3.47609869</v>
      </c>
      <c r="O816" s="8">
        <v>2.88</v>
      </c>
      <c r="P816" s="8" t="s">
        <v>368</v>
      </c>
    </row>
    <row r="817">
      <c r="A817" s="8" t="s">
        <v>472</v>
      </c>
      <c r="B817" s="8">
        <v>2010.0</v>
      </c>
      <c r="C817" s="8" t="s">
        <v>46</v>
      </c>
      <c r="D817" s="8" t="s">
        <v>375</v>
      </c>
      <c r="E817" s="8">
        <v>2085.0</v>
      </c>
      <c r="F817" s="8" t="s">
        <v>34</v>
      </c>
      <c r="G817" s="8" t="s">
        <v>42</v>
      </c>
      <c r="H817" s="8" t="s">
        <v>367</v>
      </c>
      <c r="I817" s="8">
        <v>1.0</v>
      </c>
      <c r="J817" s="8">
        <v>5.0</v>
      </c>
      <c r="K817" s="8">
        <v>63.0</v>
      </c>
      <c r="L817" s="8">
        <v>0.079365079</v>
      </c>
      <c r="M817" s="8">
        <v>63.0</v>
      </c>
      <c r="N817" s="8">
        <v>-2.451005098</v>
      </c>
      <c r="O817" s="8">
        <v>3.57</v>
      </c>
      <c r="P817" s="8" t="s">
        <v>368</v>
      </c>
    </row>
    <row r="818">
      <c r="A818" s="8" t="s">
        <v>472</v>
      </c>
      <c r="B818" s="8">
        <v>2010.0</v>
      </c>
      <c r="C818" s="8" t="s">
        <v>46</v>
      </c>
      <c r="D818" s="8" t="s">
        <v>375</v>
      </c>
      <c r="E818" s="8">
        <v>2085.0</v>
      </c>
      <c r="F818" s="8" t="s">
        <v>34</v>
      </c>
      <c r="G818" s="8" t="s">
        <v>42</v>
      </c>
      <c r="H818" s="8" t="s">
        <v>367</v>
      </c>
      <c r="I818" s="8">
        <v>0.95</v>
      </c>
      <c r="J818" s="8">
        <v>7.0</v>
      </c>
      <c r="K818" s="8">
        <v>63.0</v>
      </c>
      <c r="L818" s="8">
        <v>0.111111111</v>
      </c>
      <c r="M818" s="8">
        <v>63.0</v>
      </c>
      <c r="N818" s="8">
        <v>-2.079441542</v>
      </c>
      <c r="O818" s="8">
        <v>3.57</v>
      </c>
      <c r="P818" s="8" t="s">
        <v>368</v>
      </c>
    </row>
    <row r="819">
      <c r="A819" s="8" t="s">
        <v>472</v>
      </c>
      <c r="B819" s="8">
        <v>2010.0</v>
      </c>
      <c r="C819" s="8" t="s">
        <v>46</v>
      </c>
      <c r="D819" s="8" t="s">
        <v>375</v>
      </c>
      <c r="E819" s="8">
        <v>2085.0</v>
      </c>
      <c r="F819" s="8" t="s">
        <v>34</v>
      </c>
      <c r="G819" s="8" t="s">
        <v>42</v>
      </c>
      <c r="H819" s="8" t="s">
        <v>367</v>
      </c>
      <c r="I819" s="8">
        <v>0.8</v>
      </c>
      <c r="J819" s="8">
        <v>12.0</v>
      </c>
      <c r="K819" s="8">
        <v>63.0</v>
      </c>
      <c r="L819" s="8">
        <v>0.19047619</v>
      </c>
      <c r="M819" s="8">
        <v>63.0</v>
      </c>
      <c r="N819" s="8">
        <v>-1.446918983</v>
      </c>
      <c r="O819" s="8">
        <v>3.57</v>
      </c>
      <c r="P819" s="8" t="s">
        <v>368</v>
      </c>
    </row>
    <row r="820">
      <c r="A820" s="8" t="s">
        <v>473</v>
      </c>
      <c r="B820" s="8">
        <v>2010.0</v>
      </c>
      <c r="C820" s="8" t="s">
        <v>420</v>
      </c>
      <c r="D820" s="8" t="s">
        <v>381</v>
      </c>
      <c r="E820" s="8">
        <v>2050.0</v>
      </c>
      <c r="F820" s="8" t="s">
        <v>41</v>
      </c>
      <c r="G820" s="8" t="s">
        <v>42</v>
      </c>
      <c r="H820" s="8" t="s">
        <v>374</v>
      </c>
      <c r="I820" s="8">
        <v>1.0</v>
      </c>
      <c r="J820" s="8">
        <v>6.0</v>
      </c>
      <c r="K820" s="8">
        <v>75.0</v>
      </c>
      <c r="L820" s="8">
        <v>0.08</v>
      </c>
      <c r="M820" s="8">
        <v>75.0</v>
      </c>
      <c r="N820" s="8">
        <v>-2.442347035</v>
      </c>
      <c r="O820" s="8">
        <v>2.19</v>
      </c>
      <c r="P820" s="8" t="s">
        <v>368</v>
      </c>
    </row>
    <row r="821">
      <c r="A821" s="8" t="s">
        <v>473</v>
      </c>
      <c r="B821" s="8">
        <v>2010.0</v>
      </c>
      <c r="C821" s="8" t="s">
        <v>420</v>
      </c>
      <c r="D821" s="8" t="s">
        <v>381</v>
      </c>
      <c r="E821" s="8">
        <v>2050.0</v>
      </c>
      <c r="F821" s="8" t="s">
        <v>41</v>
      </c>
      <c r="G821" s="8" t="s">
        <v>42</v>
      </c>
      <c r="H821" s="8" t="s">
        <v>374</v>
      </c>
      <c r="I821" s="8">
        <v>0.8</v>
      </c>
      <c r="J821" s="8">
        <v>13.0</v>
      </c>
      <c r="K821" s="8">
        <v>75.0</v>
      </c>
      <c r="L821" s="8">
        <v>0.173333333</v>
      </c>
      <c r="M821" s="8">
        <v>75.0</v>
      </c>
      <c r="N821" s="8">
        <v>-1.562185028</v>
      </c>
      <c r="O821" s="8">
        <v>2.19</v>
      </c>
      <c r="P821" s="8" t="s">
        <v>368</v>
      </c>
    </row>
    <row r="822">
      <c r="A822" s="8" t="s">
        <v>473</v>
      </c>
      <c r="B822" s="8">
        <v>2010.0</v>
      </c>
      <c r="C822" s="8" t="s">
        <v>420</v>
      </c>
      <c r="D822" s="8" t="s">
        <v>381</v>
      </c>
      <c r="E822" s="8">
        <v>2085.0</v>
      </c>
      <c r="F822" s="8" t="s">
        <v>41</v>
      </c>
      <c r="G822" s="8" t="s">
        <v>42</v>
      </c>
      <c r="H822" s="8" t="s">
        <v>374</v>
      </c>
      <c r="I822" s="8">
        <v>1.0</v>
      </c>
      <c r="J822" s="8">
        <v>14.0</v>
      </c>
      <c r="K822" s="8">
        <v>75.0</v>
      </c>
      <c r="L822" s="8">
        <v>0.186666667</v>
      </c>
      <c r="M822" s="8">
        <v>75.0</v>
      </c>
      <c r="N822" s="8">
        <v>-1.471816535</v>
      </c>
      <c r="O822" s="8">
        <v>3.57</v>
      </c>
      <c r="P822" s="8" t="s">
        <v>368</v>
      </c>
    </row>
    <row r="823">
      <c r="A823" s="8" t="s">
        <v>473</v>
      </c>
      <c r="B823" s="8">
        <v>2010.0</v>
      </c>
      <c r="C823" s="8" t="s">
        <v>420</v>
      </c>
      <c r="D823" s="8" t="s">
        <v>381</v>
      </c>
      <c r="E823" s="8">
        <v>2085.0</v>
      </c>
      <c r="F823" s="8" t="s">
        <v>41</v>
      </c>
      <c r="G823" s="8" t="s">
        <v>42</v>
      </c>
      <c r="H823" s="8" t="s">
        <v>374</v>
      </c>
      <c r="I823" s="8">
        <v>0.8</v>
      </c>
      <c r="J823" s="8">
        <v>26.0</v>
      </c>
      <c r="K823" s="8">
        <v>75.0</v>
      </c>
      <c r="L823" s="8">
        <v>0.346666667</v>
      </c>
      <c r="M823" s="8">
        <v>75.0</v>
      </c>
      <c r="N823" s="8">
        <v>-0.63372376</v>
      </c>
      <c r="O823" s="8">
        <v>3.57</v>
      </c>
      <c r="P823" s="8" t="s">
        <v>368</v>
      </c>
    </row>
    <row r="824">
      <c r="A824" s="8" t="s">
        <v>474</v>
      </c>
      <c r="B824" s="8">
        <v>2011.0</v>
      </c>
      <c r="C824" s="8" t="s">
        <v>77</v>
      </c>
      <c r="D824" s="8" t="s">
        <v>375</v>
      </c>
      <c r="E824" s="8">
        <v>2100.0</v>
      </c>
      <c r="F824" s="8" t="s">
        <v>34</v>
      </c>
      <c r="G824" s="8" t="s">
        <v>42</v>
      </c>
      <c r="H824" s="8" t="s">
        <v>416</v>
      </c>
      <c r="I824" s="8">
        <v>1.0</v>
      </c>
      <c r="J824" s="8">
        <v>438.0</v>
      </c>
      <c r="K824" s="8">
        <v>1258.0</v>
      </c>
      <c r="L824" s="8">
        <v>0.348171701</v>
      </c>
      <c r="M824" s="8">
        <v>1258.0</v>
      </c>
      <c r="N824" s="8">
        <v>-0.62708543</v>
      </c>
      <c r="O824" s="8">
        <v>4.06</v>
      </c>
      <c r="P824" s="8" t="s">
        <v>368</v>
      </c>
    </row>
    <row r="825">
      <c r="A825" s="8" t="s">
        <v>474</v>
      </c>
      <c r="B825" s="8">
        <v>2011.0</v>
      </c>
      <c r="C825" s="8" t="s">
        <v>77</v>
      </c>
      <c r="D825" s="8" t="s">
        <v>370</v>
      </c>
      <c r="E825" s="8">
        <v>2100.0</v>
      </c>
      <c r="F825" s="8" t="s">
        <v>34</v>
      </c>
      <c r="G825" s="8" t="s">
        <v>42</v>
      </c>
      <c r="H825" s="8" t="s">
        <v>416</v>
      </c>
      <c r="I825" s="8">
        <v>1.0</v>
      </c>
      <c r="J825" s="8">
        <v>127.0</v>
      </c>
      <c r="K825" s="8">
        <v>476.0</v>
      </c>
      <c r="L825" s="8">
        <v>0.266806723</v>
      </c>
      <c r="M825" s="8">
        <v>476.0</v>
      </c>
      <c r="N825" s="8">
        <v>-1.010884836</v>
      </c>
      <c r="O825" s="8">
        <v>4.06</v>
      </c>
      <c r="P825" s="8" t="s">
        <v>368</v>
      </c>
    </row>
    <row r="826">
      <c r="A826" s="8" t="s">
        <v>474</v>
      </c>
      <c r="B826" s="8">
        <v>2011.0</v>
      </c>
      <c r="C826" s="8" t="s">
        <v>77</v>
      </c>
      <c r="D826" s="8" t="s">
        <v>377</v>
      </c>
      <c r="E826" s="8">
        <v>2100.0</v>
      </c>
      <c r="F826" s="8" t="s">
        <v>34</v>
      </c>
      <c r="G826" s="8" t="s">
        <v>42</v>
      </c>
      <c r="H826" s="8" t="s">
        <v>416</v>
      </c>
      <c r="I826" s="8">
        <v>1.0</v>
      </c>
      <c r="J826" s="8">
        <v>60.0</v>
      </c>
      <c r="K826" s="8">
        <v>205.0</v>
      </c>
      <c r="L826" s="8">
        <v>0.292682927</v>
      </c>
      <c r="M826" s="8">
        <v>205.0</v>
      </c>
      <c r="N826" s="8">
        <v>-0.88238918</v>
      </c>
      <c r="O826" s="8">
        <v>4.06</v>
      </c>
      <c r="P826" s="8" t="s">
        <v>368</v>
      </c>
    </row>
    <row r="827">
      <c r="A827" s="8" t="s">
        <v>474</v>
      </c>
      <c r="B827" s="8">
        <v>2011.0</v>
      </c>
      <c r="C827" s="8" t="s">
        <v>77</v>
      </c>
      <c r="D827" s="8" t="s">
        <v>376</v>
      </c>
      <c r="E827" s="8">
        <v>2100.0</v>
      </c>
      <c r="F827" s="8" t="s">
        <v>34</v>
      </c>
      <c r="G827" s="8" t="s">
        <v>42</v>
      </c>
      <c r="H827" s="8" t="s">
        <v>416</v>
      </c>
      <c r="I827" s="8">
        <v>1.0</v>
      </c>
      <c r="J827" s="8">
        <v>175.0</v>
      </c>
      <c r="K827" s="8">
        <v>537.0</v>
      </c>
      <c r="L827" s="8">
        <v>0.325884544</v>
      </c>
      <c r="M827" s="8">
        <v>537.0</v>
      </c>
      <c r="N827" s="8">
        <v>-0.726858238</v>
      </c>
      <c r="O827" s="8">
        <v>4.06</v>
      </c>
      <c r="P827" s="8" t="s">
        <v>368</v>
      </c>
    </row>
    <row r="828">
      <c r="A828" s="8" t="s">
        <v>474</v>
      </c>
      <c r="B828" s="8">
        <v>2011.0</v>
      </c>
      <c r="C828" s="8" t="s">
        <v>77</v>
      </c>
      <c r="D828" s="8" t="s">
        <v>366</v>
      </c>
      <c r="E828" s="8">
        <v>2100.0</v>
      </c>
      <c r="F828" s="8" t="s">
        <v>34</v>
      </c>
      <c r="G828" s="8" t="s">
        <v>42</v>
      </c>
      <c r="H828" s="8" t="s">
        <v>416</v>
      </c>
      <c r="I828" s="8">
        <v>1.0</v>
      </c>
      <c r="J828" s="8">
        <v>49.0</v>
      </c>
      <c r="K828" s="8">
        <v>187.0</v>
      </c>
      <c r="L828" s="8">
        <v>0.262032086</v>
      </c>
      <c r="M828" s="8">
        <v>187.0</v>
      </c>
      <c r="N828" s="8">
        <v>-1.035433387</v>
      </c>
      <c r="O828" s="8">
        <v>4.06</v>
      </c>
      <c r="P828" s="8" t="s">
        <v>368</v>
      </c>
    </row>
    <row r="829">
      <c r="A829" s="8" t="s">
        <v>474</v>
      </c>
      <c r="B829" s="8">
        <v>2011.0</v>
      </c>
      <c r="C829" s="8" t="s">
        <v>77</v>
      </c>
      <c r="D829" s="8" t="s">
        <v>375</v>
      </c>
      <c r="E829" s="8">
        <v>2100.0</v>
      </c>
      <c r="F829" s="8" t="s">
        <v>34</v>
      </c>
      <c r="G829" s="8" t="s">
        <v>42</v>
      </c>
      <c r="H829" s="8" t="s">
        <v>367</v>
      </c>
      <c r="I829" s="8">
        <v>1.0</v>
      </c>
      <c r="J829" s="8">
        <v>664.0</v>
      </c>
      <c r="K829" s="8">
        <v>1258.0</v>
      </c>
      <c r="L829" s="8">
        <v>0.52782194</v>
      </c>
      <c r="M829" s="8">
        <v>1258.0</v>
      </c>
      <c r="N829" s="8">
        <v>0.11140283</v>
      </c>
      <c r="O829" s="8">
        <v>4.06</v>
      </c>
      <c r="P829" s="8" t="s">
        <v>368</v>
      </c>
    </row>
    <row r="830">
      <c r="A830" s="8" t="s">
        <v>474</v>
      </c>
      <c r="B830" s="8">
        <v>2011.0</v>
      </c>
      <c r="C830" s="8" t="s">
        <v>77</v>
      </c>
      <c r="D830" s="8" t="s">
        <v>370</v>
      </c>
      <c r="E830" s="8">
        <v>2100.0</v>
      </c>
      <c r="F830" s="8" t="s">
        <v>34</v>
      </c>
      <c r="G830" s="8" t="s">
        <v>42</v>
      </c>
      <c r="H830" s="8" t="s">
        <v>367</v>
      </c>
      <c r="I830" s="8">
        <v>1.0</v>
      </c>
      <c r="J830" s="8">
        <v>237.0</v>
      </c>
      <c r="K830" s="8">
        <v>476.0</v>
      </c>
      <c r="L830" s="8">
        <v>0.49789916</v>
      </c>
      <c r="M830" s="8">
        <v>476.0</v>
      </c>
      <c r="N830" s="8">
        <v>-0.008403411</v>
      </c>
      <c r="O830" s="8">
        <v>4.06</v>
      </c>
      <c r="P830" s="8" t="s">
        <v>368</v>
      </c>
    </row>
    <row r="831">
      <c r="A831" s="8" t="s">
        <v>474</v>
      </c>
      <c r="B831" s="8">
        <v>2011.0</v>
      </c>
      <c r="C831" s="8" t="s">
        <v>77</v>
      </c>
      <c r="D831" s="8" t="s">
        <v>377</v>
      </c>
      <c r="E831" s="8">
        <v>2100.0</v>
      </c>
      <c r="F831" s="8" t="s">
        <v>34</v>
      </c>
      <c r="G831" s="8" t="s">
        <v>42</v>
      </c>
      <c r="H831" s="8" t="s">
        <v>367</v>
      </c>
      <c r="I831" s="8">
        <v>1.0</v>
      </c>
      <c r="J831" s="8">
        <v>104.0</v>
      </c>
      <c r="K831" s="8">
        <v>205.0</v>
      </c>
      <c r="L831" s="8">
        <v>0.507317073</v>
      </c>
      <c r="M831" s="8">
        <v>205.0</v>
      </c>
      <c r="N831" s="8">
        <v>0.029270382</v>
      </c>
      <c r="O831" s="8">
        <v>4.06</v>
      </c>
      <c r="P831" s="8" t="s">
        <v>368</v>
      </c>
    </row>
    <row r="832">
      <c r="A832" s="8" t="s">
        <v>474</v>
      </c>
      <c r="B832" s="8">
        <v>2011.0</v>
      </c>
      <c r="C832" s="8" t="s">
        <v>77</v>
      </c>
      <c r="D832" s="8" t="s">
        <v>376</v>
      </c>
      <c r="E832" s="8">
        <v>2100.0</v>
      </c>
      <c r="F832" s="8" t="s">
        <v>34</v>
      </c>
      <c r="G832" s="8" t="s">
        <v>42</v>
      </c>
      <c r="H832" s="8" t="s">
        <v>367</v>
      </c>
      <c r="I832" s="8">
        <v>1.0</v>
      </c>
      <c r="J832" s="8">
        <v>279.0</v>
      </c>
      <c r="K832" s="8">
        <v>537.0</v>
      </c>
      <c r="L832" s="8">
        <v>0.519553073</v>
      </c>
      <c r="M832" s="8">
        <v>537.0</v>
      </c>
      <c r="N832" s="8">
        <v>0.078252197</v>
      </c>
      <c r="O832" s="8">
        <v>4.06</v>
      </c>
      <c r="P832" s="8" t="s">
        <v>368</v>
      </c>
    </row>
    <row r="833">
      <c r="A833" s="8" t="s">
        <v>474</v>
      </c>
      <c r="B833" s="8">
        <v>2011.0</v>
      </c>
      <c r="C833" s="8" t="s">
        <v>77</v>
      </c>
      <c r="D833" s="8" t="s">
        <v>366</v>
      </c>
      <c r="E833" s="8">
        <v>2100.0</v>
      </c>
      <c r="F833" s="8" t="s">
        <v>34</v>
      </c>
      <c r="G833" s="8" t="s">
        <v>42</v>
      </c>
      <c r="H833" s="8" t="s">
        <v>367</v>
      </c>
      <c r="I833" s="8">
        <v>1.0</v>
      </c>
      <c r="J833" s="8">
        <v>83.0</v>
      </c>
      <c r="K833" s="8">
        <v>187.0</v>
      </c>
      <c r="L833" s="8">
        <v>0.443850267</v>
      </c>
      <c r="M833" s="8">
        <v>187.0</v>
      </c>
      <c r="N833" s="8">
        <v>-0.225550291</v>
      </c>
      <c r="O833" s="8">
        <v>4.06</v>
      </c>
      <c r="P833" s="8" t="s">
        <v>368</v>
      </c>
    </row>
    <row r="834">
      <c r="A834" s="8" t="s">
        <v>474</v>
      </c>
      <c r="B834" s="8">
        <v>2011.0</v>
      </c>
      <c r="C834" s="8" t="s">
        <v>77</v>
      </c>
      <c r="D834" s="8" t="s">
        <v>375</v>
      </c>
      <c r="E834" s="8">
        <v>2100.0</v>
      </c>
      <c r="F834" s="8" t="s">
        <v>34</v>
      </c>
      <c r="G834" s="8" t="s">
        <v>42</v>
      </c>
      <c r="H834" s="8" t="s">
        <v>374</v>
      </c>
      <c r="I834" s="8">
        <v>1.0</v>
      </c>
      <c r="J834" s="8">
        <v>34.0</v>
      </c>
      <c r="K834" s="8">
        <v>1258.0</v>
      </c>
      <c r="L834" s="8">
        <v>0.027027027</v>
      </c>
      <c r="M834" s="8">
        <v>1258.0</v>
      </c>
      <c r="N834" s="8">
        <v>-3.583518938</v>
      </c>
      <c r="O834" s="8">
        <v>4.06</v>
      </c>
      <c r="P834" s="8" t="s">
        <v>368</v>
      </c>
    </row>
    <row r="835">
      <c r="A835" s="8" t="s">
        <v>474</v>
      </c>
      <c r="B835" s="8">
        <v>2011.0</v>
      </c>
      <c r="C835" s="8" t="s">
        <v>77</v>
      </c>
      <c r="D835" s="8" t="s">
        <v>370</v>
      </c>
      <c r="E835" s="8">
        <v>2100.0</v>
      </c>
      <c r="F835" s="8" t="s">
        <v>34</v>
      </c>
      <c r="G835" s="8" t="s">
        <v>42</v>
      </c>
      <c r="H835" s="8" t="s">
        <v>374</v>
      </c>
      <c r="I835" s="8">
        <v>1.0</v>
      </c>
      <c r="J835" s="8">
        <v>20.0</v>
      </c>
      <c r="K835" s="8">
        <v>476.0</v>
      </c>
      <c r="L835" s="8">
        <v>0.042016807</v>
      </c>
      <c r="M835" s="8">
        <v>476.0</v>
      </c>
      <c r="N835" s="8">
        <v>-3.126760536</v>
      </c>
      <c r="O835" s="8">
        <v>4.06</v>
      </c>
      <c r="P835" s="8" t="s">
        <v>368</v>
      </c>
    </row>
    <row r="836">
      <c r="A836" s="8" t="s">
        <v>474</v>
      </c>
      <c r="B836" s="8">
        <v>2011.0</v>
      </c>
      <c r="C836" s="8" t="s">
        <v>77</v>
      </c>
      <c r="D836" s="8" t="s">
        <v>377</v>
      </c>
      <c r="E836" s="8">
        <v>2100.0</v>
      </c>
      <c r="F836" s="8" t="s">
        <v>34</v>
      </c>
      <c r="G836" s="8" t="s">
        <v>42</v>
      </c>
      <c r="H836" s="8" t="s">
        <v>374</v>
      </c>
      <c r="I836" s="8">
        <v>1.0</v>
      </c>
      <c r="J836" s="8">
        <v>9.0</v>
      </c>
      <c r="K836" s="8">
        <v>205.0</v>
      </c>
      <c r="L836" s="8">
        <v>0.043902439</v>
      </c>
      <c r="M836" s="8">
        <v>205.0</v>
      </c>
      <c r="N836" s="8">
        <v>-3.080890082</v>
      </c>
      <c r="O836" s="8">
        <v>4.06</v>
      </c>
      <c r="P836" s="8" t="s">
        <v>368</v>
      </c>
    </row>
    <row r="837">
      <c r="A837" s="8" t="s">
        <v>474</v>
      </c>
      <c r="B837" s="8">
        <v>2011.0</v>
      </c>
      <c r="C837" s="8" t="s">
        <v>77</v>
      </c>
      <c r="D837" s="8" t="s">
        <v>376</v>
      </c>
      <c r="E837" s="8">
        <v>2100.0</v>
      </c>
      <c r="F837" s="8" t="s">
        <v>34</v>
      </c>
      <c r="G837" s="8" t="s">
        <v>42</v>
      </c>
      <c r="H837" s="8" t="s">
        <v>374</v>
      </c>
      <c r="I837" s="8">
        <v>1.0</v>
      </c>
      <c r="J837" s="8">
        <v>6.0</v>
      </c>
      <c r="K837" s="8">
        <v>537.0</v>
      </c>
      <c r="L837" s="8">
        <v>0.011173184</v>
      </c>
      <c r="M837" s="8">
        <v>537.0</v>
      </c>
      <c r="N837" s="8">
        <v>-4.483002552</v>
      </c>
      <c r="O837" s="8">
        <v>4.06</v>
      </c>
      <c r="P837" s="8" t="s">
        <v>368</v>
      </c>
    </row>
    <row r="838">
      <c r="A838" s="8" t="s">
        <v>474</v>
      </c>
      <c r="B838" s="8">
        <v>2011.0</v>
      </c>
      <c r="C838" s="8" t="s">
        <v>77</v>
      </c>
      <c r="D838" s="8" t="s">
        <v>366</v>
      </c>
      <c r="E838" s="8">
        <v>2100.0</v>
      </c>
      <c r="F838" s="8" t="s">
        <v>34</v>
      </c>
      <c r="G838" s="8" t="s">
        <v>42</v>
      </c>
      <c r="H838" s="8" t="s">
        <v>374</v>
      </c>
      <c r="I838" s="8">
        <v>1.0</v>
      </c>
      <c r="J838" s="8">
        <v>14.0</v>
      </c>
      <c r="K838" s="8">
        <v>187.0</v>
      </c>
      <c r="L838" s="8">
        <v>0.07486631</v>
      </c>
      <c r="M838" s="8">
        <v>187.0</v>
      </c>
      <c r="N838" s="8">
        <v>-2.514234265</v>
      </c>
      <c r="O838" s="8">
        <v>4.06</v>
      </c>
      <c r="P838" s="8" t="s">
        <v>368</v>
      </c>
    </row>
    <row r="839">
      <c r="A839" s="8" t="s">
        <v>475</v>
      </c>
      <c r="B839" s="8">
        <v>2011.0</v>
      </c>
      <c r="C839" s="8" t="s">
        <v>32</v>
      </c>
      <c r="D839" s="8" t="s">
        <v>370</v>
      </c>
      <c r="E839" s="8">
        <v>2080.0</v>
      </c>
      <c r="F839" s="8" t="s">
        <v>41</v>
      </c>
      <c r="G839" s="8" t="s">
        <v>42</v>
      </c>
      <c r="H839" s="8" t="s">
        <v>374</v>
      </c>
      <c r="I839" s="8">
        <v>1.0</v>
      </c>
      <c r="J839" s="8">
        <v>3.0</v>
      </c>
      <c r="K839" s="8">
        <v>9.0</v>
      </c>
      <c r="L839" s="8">
        <v>0.333333333</v>
      </c>
      <c r="M839" s="8">
        <v>9.0</v>
      </c>
      <c r="N839" s="8">
        <v>-0.693147181</v>
      </c>
      <c r="O839" s="8">
        <v>3.8</v>
      </c>
      <c r="P839" s="8" t="s">
        <v>368</v>
      </c>
    </row>
    <row r="840">
      <c r="A840" s="8" t="s">
        <v>475</v>
      </c>
      <c r="B840" s="8">
        <v>2011.0</v>
      </c>
      <c r="C840" s="8" t="s">
        <v>32</v>
      </c>
      <c r="D840" s="8" t="s">
        <v>370</v>
      </c>
      <c r="E840" s="8">
        <v>2080.0</v>
      </c>
      <c r="F840" s="8" t="s">
        <v>41</v>
      </c>
      <c r="G840" s="8" t="s">
        <v>42</v>
      </c>
      <c r="H840" s="8" t="s">
        <v>374</v>
      </c>
      <c r="I840" s="8">
        <v>1.0</v>
      </c>
      <c r="J840" s="8">
        <v>1.0</v>
      </c>
      <c r="K840" s="8">
        <v>9.0</v>
      </c>
      <c r="L840" s="8">
        <v>0.111111111</v>
      </c>
      <c r="M840" s="8">
        <v>9.0</v>
      </c>
      <c r="N840" s="8">
        <v>-2.079441542</v>
      </c>
      <c r="O840" s="8">
        <v>2.9</v>
      </c>
      <c r="P840" s="8" t="s">
        <v>368</v>
      </c>
    </row>
    <row r="841">
      <c r="A841" s="8" t="s">
        <v>476</v>
      </c>
      <c r="B841" s="8">
        <v>2011.0</v>
      </c>
      <c r="C841" s="8" t="s">
        <v>365</v>
      </c>
      <c r="D841" s="8" t="s">
        <v>370</v>
      </c>
      <c r="E841" s="8">
        <v>2020.0</v>
      </c>
      <c r="F841" s="8" t="s">
        <v>34</v>
      </c>
      <c r="G841" s="8" t="s">
        <v>42</v>
      </c>
      <c r="H841" s="8" t="s">
        <v>374</v>
      </c>
      <c r="I841" s="8">
        <v>1.0</v>
      </c>
      <c r="J841" s="8">
        <v>0.0</v>
      </c>
      <c r="K841" s="8">
        <v>3.0</v>
      </c>
      <c r="L841" s="8">
        <v>0.0</v>
      </c>
      <c r="M841" s="8">
        <v>3.0</v>
      </c>
      <c r="N841" s="8">
        <v>-1.945910149</v>
      </c>
      <c r="O841" s="8">
        <v>1.19</v>
      </c>
      <c r="P841" s="8" t="s">
        <v>368</v>
      </c>
    </row>
    <row r="842">
      <c r="A842" s="8" t="s">
        <v>476</v>
      </c>
      <c r="B842" s="8">
        <v>2011.0</v>
      </c>
      <c r="C842" s="8" t="s">
        <v>365</v>
      </c>
      <c r="D842" s="8" t="s">
        <v>370</v>
      </c>
      <c r="E842" s="8">
        <v>2020.0</v>
      </c>
      <c r="F842" s="8" t="s">
        <v>34</v>
      </c>
      <c r="G842" s="8" t="s">
        <v>42</v>
      </c>
      <c r="H842" s="8" t="s">
        <v>374</v>
      </c>
      <c r="I842" s="8">
        <v>1.0</v>
      </c>
      <c r="J842" s="8">
        <v>0.0</v>
      </c>
      <c r="K842" s="8">
        <v>3.0</v>
      </c>
      <c r="L842" s="8">
        <v>0.0</v>
      </c>
      <c r="M842" s="8">
        <v>3.0</v>
      </c>
      <c r="N842" s="8">
        <v>-1.945910149</v>
      </c>
      <c r="O842" s="8">
        <v>1.21</v>
      </c>
      <c r="P842" s="8" t="s">
        <v>368</v>
      </c>
    </row>
    <row r="843">
      <c r="A843" s="8" t="s">
        <v>476</v>
      </c>
      <c r="B843" s="8">
        <v>2011.0</v>
      </c>
      <c r="C843" s="8" t="s">
        <v>365</v>
      </c>
      <c r="D843" s="8" t="s">
        <v>370</v>
      </c>
      <c r="E843" s="8">
        <v>2050.0</v>
      </c>
      <c r="F843" s="8" t="s">
        <v>34</v>
      </c>
      <c r="G843" s="8" t="s">
        <v>42</v>
      </c>
      <c r="H843" s="8" t="s">
        <v>374</v>
      </c>
      <c r="I843" s="8">
        <v>1.0</v>
      </c>
      <c r="J843" s="8">
        <v>0.0</v>
      </c>
      <c r="K843" s="8">
        <v>3.0</v>
      </c>
      <c r="L843" s="8">
        <v>0.0</v>
      </c>
      <c r="M843" s="8">
        <v>3.0</v>
      </c>
      <c r="N843" s="8">
        <v>-1.945910149</v>
      </c>
      <c r="O843" s="8">
        <v>2.26</v>
      </c>
      <c r="P843" s="8" t="s">
        <v>368</v>
      </c>
    </row>
    <row r="844">
      <c r="A844" s="8" t="s">
        <v>476</v>
      </c>
      <c r="B844" s="8">
        <v>2011.0</v>
      </c>
      <c r="C844" s="8" t="s">
        <v>365</v>
      </c>
      <c r="D844" s="8" t="s">
        <v>370</v>
      </c>
      <c r="E844" s="8">
        <v>2050.0</v>
      </c>
      <c r="F844" s="8" t="s">
        <v>34</v>
      </c>
      <c r="G844" s="8" t="s">
        <v>42</v>
      </c>
      <c r="H844" s="8" t="s">
        <v>374</v>
      </c>
      <c r="I844" s="8">
        <v>1.0</v>
      </c>
      <c r="J844" s="8">
        <v>0.0</v>
      </c>
      <c r="K844" s="8">
        <v>3.0</v>
      </c>
      <c r="L844" s="8">
        <v>0.0</v>
      </c>
      <c r="M844" s="8">
        <v>3.0</v>
      </c>
      <c r="N844" s="8">
        <v>-1.945910149</v>
      </c>
      <c r="O844" s="8">
        <v>2.1</v>
      </c>
      <c r="P844" s="8" t="s">
        <v>368</v>
      </c>
    </row>
    <row r="845">
      <c r="A845" s="8" t="s">
        <v>476</v>
      </c>
      <c r="B845" s="8">
        <v>2011.0</v>
      </c>
      <c r="C845" s="8" t="s">
        <v>365</v>
      </c>
      <c r="D845" s="8" t="s">
        <v>370</v>
      </c>
      <c r="E845" s="8">
        <v>2020.0</v>
      </c>
      <c r="F845" s="8" t="s">
        <v>34</v>
      </c>
      <c r="G845" s="8" t="s">
        <v>42</v>
      </c>
      <c r="H845" s="8" t="s">
        <v>374</v>
      </c>
      <c r="I845" s="8">
        <v>0.95</v>
      </c>
      <c r="J845" s="8">
        <v>0.0</v>
      </c>
      <c r="K845" s="8">
        <v>3.0</v>
      </c>
      <c r="L845" s="8">
        <v>0.0</v>
      </c>
      <c r="M845" s="8">
        <v>3.0</v>
      </c>
      <c r="N845" s="8">
        <v>-1.945910149</v>
      </c>
      <c r="O845" s="8">
        <v>1.19</v>
      </c>
      <c r="P845" s="8" t="s">
        <v>368</v>
      </c>
    </row>
    <row r="846">
      <c r="A846" s="8" t="s">
        <v>476</v>
      </c>
      <c r="B846" s="8">
        <v>2011.0</v>
      </c>
      <c r="C846" s="8" t="s">
        <v>365</v>
      </c>
      <c r="D846" s="8" t="s">
        <v>370</v>
      </c>
      <c r="E846" s="8">
        <v>2020.0</v>
      </c>
      <c r="F846" s="8" t="s">
        <v>34</v>
      </c>
      <c r="G846" s="8" t="s">
        <v>42</v>
      </c>
      <c r="H846" s="8" t="s">
        <v>374</v>
      </c>
      <c r="I846" s="8">
        <v>0.95</v>
      </c>
      <c r="J846" s="8">
        <v>0.0</v>
      </c>
      <c r="K846" s="8">
        <v>3.0</v>
      </c>
      <c r="L846" s="8">
        <v>0.0</v>
      </c>
      <c r="M846" s="8">
        <v>3.0</v>
      </c>
      <c r="N846" s="8">
        <v>-1.945910149</v>
      </c>
      <c r="O846" s="8">
        <v>1.21</v>
      </c>
      <c r="P846" s="8" t="s">
        <v>368</v>
      </c>
    </row>
    <row r="847">
      <c r="A847" s="8" t="s">
        <v>476</v>
      </c>
      <c r="B847" s="8">
        <v>2011.0</v>
      </c>
      <c r="C847" s="8" t="s">
        <v>365</v>
      </c>
      <c r="D847" s="8" t="s">
        <v>370</v>
      </c>
      <c r="E847" s="8">
        <v>2050.0</v>
      </c>
      <c r="F847" s="8" t="s">
        <v>34</v>
      </c>
      <c r="G847" s="8" t="s">
        <v>42</v>
      </c>
      <c r="H847" s="8" t="s">
        <v>374</v>
      </c>
      <c r="I847" s="8">
        <v>0.95</v>
      </c>
      <c r="J847" s="8">
        <v>0.0</v>
      </c>
      <c r="K847" s="8">
        <v>3.0</v>
      </c>
      <c r="L847" s="8">
        <v>0.0</v>
      </c>
      <c r="M847" s="8">
        <v>3.0</v>
      </c>
      <c r="N847" s="8">
        <v>-1.945910149</v>
      </c>
      <c r="O847" s="8">
        <v>2.26</v>
      </c>
      <c r="P847" s="8" t="s">
        <v>368</v>
      </c>
    </row>
    <row r="848">
      <c r="A848" s="8" t="s">
        <v>476</v>
      </c>
      <c r="B848" s="8">
        <v>2011.0</v>
      </c>
      <c r="C848" s="8" t="s">
        <v>365</v>
      </c>
      <c r="D848" s="8" t="s">
        <v>370</v>
      </c>
      <c r="E848" s="8">
        <v>2050.0</v>
      </c>
      <c r="F848" s="8" t="s">
        <v>34</v>
      </c>
      <c r="G848" s="8" t="s">
        <v>42</v>
      </c>
      <c r="H848" s="8" t="s">
        <v>374</v>
      </c>
      <c r="I848" s="8">
        <v>0.95</v>
      </c>
      <c r="J848" s="8">
        <v>0.0</v>
      </c>
      <c r="K848" s="8">
        <v>3.0</v>
      </c>
      <c r="L848" s="8">
        <v>0.0</v>
      </c>
      <c r="M848" s="8">
        <v>3.0</v>
      </c>
      <c r="N848" s="8">
        <v>-1.945910149</v>
      </c>
      <c r="O848" s="8">
        <v>2.1</v>
      </c>
      <c r="P848" s="8" t="s">
        <v>368</v>
      </c>
    </row>
    <row r="849">
      <c r="A849" s="8" t="s">
        <v>476</v>
      </c>
      <c r="B849" s="8">
        <v>2011.0</v>
      </c>
      <c r="C849" s="8" t="s">
        <v>365</v>
      </c>
      <c r="D849" s="8" t="s">
        <v>370</v>
      </c>
      <c r="E849" s="8">
        <v>2020.0</v>
      </c>
      <c r="F849" s="8" t="s">
        <v>34</v>
      </c>
      <c r="G849" s="8" t="s">
        <v>42</v>
      </c>
      <c r="H849" s="8" t="s">
        <v>374</v>
      </c>
      <c r="I849" s="8">
        <v>0.8</v>
      </c>
      <c r="J849" s="8">
        <v>0.0</v>
      </c>
      <c r="K849" s="8">
        <v>3.0</v>
      </c>
      <c r="L849" s="8">
        <v>0.0</v>
      </c>
      <c r="M849" s="8">
        <v>3.0</v>
      </c>
      <c r="N849" s="8">
        <v>-1.945910149</v>
      </c>
      <c r="O849" s="8">
        <v>1.19</v>
      </c>
      <c r="P849" s="8" t="s">
        <v>368</v>
      </c>
    </row>
    <row r="850">
      <c r="A850" s="8" t="s">
        <v>476</v>
      </c>
      <c r="B850" s="8">
        <v>2011.0</v>
      </c>
      <c r="C850" s="8" t="s">
        <v>365</v>
      </c>
      <c r="D850" s="8" t="s">
        <v>370</v>
      </c>
      <c r="E850" s="8">
        <v>2020.0</v>
      </c>
      <c r="F850" s="8" t="s">
        <v>34</v>
      </c>
      <c r="G850" s="8" t="s">
        <v>42</v>
      </c>
      <c r="H850" s="8" t="s">
        <v>374</v>
      </c>
      <c r="I850" s="8">
        <v>0.8</v>
      </c>
      <c r="J850" s="8">
        <v>0.0</v>
      </c>
      <c r="K850" s="8">
        <v>3.0</v>
      </c>
      <c r="L850" s="8">
        <v>0.0</v>
      </c>
      <c r="M850" s="8">
        <v>3.0</v>
      </c>
      <c r="N850" s="8">
        <v>-1.945910149</v>
      </c>
      <c r="O850" s="8">
        <v>1.21</v>
      </c>
      <c r="P850" s="8" t="s">
        <v>368</v>
      </c>
    </row>
    <row r="851">
      <c r="A851" s="8" t="s">
        <v>476</v>
      </c>
      <c r="B851" s="8">
        <v>2011.0</v>
      </c>
      <c r="C851" s="8" t="s">
        <v>365</v>
      </c>
      <c r="D851" s="8" t="s">
        <v>370</v>
      </c>
      <c r="E851" s="8">
        <v>2050.0</v>
      </c>
      <c r="F851" s="8" t="s">
        <v>34</v>
      </c>
      <c r="G851" s="8" t="s">
        <v>42</v>
      </c>
      <c r="H851" s="8" t="s">
        <v>374</v>
      </c>
      <c r="I851" s="8">
        <v>0.8</v>
      </c>
      <c r="J851" s="8">
        <v>0.0</v>
      </c>
      <c r="K851" s="8">
        <v>3.0</v>
      </c>
      <c r="L851" s="8">
        <v>0.0</v>
      </c>
      <c r="M851" s="8">
        <v>3.0</v>
      </c>
      <c r="N851" s="8">
        <v>-1.945910149</v>
      </c>
      <c r="O851" s="8">
        <v>2.26</v>
      </c>
      <c r="P851" s="8" t="s">
        <v>368</v>
      </c>
    </row>
    <row r="852">
      <c r="A852" s="8" t="s">
        <v>476</v>
      </c>
      <c r="B852" s="8">
        <v>2011.0</v>
      </c>
      <c r="C852" s="8" t="s">
        <v>365</v>
      </c>
      <c r="D852" s="8" t="s">
        <v>370</v>
      </c>
      <c r="E852" s="8">
        <v>2050.0</v>
      </c>
      <c r="F852" s="8" t="s">
        <v>34</v>
      </c>
      <c r="G852" s="8" t="s">
        <v>42</v>
      </c>
      <c r="H852" s="8" t="s">
        <v>374</v>
      </c>
      <c r="I852" s="8">
        <v>0.8</v>
      </c>
      <c r="J852" s="8">
        <v>0.0</v>
      </c>
      <c r="K852" s="8">
        <v>3.0</v>
      </c>
      <c r="L852" s="8">
        <v>0.0</v>
      </c>
      <c r="M852" s="8">
        <v>3.0</v>
      </c>
      <c r="N852" s="8">
        <v>-1.945910149</v>
      </c>
      <c r="O852" s="8">
        <v>2.1</v>
      </c>
      <c r="P852" s="8" t="s">
        <v>368</v>
      </c>
    </row>
    <row r="853">
      <c r="A853" s="8" t="s">
        <v>464</v>
      </c>
      <c r="B853" s="8">
        <v>2011.0</v>
      </c>
      <c r="C853" s="8" t="s">
        <v>32</v>
      </c>
      <c r="D853" s="8" t="s">
        <v>371</v>
      </c>
      <c r="E853" s="8">
        <v>2085.0</v>
      </c>
      <c r="F853" s="8" t="s">
        <v>34</v>
      </c>
      <c r="G853" s="8" t="s">
        <v>42</v>
      </c>
      <c r="H853" s="8" t="s">
        <v>374</v>
      </c>
      <c r="I853" s="8">
        <v>0.8</v>
      </c>
      <c r="J853" s="8">
        <v>1188.0</v>
      </c>
      <c r="K853" s="8">
        <v>2632.0</v>
      </c>
      <c r="L853" s="8">
        <v>0.451367781</v>
      </c>
      <c r="M853" s="8">
        <v>2632.0</v>
      </c>
      <c r="N853" s="8">
        <v>-0.19514582</v>
      </c>
      <c r="O853" s="8">
        <v>4.27</v>
      </c>
      <c r="P853" s="8" t="s">
        <v>368</v>
      </c>
    </row>
    <row r="854">
      <c r="A854" s="8" t="s">
        <v>464</v>
      </c>
      <c r="B854" s="8">
        <v>2011.0</v>
      </c>
      <c r="C854" s="8" t="s">
        <v>32</v>
      </c>
      <c r="D854" s="8" t="s">
        <v>371</v>
      </c>
      <c r="E854" s="8">
        <v>2085.0</v>
      </c>
      <c r="F854" s="8" t="s">
        <v>34</v>
      </c>
      <c r="G854" s="8" t="s">
        <v>42</v>
      </c>
      <c r="H854" s="8" t="s">
        <v>374</v>
      </c>
      <c r="I854" s="8">
        <v>0.8</v>
      </c>
      <c r="J854" s="8">
        <v>634.0</v>
      </c>
      <c r="K854" s="8">
        <v>2632.0</v>
      </c>
      <c r="L854" s="8">
        <v>0.240881459</v>
      </c>
      <c r="M854" s="8">
        <v>2632.0</v>
      </c>
      <c r="N854" s="8">
        <v>-1.147853005</v>
      </c>
      <c r="O854" s="8">
        <v>2.36</v>
      </c>
      <c r="P854" s="8" t="s">
        <v>368</v>
      </c>
    </row>
    <row r="855">
      <c r="A855" s="8" t="s">
        <v>464</v>
      </c>
      <c r="B855" s="8">
        <v>2011.0</v>
      </c>
      <c r="C855" s="8" t="s">
        <v>32</v>
      </c>
      <c r="D855" s="8" t="s">
        <v>371</v>
      </c>
      <c r="E855" s="8">
        <v>2085.0</v>
      </c>
      <c r="F855" s="8" t="s">
        <v>34</v>
      </c>
      <c r="G855" s="8" t="s">
        <v>42</v>
      </c>
      <c r="H855" s="8" t="s">
        <v>374</v>
      </c>
      <c r="I855" s="8">
        <v>0.8</v>
      </c>
      <c r="J855" s="8">
        <v>979.0</v>
      </c>
      <c r="K855" s="8">
        <v>2632.0</v>
      </c>
      <c r="L855" s="8">
        <v>0.371960486</v>
      </c>
      <c r="M855" s="8">
        <v>2632.0</v>
      </c>
      <c r="N855" s="8">
        <v>-0.523815455</v>
      </c>
      <c r="O855" s="8">
        <v>3.57</v>
      </c>
      <c r="P855" s="8" t="s">
        <v>368</v>
      </c>
    </row>
    <row r="856">
      <c r="A856" s="8" t="s">
        <v>464</v>
      </c>
      <c r="B856" s="8">
        <v>2011.0</v>
      </c>
      <c r="C856" s="8" t="s">
        <v>32</v>
      </c>
      <c r="D856" s="8" t="s">
        <v>371</v>
      </c>
      <c r="E856" s="8">
        <v>2085.0</v>
      </c>
      <c r="F856" s="8" t="s">
        <v>34</v>
      </c>
      <c r="G856" s="8" t="s">
        <v>42</v>
      </c>
      <c r="H856" s="8" t="s">
        <v>374</v>
      </c>
      <c r="I856" s="8">
        <v>0.8</v>
      </c>
      <c r="J856" s="8">
        <v>648.0</v>
      </c>
      <c r="K856" s="8">
        <v>2632.0</v>
      </c>
      <c r="L856" s="8">
        <v>0.246200608</v>
      </c>
      <c r="M856" s="8">
        <v>2632.0</v>
      </c>
      <c r="N856" s="8">
        <v>-1.118979591</v>
      </c>
      <c r="O856" s="8">
        <v>2.68</v>
      </c>
      <c r="P856" s="8" t="s">
        <v>368</v>
      </c>
    </row>
    <row r="857">
      <c r="A857" s="8" t="s">
        <v>477</v>
      </c>
      <c r="B857" s="8">
        <v>2011.0</v>
      </c>
      <c r="C857" s="8" t="s">
        <v>32</v>
      </c>
      <c r="D857" s="8" t="s">
        <v>370</v>
      </c>
      <c r="E857" s="8">
        <v>2080.0</v>
      </c>
      <c r="F857" s="8" t="s">
        <v>34</v>
      </c>
      <c r="G857" s="8" t="s">
        <v>42</v>
      </c>
      <c r="H857" s="8" t="s">
        <v>374</v>
      </c>
      <c r="I857" s="8">
        <v>1.0</v>
      </c>
      <c r="J857" s="8">
        <v>0.0</v>
      </c>
      <c r="K857" s="8">
        <v>23.0</v>
      </c>
      <c r="L857" s="8">
        <v>0.0</v>
      </c>
      <c r="M857" s="8">
        <v>23.0</v>
      </c>
      <c r="N857" s="8">
        <v>-3.850147602</v>
      </c>
      <c r="O857" s="8">
        <v>3.8</v>
      </c>
      <c r="P857" s="8" t="s">
        <v>368</v>
      </c>
    </row>
    <row r="858">
      <c r="A858" s="8" t="s">
        <v>477</v>
      </c>
      <c r="B858" s="8">
        <v>2011.0</v>
      </c>
      <c r="C858" s="8" t="s">
        <v>32</v>
      </c>
      <c r="D858" s="8" t="s">
        <v>370</v>
      </c>
      <c r="E858" s="8">
        <v>2080.0</v>
      </c>
      <c r="F858" s="8" t="s">
        <v>34</v>
      </c>
      <c r="G858" s="8" t="s">
        <v>42</v>
      </c>
      <c r="H858" s="8" t="s">
        <v>374</v>
      </c>
      <c r="I858" s="8">
        <v>0.95</v>
      </c>
      <c r="J858" s="8">
        <v>6.0</v>
      </c>
      <c r="K858" s="8">
        <v>23.0</v>
      </c>
      <c r="L858" s="8">
        <v>0.260869565</v>
      </c>
      <c r="M858" s="8">
        <v>23.0</v>
      </c>
      <c r="N858" s="8">
        <v>-1.041453875</v>
      </c>
      <c r="O858" s="8">
        <v>3.8</v>
      </c>
      <c r="P858" s="8" t="s">
        <v>368</v>
      </c>
    </row>
    <row r="859">
      <c r="A859" s="8" t="s">
        <v>477</v>
      </c>
      <c r="B859" s="8">
        <v>2011.0</v>
      </c>
      <c r="C859" s="8" t="s">
        <v>32</v>
      </c>
      <c r="D859" s="8" t="s">
        <v>370</v>
      </c>
      <c r="E859" s="8">
        <v>2080.0</v>
      </c>
      <c r="F859" s="8" t="s">
        <v>34</v>
      </c>
      <c r="G859" s="8" t="s">
        <v>42</v>
      </c>
      <c r="H859" s="8" t="s">
        <v>374</v>
      </c>
      <c r="I859" s="8">
        <v>0.8</v>
      </c>
      <c r="J859" s="8">
        <v>10.0</v>
      </c>
      <c r="K859" s="8">
        <v>23.0</v>
      </c>
      <c r="L859" s="8">
        <v>0.434782609</v>
      </c>
      <c r="M859" s="8">
        <v>23.0</v>
      </c>
      <c r="N859" s="8">
        <v>-0.262364264</v>
      </c>
      <c r="O859" s="8">
        <v>3.8</v>
      </c>
      <c r="P859" s="8" t="s">
        <v>368</v>
      </c>
    </row>
    <row r="860">
      <c r="A860" s="8" t="s">
        <v>477</v>
      </c>
      <c r="B860" s="8">
        <v>2011.0</v>
      </c>
      <c r="C860" s="8" t="s">
        <v>32</v>
      </c>
      <c r="D860" s="8" t="s">
        <v>370</v>
      </c>
      <c r="E860" s="8">
        <v>2080.0</v>
      </c>
      <c r="F860" s="8" t="s">
        <v>34</v>
      </c>
      <c r="G860" s="8" t="s">
        <v>42</v>
      </c>
      <c r="H860" s="8" t="s">
        <v>374</v>
      </c>
      <c r="I860" s="8">
        <v>1.0</v>
      </c>
      <c r="J860" s="8">
        <v>0.0</v>
      </c>
      <c r="K860" s="8">
        <v>23.0</v>
      </c>
      <c r="L860" s="8">
        <v>0.0</v>
      </c>
      <c r="M860" s="8">
        <v>23.0</v>
      </c>
      <c r="N860" s="8">
        <v>-3.850147602</v>
      </c>
      <c r="O860" s="8">
        <v>2.9</v>
      </c>
      <c r="P860" s="8" t="s">
        <v>368</v>
      </c>
    </row>
    <row r="861">
      <c r="A861" s="8" t="s">
        <v>477</v>
      </c>
      <c r="B861" s="8">
        <v>2011.0</v>
      </c>
      <c r="C861" s="8" t="s">
        <v>32</v>
      </c>
      <c r="D861" s="8" t="s">
        <v>370</v>
      </c>
      <c r="E861" s="8">
        <v>2080.0</v>
      </c>
      <c r="F861" s="8" t="s">
        <v>34</v>
      </c>
      <c r="G861" s="8" t="s">
        <v>42</v>
      </c>
      <c r="H861" s="8" t="s">
        <v>374</v>
      </c>
      <c r="I861" s="8">
        <v>0.95</v>
      </c>
      <c r="J861" s="8">
        <v>4.0</v>
      </c>
      <c r="K861" s="8">
        <v>23.0</v>
      </c>
      <c r="L861" s="8">
        <v>0.173913043</v>
      </c>
      <c r="M861" s="8">
        <v>23.0</v>
      </c>
      <c r="N861" s="8">
        <v>-1.558144618</v>
      </c>
      <c r="O861" s="8">
        <v>2.9</v>
      </c>
      <c r="P861" s="8" t="s">
        <v>368</v>
      </c>
    </row>
    <row r="862">
      <c r="A862" s="8" t="s">
        <v>477</v>
      </c>
      <c r="B862" s="8">
        <v>2011.0</v>
      </c>
      <c r="C862" s="8" t="s">
        <v>32</v>
      </c>
      <c r="D862" s="8" t="s">
        <v>370</v>
      </c>
      <c r="E862" s="8">
        <v>2080.0</v>
      </c>
      <c r="F862" s="8" t="s">
        <v>34</v>
      </c>
      <c r="G862" s="8" t="s">
        <v>42</v>
      </c>
      <c r="H862" s="8" t="s">
        <v>374</v>
      </c>
      <c r="I862" s="8">
        <v>0.8</v>
      </c>
      <c r="J862" s="8">
        <v>8.0</v>
      </c>
      <c r="K862" s="8">
        <v>23.0</v>
      </c>
      <c r="L862" s="8">
        <v>0.347826087</v>
      </c>
      <c r="M862" s="8">
        <v>23.0</v>
      </c>
      <c r="N862" s="8">
        <v>-0.628608659</v>
      </c>
      <c r="O862" s="8">
        <v>2.9</v>
      </c>
      <c r="P862" s="8" t="s">
        <v>368</v>
      </c>
    </row>
    <row r="863">
      <c r="A863" s="8" t="s">
        <v>478</v>
      </c>
      <c r="B863" s="8">
        <v>2011.0</v>
      </c>
      <c r="C863" s="8" t="s">
        <v>32</v>
      </c>
      <c r="D863" s="8" t="s">
        <v>370</v>
      </c>
      <c r="E863" s="8">
        <v>2080.0</v>
      </c>
      <c r="F863" s="8" t="s">
        <v>34</v>
      </c>
      <c r="G863" s="8" t="s">
        <v>42</v>
      </c>
      <c r="H863" s="8" t="s">
        <v>374</v>
      </c>
      <c r="I863" s="8">
        <v>1.0</v>
      </c>
      <c r="J863" s="8">
        <v>1.0</v>
      </c>
      <c r="K863" s="8">
        <v>38.0</v>
      </c>
      <c r="L863" s="8">
        <v>0.026315789</v>
      </c>
      <c r="M863" s="8">
        <v>38.0</v>
      </c>
      <c r="N863" s="8">
        <v>-3.610917913</v>
      </c>
      <c r="O863" s="8">
        <v>3.6</v>
      </c>
      <c r="P863" s="8" t="s">
        <v>368</v>
      </c>
    </row>
    <row r="864">
      <c r="A864" s="8" t="s">
        <v>478</v>
      </c>
      <c r="B864" s="8">
        <v>2011.0</v>
      </c>
      <c r="C864" s="8" t="s">
        <v>32</v>
      </c>
      <c r="D864" s="8" t="s">
        <v>370</v>
      </c>
      <c r="E864" s="8">
        <v>2080.0</v>
      </c>
      <c r="F864" s="8" t="s">
        <v>34</v>
      </c>
      <c r="G864" s="8" t="s">
        <v>42</v>
      </c>
      <c r="H864" s="8" t="s">
        <v>374</v>
      </c>
      <c r="I864" s="8">
        <v>1.0</v>
      </c>
      <c r="J864" s="8">
        <v>0.0</v>
      </c>
      <c r="K864" s="8">
        <v>38.0</v>
      </c>
      <c r="L864" s="8">
        <v>0.0</v>
      </c>
      <c r="M864" s="8">
        <v>38.0</v>
      </c>
      <c r="N864" s="8">
        <v>-4.343805422</v>
      </c>
      <c r="O864" s="8">
        <v>2.74</v>
      </c>
      <c r="P864" s="8" t="s">
        <v>368</v>
      </c>
    </row>
    <row r="865">
      <c r="A865" s="8" t="s">
        <v>458</v>
      </c>
      <c r="B865" s="8">
        <v>2011.0</v>
      </c>
      <c r="C865" s="8" t="s">
        <v>32</v>
      </c>
      <c r="D865" s="8" t="s">
        <v>371</v>
      </c>
      <c r="E865" s="8">
        <v>2080.0</v>
      </c>
      <c r="F865" s="8" t="s">
        <v>34</v>
      </c>
      <c r="G865" s="8" t="s">
        <v>382</v>
      </c>
      <c r="H865" s="8" t="s">
        <v>374</v>
      </c>
      <c r="I865" s="8">
        <v>1.0</v>
      </c>
      <c r="J865" s="8">
        <v>0.0</v>
      </c>
      <c r="K865" s="8">
        <v>2.0</v>
      </c>
      <c r="L865" s="8">
        <v>0.0</v>
      </c>
      <c r="M865" s="8">
        <v>2.0</v>
      </c>
      <c r="N865" s="8">
        <v>-1.609437912</v>
      </c>
      <c r="O865" s="8">
        <v>3.57</v>
      </c>
      <c r="P865" s="8" t="s">
        <v>368</v>
      </c>
    </row>
    <row r="866">
      <c r="A866" s="8" t="s">
        <v>458</v>
      </c>
      <c r="B866" s="8">
        <v>2011.0</v>
      </c>
      <c r="C866" s="8" t="s">
        <v>32</v>
      </c>
      <c r="D866" s="8" t="s">
        <v>371</v>
      </c>
      <c r="E866" s="8">
        <v>2080.0</v>
      </c>
      <c r="F866" s="8" t="s">
        <v>34</v>
      </c>
      <c r="G866" s="8" t="s">
        <v>382</v>
      </c>
      <c r="H866" s="8" t="s">
        <v>374</v>
      </c>
      <c r="I866" s="8">
        <v>0.95</v>
      </c>
      <c r="J866" s="8">
        <v>0.0</v>
      </c>
      <c r="K866" s="8">
        <v>2.0</v>
      </c>
      <c r="L866" s="8">
        <v>0.0</v>
      </c>
      <c r="M866" s="8">
        <v>2.0</v>
      </c>
      <c r="N866" s="8">
        <v>-1.609437912</v>
      </c>
      <c r="O866" s="8">
        <v>3.57</v>
      </c>
      <c r="P866" s="8" t="s">
        <v>368</v>
      </c>
    </row>
    <row r="867">
      <c r="A867" s="8" t="s">
        <v>458</v>
      </c>
      <c r="B867" s="8">
        <v>2011.0</v>
      </c>
      <c r="C867" s="8" t="s">
        <v>32</v>
      </c>
      <c r="D867" s="8" t="s">
        <v>371</v>
      </c>
      <c r="E867" s="8">
        <v>2080.0</v>
      </c>
      <c r="F867" s="8" t="s">
        <v>34</v>
      </c>
      <c r="G867" s="8" t="s">
        <v>382</v>
      </c>
      <c r="H867" s="8" t="s">
        <v>374</v>
      </c>
      <c r="I867" s="8">
        <v>0.8</v>
      </c>
      <c r="J867" s="8">
        <v>0.0</v>
      </c>
      <c r="K867" s="8">
        <v>2.0</v>
      </c>
      <c r="L867" s="8">
        <v>0.0</v>
      </c>
      <c r="M867" s="8">
        <v>2.0</v>
      </c>
      <c r="N867" s="8">
        <v>-1.609437912</v>
      </c>
      <c r="O867" s="8">
        <v>3.57</v>
      </c>
      <c r="P867" s="8" t="s">
        <v>368</v>
      </c>
    </row>
    <row r="868">
      <c r="A868" s="8" t="s">
        <v>458</v>
      </c>
      <c r="B868" s="8">
        <v>2011.0</v>
      </c>
      <c r="C868" s="8" t="s">
        <v>32</v>
      </c>
      <c r="D868" s="8" t="s">
        <v>371</v>
      </c>
      <c r="E868" s="8">
        <v>2080.0</v>
      </c>
      <c r="F868" s="8" t="s">
        <v>34</v>
      </c>
      <c r="G868" s="8" t="s">
        <v>42</v>
      </c>
      <c r="H868" s="8" t="s">
        <v>374</v>
      </c>
      <c r="I868" s="8">
        <v>1.0</v>
      </c>
      <c r="J868" s="8">
        <v>0.0</v>
      </c>
      <c r="K868" s="8">
        <v>2.0</v>
      </c>
      <c r="L868" s="8">
        <v>0.0</v>
      </c>
      <c r="M868" s="8">
        <v>2.0</v>
      </c>
      <c r="N868" s="8">
        <v>-1.609437912</v>
      </c>
      <c r="O868" s="8">
        <v>3.57</v>
      </c>
      <c r="P868" s="8" t="s">
        <v>368</v>
      </c>
    </row>
    <row r="869">
      <c r="A869" s="8" t="s">
        <v>458</v>
      </c>
      <c r="B869" s="8">
        <v>2011.0</v>
      </c>
      <c r="C869" s="8" t="s">
        <v>32</v>
      </c>
      <c r="D869" s="8" t="s">
        <v>371</v>
      </c>
      <c r="E869" s="8">
        <v>2080.0</v>
      </c>
      <c r="F869" s="8" t="s">
        <v>34</v>
      </c>
      <c r="G869" s="8" t="s">
        <v>42</v>
      </c>
      <c r="H869" s="8" t="s">
        <v>374</v>
      </c>
      <c r="I869" s="8">
        <v>0.95</v>
      </c>
      <c r="J869" s="8">
        <v>1.0</v>
      </c>
      <c r="K869" s="8">
        <v>2.0</v>
      </c>
      <c r="L869" s="8">
        <v>0.5</v>
      </c>
      <c r="M869" s="8">
        <v>2.0</v>
      </c>
      <c r="N869" s="8">
        <v>0.0</v>
      </c>
      <c r="O869" s="8">
        <v>3.57</v>
      </c>
      <c r="P869" s="8" t="s">
        <v>368</v>
      </c>
    </row>
    <row r="870">
      <c r="A870" s="8" t="s">
        <v>458</v>
      </c>
      <c r="B870" s="8">
        <v>2011.0</v>
      </c>
      <c r="C870" s="8" t="s">
        <v>32</v>
      </c>
      <c r="D870" s="8" t="s">
        <v>371</v>
      </c>
      <c r="E870" s="8">
        <v>2080.0</v>
      </c>
      <c r="F870" s="8" t="s">
        <v>34</v>
      </c>
      <c r="G870" s="8" t="s">
        <v>42</v>
      </c>
      <c r="H870" s="8" t="s">
        <v>374</v>
      </c>
      <c r="I870" s="8">
        <v>0.8</v>
      </c>
      <c r="J870" s="8">
        <v>1.0</v>
      </c>
      <c r="K870" s="8">
        <v>2.0</v>
      </c>
      <c r="L870" s="8">
        <v>0.5</v>
      </c>
      <c r="M870" s="8">
        <v>2.0</v>
      </c>
      <c r="N870" s="8">
        <v>0.0</v>
      </c>
      <c r="O870" s="8">
        <v>3.57</v>
      </c>
      <c r="P870" s="8" t="s">
        <v>368</v>
      </c>
    </row>
    <row r="871">
      <c r="A871" s="8" t="s">
        <v>479</v>
      </c>
      <c r="B871" s="8">
        <v>2011.0</v>
      </c>
      <c r="C871" s="8" t="s">
        <v>365</v>
      </c>
      <c r="D871" s="8" t="s">
        <v>381</v>
      </c>
      <c r="E871" s="8">
        <v>2040.0</v>
      </c>
      <c r="F871" s="8" t="s">
        <v>34</v>
      </c>
      <c r="G871" s="8" t="s">
        <v>42</v>
      </c>
      <c r="H871" s="8" t="s">
        <v>374</v>
      </c>
      <c r="I871" s="8">
        <v>1.0</v>
      </c>
      <c r="J871" s="8">
        <v>0.0</v>
      </c>
      <c r="K871" s="8">
        <v>4.0</v>
      </c>
      <c r="L871" s="8">
        <v>0.0</v>
      </c>
      <c r="M871" s="8">
        <v>4.0</v>
      </c>
      <c r="N871" s="8">
        <v>-2.197224577</v>
      </c>
      <c r="O871" s="8">
        <v>1.9</v>
      </c>
      <c r="P871" s="8" t="s">
        <v>368</v>
      </c>
    </row>
    <row r="872">
      <c r="A872" s="8" t="s">
        <v>479</v>
      </c>
      <c r="B872" s="8">
        <v>2011.0</v>
      </c>
      <c r="C872" s="8" t="s">
        <v>365</v>
      </c>
      <c r="D872" s="8" t="s">
        <v>381</v>
      </c>
      <c r="E872" s="8">
        <v>2040.0</v>
      </c>
      <c r="F872" s="8" t="s">
        <v>34</v>
      </c>
      <c r="G872" s="8" t="s">
        <v>42</v>
      </c>
      <c r="H872" s="8" t="s">
        <v>374</v>
      </c>
      <c r="I872" s="8">
        <v>0.95</v>
      </c>
      <c r="J872" s="8">
        <v>0.0</v>
      </c>
      <c r="K872" s="8">
        <v>4.0</v>
      </c>
      <c r="L872" s="8">
        <v>0.0</v>
      </c>
      <c r="M872" s="8">
        <v>4.0</v>
      </c>
      <c r="N872" s="8">
        <v>-2.197224577</v>
      </c>
      <c r="O872" s="8">
        <v>1.9</v>
      </c>
      <c r="P872" s="8" t="s">
        <v>368</v>
      </c>
    </row>
    <row r="873">
      <c r="A873" s="8" t="s">
        <v>479</v>
      </c>
      <c r="B873" s="8">
        <v>2011.0</v>
      </c>
      <c r="C873" s="8" t="s">
        <v>365</v>
      </c>
      <c r="D873" s="8" t="s">
        <v>381</v>
      </c>
      <c r="E873" s="8">
        <v>2040.0</v>
      </c>
      <c r="F873" s="8" t="s">
        <v>34</v>
      </c>
      <c r="G873" s="8" t="s">
        <v>42</v>
      </c>
      <c r="H873" s="8" t="s">
        <v>374</v>
      </c>
      <c r="I873" s="8">
        <v>0.8</v>
      </c>
      <c r="J873" s="8">
        <v>0.0</v>
      </c>
      <c r="K873" s="8">
        <v>4.0</v>
      </c>
      <c r="L873" s="8">
        <v>0.0</v>
      </c>
      <c r="M873" s="8">
        <v>4.0</v>
      </c>
      <c r="N873" s="8">
        <v>-2.197224577</v>
      </c>
      <c r="O873" s="8">
        <v>1.9</v>
      </c>
      <c r="P873" s="8" t="s">
        <v>368</v>
      </c>
    </row>
    <row r="874">
      <c r="A874" s="8" t="s">
        <v>479</v>
      </c>
      <c r="B874" s="8">
        <v>2011.0</v>
      </c>
      <c r="C874" s="8" t="s">
        <v>365</v>
      </c>
      <c r="D874" s="8" t="s">
        <v>381</v>
      </c>
      <c r="E874" s="8">
        <v>2080.0</v>
      </c>
      <c r="F874" s="8" t="s">
        <v>34</v>
      </c>
      <c r="G874" s="8" t="s">
        <v>42</v>
      </c>
      <c r="H874" s="8" t="s">
        <v>374</v>
      </c>
      <c r="I874" s="8">
        <v>1.0</v>
      </c>
      <c r="J874" s="8">
        <v>0.0</v>
      </c>
      <c r="K874" s="8">
        <v>4.0</v>
      </c>
      <c r="L874" s="8">
        <v>0.0</v>
      </c>
      <c r="M874" s="8">
        <v>4.0</v>
      </c>
      <c r="N874" s="8">
        <v>-2.197224577</v>
      </c>
      <c r="O874" s="8">
        <v>3.0</v>
      </c>
      <c r="P874" s="8" t="s">
        <v>368</v>
      </c>
    </row>
    <row r="875">
      <c r="A875" s="8" t="s">
        <v>479</v>
      </c>
      <c r="B875" s="8">
        <v>2011.0</v>
      </c>
      <c r="C875" s="8" t="s">
        <v>365</v>
      </c>
      <c r="D875" s="8" t="s">
        <v>381</v>
      </c>
      <c r="E875" s="8">
        <v>2080.0</v>
      </c>
      <c r="F875" s="8" t="s">
        <v>34</v>
      </c>
      <c r="G875" s="8" t="s">
        <v>42</v>
      </c>
      <c r="H875" s="8" t="s">
        <v>374</v>
      </c>
      <c r="I875" s="8">
        <v>0.95</v>
      </c>
      <c r="J875" s="8">
        <v>0.0</v>
      </c>
      <c r="K875" s="8">
        <v>4.0</v>
      </c>
      <c r="L875" s="8">
        <v>0.0</v>
      </c>
      <c r="M875" s="8">
        <v>4.0</v>
      </c>
      <c r="N875" s="8">
        <v>-2.197224577</v>
      </c>
      <c r="O875" s="8">
        <v>3.0</v>
      </c>
      <c r="P875" s="8" t="s">
        <v>368</v>
      </c>
    </row>
    <row r="876">
      <c r="A876" s="8" t="s">
        <v>479</v>
      </c>
      <c r="B876" s="8">
        <v>2011.0</v>
      </c>
      <c r="C876" s="8" t="s">
        <v>365</v>
      </c>
      <c r="D876" s="8" t="s">
        <v>381</v>
      </c>
      <c r="E876" s="8">
        <v>2080.0</v>
      </c>
      <c r="F876" s="8" t="s">
        <v>34</v>
      </c>
      <c r="G876" s="8" t="s">
        <v>42</v>
      </c>
      <c r="H876" s="8" t="s">
        <v>374</v>
      </c>
      <c r="I876" s="8">
        <v>0.8</v>
      </c>
      <c r="J876" s="8">
        <v>0.0</v>
      </c>
      <c r="K876" s="8">
        <v>4.0</v>
      </c>
      <c r="L876" s="8">
        <v>0.0</v>
      </c>
      <c r="M876" s="8">
        <v>4.0</v>
      </c>
      <c r="N876" s="8">
        <v>-2.197224577</v>
      </c>
      <c r="O876" s="8">
        <v>3.0</v>
      </c>
      <c r="P876" s="8" t="s">
        <v>368</v>
      </c>
    </row>
    <row r="877">
      <c r="A877" s="8" t="s">
        <v>480</v>
      </c>
      <c r="B877" s="8">
        <v>2011.0</v>
      </c>
      <c r="C877" s="8" t="s">
        <v>373</v>
      </c>
      <c r="D877" s="8" t="s">
        <v>381</v>
      </c>
      <c r="E877" s="8">
        <v>2030.0</v>
      </c>
      <c r="F877" s="8" t="s">
        <v>34</v>
      </c>
      <c r="G877" s="8" t="s">
        <v>42</v>
      </c>
      <c r="H877" s="8" t="s">
        <v>374</v>
      </c>
      <c r="I877" s="8">
        <v>1.0</v>
      </c>
      <c r="J877" s="8">
        <v>5.0</v>
      </c>
      <c r="K877" s="8">
        <v>43.0</v>
      </c>
      <c r="L877" s="8">
        <v>0.11627907</v>
      </c>
      <c r="M877" s="8">
        <v>43.0</v>
      </c>
      <c r="N877" s="8">
        <v>-2.028148247</v>
      </c>
      <c r="O877" s="8">
        <v>0.84</v>
      </c>
      <c r="P877" s="8" t="s">
        <v>368</v>
      </c>
    </row>
    <row r="878">
      <c r="A878" s="8" t="s">
        <v>480</v>
      </c>
      <c r="B878" s="8">
        <v>2011.0</v>
      </c>
      <c r="C878" s="8" t="s">
        <v>373</v>
      </c>
      <c r="D878" s="8" t="s">
        <v>381</v>
      </c>
      <c r="E878" s="8">
        <v>2030.0</v>
      </c>
      <c r="F878" s="8" t="s">
        <v>34</v>
      </c>
      <c r="G878" s="8" t="s">
        <v>42</v>
      </c>
      <c r="H878" s="8" t="s">
        <v>374</v>
      </c>
      <c r="I878" s="8">
        <v>0.95</v>
      </c>
      <c r="J878" s="8">
        <v>8.0</v>
      </c>
      <c r="K878" s="8">
        <v>43.0</v>
      </c>
      <c r="L878" s="8">
        <v>0.186046512</v>
      </c>
      <c r="M878" s="8">
        <v>43.0</v>
      </c>
      <c r="N878" s="8">
        <v>-1.47590652</v>
      </c>
      <c r="O878" s="8">
        <v>0.84</v>
      </c>
      <c r="P878" s="8" t="s">
        <v>368</v>
      </c>
    </row>
    <row r="879">
      <c r="A879" s="8" t="s">
        <v>480</v>
      </c>
      <c r="B879" s="8">
        <v>2011.0</v>
      </c>
      <c r="C879" s="8" t="s">
        <v>373</v>
      </c>
      <c r="D879" s="8" t="s">
        <v>381</v>
      </c>
      <c r="E879" s="8">
        <v>2030.0</v>
      </c>
      <c r="F879" s="8" t="s">
        <v>34</v>
      </c>
      <c r="G879" s="8" t="s">
        <v>42</v>
      </c>
      <c r="H879" s="8" t="s">
        <v>374</v>
      </c>
      <c r="I879" s="8">
        <v>0.8</v>
      </c>
      <c r="J879" s="8">
        <v>13.0</v>
      </c>
      <c r="K879" s="8">
        <v>43.0</v>
      </c>
      <c r="L879" s="8">
        <v>0.302325581</v>
      </c>
      <c r="M879" s="8">
        <v>43.0</v>
      </c>
      <c r="N879" s="8">
        <v>-0.836248024</v>
      </c>
      <c r="O879" s="8">
        <v>0.84</v>
      </c>
      <c r="P879" s="8" t="s">
        <v>368</v>
      </c>
    </row>
    <row r="880">
      <c r="A880" s="8" t="s">
        <v>480</v>
      </c>
      <c r="B880" s="8">
        <v>2011.0</v>
      </c>
      <c r="C880" s="8" t="s">
        <v>373</v>
      </c>
      <c r="D880" s="8" t="s">
        <v>381</v>
      </c>
      <c r="E880" s="8">
        <v>2030.0</v>
      </c>
      <c r="F880" s="8" t="s">
        <v>34</v>
      </c>
      <c r="G880" s="8" t="s">
        <v>42</v>
      </c>
      <c r="H880" s="8" t="s">
        <v>374</v>
      </c>
      <c r="I880" s="8">
        <v>1.0</v>
      </c>
      <c r="J880" s="8">
        <v>7.0</v>
      </c>
      <c r="K880" s="8">
        <v>43.0</v>
      </c>
      <c r="L880" s="8">
        <v>0.162790698</v>
      </c>
      <c r="M880" s="8">
        <v>43.0</v>
      </c>
      <c r="N880" s="8">
        <v>-1.637608789</v>
      </c>
      <c r="O880" s="8">
        <v>1.15</v>
      </c>
      <c r="P880" s="8" t="s">
        <v>368</v>
      </c>
    </row>
    <row r="881">
      <c r="A881" s="8" t="s">
        <v>480</v>
      </c>
      <c r="B881" s="8">
        <v>2011.0</v>
      </c>
      <c r="C881" s="8" t="s">
        <v>373</v>
      </c>
      <c r="D881" s="8" t="s">
        <v>381</v>
      </c>
      <c r="E881" s="8">
        <v>2030.0</v>
      </c>
      <c r="F881" s="8" t="s">
        <v>34</v>
      </c>
      <c r="G881" s="8" t="s">
        <v>42</v>
      </c>
      <c r="H881" s="8" t="s">
        <v>374</v>
      </c>
      <c r="I881" s="8">
        <v>0.95</v>
      </c>
      <c r="J881" s="8">
        <v>9.0</v>
      </c>
      <c r="K881" s="8">
        <v>43.0</v>
      </c>
      <c r="L881" s="8">
        <v>0.209302326</v>
      </c>
      <c r="M881" s="8">
        <v>43.0</v>
      </c>
      <c r="N881" s="8">
        <v>-1.329135947</v>
      </c>
      <c r="O881" s="8">
        <v>1.15</v>
      </c>
      <c r="P881" s="8" t="s">
        <v>368</v>
      </c>
    </row>
    <row r="882">
      <c r="A882" s="8" t="s">
        <v>480</v>
      </c>
      <c r="B882" s="8">
        <v>2011.0</v>
      </c>
      <c r="C882" s="8" t="s">
        <v>373</v>
      </c>
      <c r="D882" s="8" t="s">
        <v>381</v>
      </c>
      <c r="E882" s="8">
        <v>2030.0</v>
      </c>
      <c r="F882" s="8" t="s">
        <v>34</v>
      </c>
      <c r="G882" s="8" t="s">
        <v>42</v>
      </c>
      <c r="H882" s="8" t="s">
        <v>374</v>
      </c>
      <c r="I882" s="8">
        <v>0.8</v>
      </c>
      <c r="J882" s="8">
        <v>13.0</v>
      </c>
      <c r="K882" s="8">
        <v>43.0</v>
      </c>
      <c r="L882" s="8">
        <v>0.302325581</v>
      </c>
      <c r="M882" s="8">
        <v>43.0</v>
      </c>
      <c r="N882" s="8">
        <v>-0.836248024</v>
      </c>
      <c r="O882" s="8">
        <v>1.15</v>
      </c>
      <c r="P882" s="8" t="s">
        <v>368</v>
      </c>
    </row>
    <row r="883">
      <c r="A883" s="8" t="s">
        <v>480</v>
      </c>
      <c r="B883" s="8">
        <v>2011.0</v>
      </c>
      <c r="C883" s="8" t="s">
        <v>373</v>
      </c>
      <c r="D883" s="8" t="s">
        <v>381</v>
      </c>
      <c r="E883" s="8">
        <v>2030.0</v>
      </c>
      <c r="F883" s="8" t="s">
        <v>34</v>
      </c>
      <c r="G883" s="8" t="s">
        <v>42</v>
      </c>
      <c r="H883" s="8" t="s">
        <v>374</v>
      </c>
      <c r="I883" s="8">
        <v>1.0</v>
      </c>
      <c r="J883" s="8">
        <v>9.0</v>
      </c>
      <c r="K883" s="8">
        <v>43.0</v>
      </c>
      <c r="L883" s="8">
        <v>0.209302326</v>
      </c>
      <c r="M883" s="8">
        <v>43.0</v>
      </c>
      <c r="N883" s="8">
        <v>-1.329135947</v>
      </c>
      <c r="O883" s="8">
        <v>1.54</v>
      </c>
      <c r="P883" s="8" t="s">
        <v>368</v>
      </c>
    </row>
    <row r="884">
      <c r="A884" s="8" t="s">
        <v>480</v>
      </c>
      <c r="B884" s="8">
        <v>2011.0</v>
      </c>
      <c r="C884" s="8" t="s">
        <v>373</v>
      </c>
      <c r="D884" s="8" t="s">
        <v>381</v>
      </c>
      <c r="E884" s="8">
        <v>2030.0</v>
      </c>
      <c r="F884" s="8" t="s">
        <v>34</v>
      </c>
      <c r="G884" s="8" t="s">
        <v>42</v>
      </c>
      <c r="H884" s="8" t="s">
        <v>374</v>
      </c>
      <c r="I884" s="8">
        <v>0.95</v>
      </c>
      <c r="J884" s="8">
        <v>12.0</v>
      </c>
      <c r="K884" s="8">
        <v>43.0</v>
      </c>
      <c r="L884" s="8">
        <v>0.279069767</v>
      </c>
      <c r="M884" s="8">
        <v>43.0</v>
      </c>
      <c r="N884" s="8">
        <v>-0.949080555</v>
      </c>
      <c r="O884" s="8">
        <v>1.54</v>
      </c>
      <c r="P884" s="8" t="s">
        <v>368</v>
      </c>
    </row>
    <row r="885">
      <c r="A885" s="8" t="s">
        <v>480</v>
      </c>
      <c r="B885" s="8">
        <v>2011.0</v>
      </c>
      <c r="C885" s="8" t="s">
        <v>373</v>
      </c>
      <c r="D885" s="8" t="s">
        <v>381</v>
      </c>
      <c r="E885" s="8">
        <v>2030.0</v>
      </c>
      <c r="F885" s="8" t="s">
        <v>34</v>
      </c>
      <c r="G885" s="8" t="s">
        <v>42</v>
      </c>
      <c r="H885" s="8" t="s">
        <v>374</v>
      </c>
      <c r="I885" s="8">
        <v>0.8</v>
      </c>
      <c r="J885" s="8">
        <v>13.0</v>
      </c>
      <c r="K885" s="8">
        <v>43.0</v>
      </c>
      <c r="L885" s="8">
        <v>0.302325581</v>
      </c>
      <c r="M885" s="8">
        <v>43.0</v>
      </c>
      <c r="N885" s="8">
        <v>-0.836248024</v>
      </c>
      <c r="O885" s="8">
        <v>1.54</v>
      </c>
      <c r="P885" s="8" t="s">
        <v>368</v>
      </c>
    </row>
    <row r="886">
      <c r="A886" s="8" t="s">
        <v>481</v>
      </c>
      <c r="B886" s="8">
        <v>2011.0</v>
      </c>
      <c r="C886" s="8" t="s">
        <v>365</v>
      </c>
      <c r="D886" s="8" t="s">
        <v>377</v>
      </c>
      <c r="E886" s="8">
        <v>2095.0</v>
      </c>
      <c r="F886" s="8" t="s">
        <v>41</v>
      </c>
      <c r="G886" s="8" t="s">
        <v>42</v>
      </c>
      <c r="H886" s="8" t="s">
        <v>391</v>
      </c>
      <c r="I886" s="8">
        <v>1.0</v>
      </c>
      <c r="J886" s="8">
        <v>3.0</v>
      </c>
      <c r="K886" s="8">
        <v>15.0</v>
      </c>
      <c r="L886" s="8">
        <v>0.2</v>
      </c>
      <c r="M886" s="8">
        <v>15.0</v>
      </c>
      <c r="N886" s="8">
        <v>-1.386294361</v>
      </c>
      <c r="O886" s="8">
        <v>2.0</v>
      </c>
      <c r="P886" s="8" t="s">
        <v>368</v>
      </c>
    </row>
    <row r="887">
      <c r="A887" s="8" t="s">
        <v>481</v>
      </c>
      <c r="B887" s="8">
        <v>2011.0</v>
      </c>
      <c r="C887" s="8" t="s">
        <v>365</v>
      </c>
      <c r="D887" s="8" t="s">
        <v>377</v>
      </c>
      <c r="E887" s="8">
        <v>2095.0</v>
      </c>
      <c r="F887" s="8" t="s">
        <v>41</v>
      </c>
      <c r="G887" s="8" t="s">
        <v>42</v>
      </c>
      <c r="H887" s="8" t="s">
        <v>391</v>
      </c>
      <c r="I887" s="8">
        <v>1.0</v>
      </c>
      <c r="J887" s="8">
        <v>3.0</v>
      </c>
      <c r="K887" s="8">
        <v>15.0</v>
      </c>
      <c r="L887" s="8">
        <v>0.2</v>
      </c>
      <c r="M887" s="8">
        <v>15.0</v>
      </c>
      <c r="N887" s="8">
        <v>-1.386294361</v>
      </c>
      <c r="O887" s="8">
        <v>3.2</v>
      </c>
      <c r="P887" s="8" t="s">
        <v>368</v>
      </c>
    </row>
    <row r="888">
      <c r="A888" s="8" t="s">
        <v>482</v>
      </c>
      <c r="B888" s="8">
        <v>2012.0</v>
      </c>
      <c r="C888" s="8" t="s">
        <v>77</v>
      </c>
      <c r="D888" s="8" t="s">
        <v>376</v>
      </c>
      <c r="E888" s="8">
        <v>2085.0</v>
      </c>
      <c r="F888" s="8" t="s">
        <v>41</v>
      </c>
      <c r="G888" s="8" t="s">
        <v>42</v>
      </c>
      <c r="H888" s="8" t="s">
        <v>374</v>
      </c>
      <c r="I888" s="8">
        <v>1.0</v>
      </c>
      <c r="J888" s="8">
        <v>21.0</v>
      </c>
      <c r="K888" s="8">
        <v>199.0</v>
      </c>
      <c r="L888" s="8">
        <v>0.105527638</v>
      </c>
      <c r="M888" s="8">
        <v>199.0</v>
      </c>
      <c r="N888" s="8">
        <v>-2.137261113</v>
      </c>
      <c r="O888" s="8">
        <v>3.05</v>
      </c>
      <c r="P888" s="8" t="s">
        <v>368</v>
      </c>
    </row>
    <row r="889">
      <c r="A889" s="8" t="s">
        <v>482</v>
      </c>
      <c r="B889" s="8">
        <v>2012.0</v>
      </c>
      <c r="C889" s="8" t="s">
        <v>77</v>
      </c>
      <c r="D889" s="8" t="s">
        <v>376</v>
      </c>
      <c r="E889" s="8">
        <v>2085.0</v>
      </c>
      <c r="F889" s="8" t="s">
        <v>41</v>
      </c>
      <c r="G889" s="8" t="s">
        <v>42</v>
      </c>
      <c r="H889" s="8" t="s">
        <v>374</v>
      </c>
      <c r="I889" s="8">
        <v>0.95</v>
      </c>
      <c r="J889" s="8">
        <v>43.0</v>
      </c>
      <c r="K889" s="8">
        <v>199.0</v>
      </c>
      <c r="L889" s="8">
        <v>0.216080402</v>
      </c>
      <c r="M889" s="8">
        <v>199.0</v>
      </c>
      <c r="N889" s="8">
        <v>-1.288655892</v>
      </c>
      <c r="O889" s="8">
        <v>3.05</v>
      </c>
      <c r="P889" s="8" t="s">
        <v>368</v>
      </c>
    </row>
    <row r="890">
      <c r="A890" s="8" t="s">
        <v>482</v>
      </c>
      <c r="B890" s="8">
        <v>2012.0</v>
      </c>
      <c r="C890" s="8" t="s">
        <v>77</v>
      </c>
      <c r="D890" s="8" t="s">
        <v>376</v>
      </c>
      <c r="E890" s="8">
        <v>2085.0</v>
      </c>
      <c r="F890" s="8" t="s">
        <v>41</v>
      </c>
      <c r="G890" s="8" t="s">
        <v>42</v>
      </c>
      <c r="H890" s="8" t="s">
        <v>374</v>
      </c>
      <c r="I890" s="8">
        <v>0.8</v>
      </c>
      <c r="J890" s="8">
        <v>74.0</v>
      </c>
      <c r="K890" s="8">
        <v>199.0</v>
      </c>
      <c r="L890" s="8">
        <v>0.371859296</v>
      </c>
      <c r="M890" s="8">
        <v>199.0</v>
      </c>
      <c r="N890" s="8">
        <v>-0.524248644</v>
      </c>
      <c r="O890" s="8">
        <v>3.05</v>
      </c>
      <c r="P890" s="8" t="s">
        <v>368</v>
      </c>
    </row>
    <row r="891">
      <c r="A891" s="8" t="s">
        <v>482</v>
      </c>
      <c r="B891" s="8">
        <v>2012.0</v>
      </c>
      <c r="C891" s="8" t="s">
        <v>77</v>
      </c>
      <c r="D891" s="8" t="s">
        <v>376</v>
      </c>
      <c r="E891" s="8">
        <v>2085.0</v>
      </c>
      <c r="F891" s="8" t="s">
        <v>41</v>
      </c>
      <c r="G891" s="8" t="s">
        <v>42</v>
      </c>
      <c r="H891" s="8" t="s">
        <v>374</v>
      </c>
      <c r="I891" s="8">
        <v>1.0</v>
      </c>
      <c r="J891" s="8">
        <v>24.0</v>
      </c>
      <c r="K891" s="8">
        <v>199.0</v>
      </c>
      <c r="L891" s="8">
        <v>0.120603015</v>
      </c>
      <c r="M891" s="8">
        <v>199.0</v>
      </c>
      <c r="N891" s="8">
        <v>-1.986732144</v>
      </c>
      <c r="O891" s="8">
        <v>3.3</v>
      </c>
      <c r="P891" s="8" t="s">
        <v>368</v>
      </c>
    </row>
    <row r="892">
      <c r="A892" s="8" t="s">
        <v>482</v>
      </c>
      <c r="B892" s="8">
        <v>2012.0</v>
      </c>
      <c r="C892" s="8" t="s">
        <v>77</v>
      </c>
      <c r="D892" s="8" t="s">
        <v>376</v>
      </c>
      <c r="E892" s="8">
        <v>2085.0</v>
      </c>
      <c r="F892" s="8" t="s">
        <v>41</v>
      </c>
      <c r="G892" s="8" t="s">
        <v>42</v>
      </c>
      <c r="H892" s="8" t="s">
        <v>374</v>
      </c>
      <c r="I892" s="8">
        <v>0.95</v>
      </c>
      <c r="J892" s="8">
        <v>31.0</v>
      </c>
      <c r="K892" s="8">
        <v>199.0</v>
      </c>
      <c r="L892" s="8">
        <v>0.155778894</v>
      </c>
      <c r="M892" s="8">
        <v>199.0</v>
      </c>
      <c r="N892" s="8">
        <v>-1.689976775</v>
      </c>
      <c r="O892" s="8">
        <v>3.3</v>
      </c>
      <c r="P892" s="8" t="s">
        <v>368</v>
      </c>
    </row>
    <row r="893">
      <c r="A893" s="8" t="s">
        <v>482</v>
      </c>
      <c r="B893" s="8">
        <v>2012.0</v>
      </c>
      <c r="C893" s="8" t="s">
        <v>77</v>
      </c>
      <c r="D893" s="8" t="s">
        <v>376</v>
      </c>
      <c r="E893" s="8">
        <v>2085.0</v>
      </c>
      <c r="F893" s="8" t="s">
        <v>41</v>
      </c>
      <c r="G893" s="8" t="s">
        <v>42</v>
      </c>
      <c r="H893" s="8" t="s">
        <v>374</v>
      </c>
      <c r="I893" s="8">
        <v>0.8</v>
      </c>
      <c r="J893" s="8">
        <v>54.0</v>
      </c>
      <c r="K893" s="8">
        <v>199.0</v>
      </c>
      <c r="L893" s="8">
        <v>0.271356784</v>
      </c>
      <c r="M893" s="8">
        <v>199.0</v>
      </c>
      <c r="N893" s="8">
        <v>-0.987749696</v>
      </c>
      <c r="O893" s="8">
        <v>3.3</v>
      </c>
      <c r="P893" s="8" t="s">
        <v>368</v>
      </c>
    </row>
    <row r="894">
      <c r="A894" s="8" t="s">
        <v>482</v>
      </c>
      <c r="B894" s="8">
        <v>2012.0</v>
      </c>
      <c r="C894" s="8" t="s">
        <v>77</v>
      </c>
      <c r="D894" s="8" t="s">
        <v>376</v>
      </c>
      <c r="E894" s="8">
        <v>2085.0</v>
      </c>
      <c r="F894" s="8" t="s">
        <v>41</v>
      </c>
      <c r="G894" s="8" t="s">
        <v>42</v>
      </c>
      <c r="H894" s="8" t="s">
        <v>374</v>
      </c>
      <c r="I894" s="8">
        <v>1.0</v>
      </c>
      <c r="J894" s="8">
        <v>21.0</v>
      </c>
      <c r="K894" s="8">
        <v>199.0</v>
      </c>
      <c r="L894" s="8">
        <v>0.105527638</v>
      </c>
      <c r="M894" s="8">
        <v>199.0</v>
      </c>
      <c r="N894" s="8">
        <v>-2.137261113</v>
      </c>
      <c r="O894" s="8">
        <v>2.7</v>
      </c>
      <c r="P894" s="8" t="s">
        <v>368</v>
      </c>
    </row>
    <row r="895">
      <c r="A895" s="8" t="s">
        <v>482</v>
      </c>
      <c r="B895" s="8">
        <v>2012.0</v>
      </c>
      <c r="C895" s="8" t="s">
        <v>77</v>
      </c>
      <c r="D895" s="8" t="s">
        <v>376</v>
      </c>
      <c r="E895" s="8">
        <v>2085.0</v>
      </c>
      <c r="F895" s="8" t="s">
        <v>41</v>
      </c>
      <c r="G895" s="8" t="s">
        <v>42</v>
      </c>
      <c r="H895" s="8" t="s">
        <v>374</v>
      </c>
      <c r="I895" s="8">
        <v>0.95</v>
      </c>
      <c r="J895" s="8">
        <v>27.0</v>
      </c>
      <c r="K895" s="8">
        <v>199.0</v>
      </c>
      <c r="L895" s="8">
        <v>0.135678392</v>
      </c>
      <c r="M895" s="8">
        <v>199.0</v>
      </c>
      <c r="N895" s="8">
        <v>-1.851657611</v>
      </c>
      <c r="O895" s="8">
        <v>2.7</v>
      </c>
      <c r="P895" s="8" t="s">
        <v>368</v>
      </c>
    </row>
    <row r="896">
      <c r="A896" s="8" t="s">
        <v>482</v>
      </c>
      <c r="B896" s="8">
        <v>2012.0</v>
      </c>
      <c r="C896" s="8" t="s">
        <v>77</v>
      </c>
      <c r="D896" s="8" t="s">
        <v>376</v>
      </c>
      <c r="E896" s="8">
        <v>2085.0</v>
      </c>
      <c r="F896" s="8" t="s">
        <v>41</v>
      </c>
      <c r="G896" s="8" t="s">
        <v>42</v>
      </c>
      <c r="H896" s="8" t="s">
        <v>374</v>
      </c>
      <c r="I896" s="8">
        <v>0.8</v>
      </c>
      <c r="J896" s="8">
        <v>34.0</v>
      </c>
      <c r="K896" s="8">
        <v>199.0</v>
      </c>
      <c r="L896" s="8">
        <v>0.170854271</v>
      </c>
      <c r="M896" s="8">
        <v>199.0</v>
      </c>
      <c r="N896" s="8">
        <v>-1.579584949</v>
      </c>
      <c r="O896" s="8">
        <v>2.7</v>
      </c>
      <c r="P896" s="8" t="s">
        <v>368</v>
      </c>
    </row>
    <row r="897">
      <c r="A897" s="8" t="s">
        <v>482</v>
      </c>
      <c r="B897" s="8">
        <v>2012.0</v>
      </c>
      <c r="C897" s="8" t="s">
        <v>77</v>
      </c>
      <c r="D897" s="8" t="s">
        <v>376</v>
      </c>
      <c r="E897" s="8">
        <v>2085.0</v>
      </c>
      <c r="F897" s="8" t="s">
        <v>41</v>
      </c>
      <c r="G897" s="8" t="s">
        <v>42</v>
      </c>
      <c r="H897" s="8" t="s">
        <v>367</v>
      </c>
      <c r="I897" s="8">
        <v>1.0</v>
      </c>
      <c r="J897" s="8">
        <v>23.0</v>
      </c>
      <c r="K897" s="8">
        <v>199.0</v>
      </c>
      <c r="L897" s="8">
        <v>0.115577889</v>
      </c>
      <c r="M897" s="8">
        <v>199.0</v>
      </c>
      <c r="N897" s="8">
        <v>-2.034989779</v>
      </c>
      <c r="O897" s="8">
        <v>3.05</v>
      </c>
      <c r="P897" s="8" t="s">
        <v>368</v>
      </c>
    </row>
    <row r="898">
      <c r="A898" s="8" t="s">
        <v>482</v>
      </c>
      <c r="B898" s="8">
        <v>2012.0</v>
      </c>
      <c r="C898" s="8" t="s">
        <v>77</v>
      </c>
      <c r="D898" s="8" t="s">
        <v>376</v>
      </c>
      <c r="E898" s="8">
        <v>2085.0</v>
      </c>
      <c r="F898" s="8" t="s">
        <v>41</v>
      </c>
      <c r="G898" s="8" t="s">
        <v>42</v>
      </c>
      <c r="H898" s="8" t="s">
        <v>367</v>
      </c>
      <c r="I898" s="8">
        <v>0.95</v>
      </c>
      <c r="J898" s="8">
        <v>46.0</v>
      </c>
      <c r="K898" s="8">
        <v>199.0</v>
      </c>
      <c r="L898" s="8">
        <v>0.231155779</v>
      </c>
      <c r="M898" s="8">
        <v>199.0</v>
      </c>
      <c r="N898" s="8">
        <v>-1.201796525</v>
      </c>
      <c r="O898" s="8">
        <v>3.05</v>
      </c>
      <c r="P898" s="8" t="s">
        <v>368</v>
      </c>
    </row>
    <row r="899">
      <c r="A899" s="8" t="s">
        <v>482</v>
      </c>
      <c r="B899" s="8">
        <v>2012.0</v>
      </c>
      <c r="C899" s="8" t="s">
        <v>77</v>
      </c>
      <c r="D899" s="8" t="s">
        <v>376</v>
      </c>
      <c r="E899" s="8">
        <v>2085.0</v>
      </c>
      <c r="F899" s="8" t="s">
        <v>41</v>
      </c>
      <c r="G899" s="8" t="s">
        <v>42</v>
      </c>
      <c r="H899" s="8" t="s">
        <v>367</v>
      </c>
      <c r="I899" s="8">
        <v>0.8</v>
      </c>
      <c r="J899" s="8">
        <v>84.0</v>
      </c>
      <c r="K899" s="8">
        <v>199.0</v>
      </c>
      <c r="L899" s="8">
        <v>0.422110553</v>
      </c>
      <c r="M899" s="8">
        <v>199.0</v>
      </c>
      <c r="N899" s="8">
        <v>-0.31411533</v>
      </c>
      <c r="O899" s="8">
        <v>3.05</v>
      </c>
      <c r="P899" s="8" t="s">
        <v>368</v>
      </c>
    </row>
    <row r="900">
      <c r="A900" s="8" t="s">
        <v>482</v>
      </c>
      <c r="B900" s="8">
        <v>2012.0</v>
      </c>
      <c r="C900" s="8" t="s">
        <v>77</v>
      </c>
      <c r="D900" s="8" t="s">
        <v>376</v>
      </c>
      <c r="E900" s="8">
        <v>2085.0</v>
      </c>
      <c r="F900" s="8" t="s">
        <v>41</v>
      </c>
      <c r="G900" s="8" t="s">
        <v>42</v>
      </c>
      <c r="H900" s="8" t="s">
        <v>367</v>
      </c>
      <c r="I900" s="8">
        <v>1.0</v>
      </c>
      <c r="J900" s="8">
        <v>25.0</v>
      </c>
      <c r="K900" s="8">
        <v>199.0</v>
      </c>
      <c r="L900" s="8">
        <v>0.125628141</v>
      </c>
      <c r="M900" s="8">
        <v>199.0</v>
      </c>
      <c r="N900" s="8">
        <v>-1.940179474</v>
      </c>
      <c r="O900" s="8">
        <v>3.3</v>
      </c>
      <c r="P900" s="8" t="s">
        <v>368</v>
      </c>
    </row>
    <row r="901">
      <c r="A901" s="8" t="s">
        <v>482</v>
      </c>
      <c r="B901" s="8">
        <v>2012.0</v>
      </c>
      <c r="C901" s="8" t="s">
        <v>77</v>
      </c>
      <c r="D901" s="8" t="s">
        <v>376</v>
      </c>
      <c r="E901" s="8">
        <v>2085.0</v>
      </c>
      <c r="F901" s="8" t="s">
        <v>41</v>
      </c>
      <c r="G901" s="8" t="s">
        <v>42</v>
      </c>
      <c r="H901" s="8" t="s">
        <v>367</v>
      </c>
      <c r="I901" s="8">
        <v>0.95</v>
      </c>
      <c r="J901" s="8">
        <v>33.0</v>
      </c>
      <c r="K901" s="8">
        <v>199.0</v>
      </c>
      <c r="L901" s="8">
        <v>0.165829146</v>
      </c>
      <c r="M901" s="8">
        <v>199.0</v>
      </c>
      <c r="N901" s="8">
        <v>-1.615480227</v>
      </c>
      <c r="O901" s="8">
        <v>3.3</v>
      </c>
      <c r="P901" s="8" t="s">
        <v>368</v>
      </c>
    </row>
    <row r="902">
      <c r="A902" s="8" t="s">
        <v>482</v>
      </c>
      <c r="B902" s="8">
        <v>2012.0</v>
      </c>
      <c r="C902" s="8" t="s">
        <v>77</v>
      </c>
      <c r="D902" s="8" t="s">
        <v>376</v>
      </c>
      <c r="E902" s="8">
        <v>2085.0</v>
      </c>
      <c r="F902" s="8" t="s">
        <v>41</v>
      </c>
      <c r="G902" s="8" t="s">
        <v>42</v>
      </c>
      <c r="H902" s="8" t="s">
        <v>367</v>
      </c>
      <c r="I902" s="8">
        <v>0.8</v>
      </c>
      <c r="J902" s="8">
        <v>59.0</v>
      </c>
      <c r="K902" s="8">
        <v>199.0</v>
      </c>
      <c r="L902" s="8">
        <v>0.296482412</v>
      </c>
      <c r="M902" s="8">
        <v>199.0</v>
      </c>
      <c r="N902" s="8">
        <v>-0.864104979</v>
      </c>
      <c r="O902" s="8">
        <v>3.3</v>
      </c>
      <c r="P902" s="8" t="s">
        <v>368</v>
      </c>
    </row>
    <row r="903">
      <c r="A903" s="8" t="s">
        <v>482</v>
      </c>
      <c r="B903" s="8">
        <v>2012.0</v>
      </c>
      <c r="C903" s="8" t="s">
        <v>77</v>
      </c>
      <c r="D903" s="8" t="s">
        <v>376</v>
      </c>
      <c r="E903" s="8">
        <v>2085.0</v>
      </c>
      <c r="F903" s="8" t="s">
        <v>41</v>
      </c>
      <c r="G903" s="8" t="s">
        <v>42</v>
      </c>
      <c r="H903" s="8" t="s">
        <v>367</v>
      </c>
      <c r="I903" s="8">
        <v>1.0</v>
      </c>
      <c r="J903" s="8">
        <v>22.0</v>
      </c>
      <c r="K903" s="8">
        <v>199.0</v>
      </c>
      <c r="L903" s="8">
        <v>0.110552764</v>
      </c>
      <c r="M903" s="8">
        <v>199.0</v>
      </c>
      <c r="N903" s="8">
        <v>-2.085107279</v>
      </c>
      <c r="O903" s="8">
        <v>2.7</v>
      </c>
      <c r="P903" s="8" t="s">
        <v>368</v>
      </c>
    </row>
    <row r="904">
      <c r="A904" s="8" t="s">
        <v>482</v>
      </c>
      <c r="B904" s="8">
        <v>2012.0</v>
      </c>
      <c r="C904" s="8" t="s">
        <v>77</v>
      </c>
      <c r="D904" s="8" t="s">
        <v>376</v>
      </c>
      <c r="E904" s="8">
        <v>2085.0</v>
      </c>
      <c r="F904" s="8" t="s">
        <v>41</v>
      </c>
      <c r="G904" s="8" t="s">
        <v>42</v>
      </c>
      <c r="H904" s="8" t="s">
        <v>367</v>
      </c>
      <c r="I904" s="8">
        <v>0.95</v>
      </c>
      <c r="J904" s="8">
        <v>28.0</v>
      </c>
      <c r="K904" s="8">
        <v>199.0</v>
      </c>
      <c r="L904" s="8">
        <v>0.140703518</v>
      </c>
      <c r="M904" s="8">
        <v>199.0</v>
      </c>
      <c r="N904" s="8">
        <v>-1.809459046</v>
      </c>
      <c r="O904" s="8">
        <v>2.7</v>
      </c>
      <c r="P904" s="8" t="s">
        <v>368</v>
      </c>
    </row>
    <row r="905">
      <c r="A905" s="8" t="s">
        <v>482</v>
      </c>
      <c r="B905" s="8">
        <v>2012.0</v>
      </c>
      <c r="C905" s="8" t="s">
        <v>77</v>
      </c>
      <c r="D905" s="8" t="s">
        <v>376</v>
      </c>
      <c r="E905" s="8">
        <v>2085.0</v>
      </c>
      <c r="F905" s="8" t="s">
        <v>41</v>
      </c>
      <c r="G905" s="8" t="s">
        <v>42</v>
      </c>
      <c r="H905" s="8" t="s">
        <v>367</v>
      </c>
      <c r="I905" s="8">
        <v>0.8</v>
      </c>
      <c r="J905" s="8">
        <v>37.0</v>
      </c>
      <c r="K905" s="8">
        <v>199.0</v>
      </c>
      <c r="L905" s="8">
        <v>0.185929648</v>
      </c>
      <c r="M905" s="8">
        <v>199.0</v>
      </c>
      <c r="N905" s="8">
        <v>-1.476678423</v>
      </c>
      <c r="O905" s="8">
        <v>2.7</v>
      </c>
      <c r="P905" s="8" t="s">
        <v>368</v>
      </c>
    </row>
    <row r="906">
      <c r="A906" s="8" t="s">
        <v>483</v>
      </c>
      <c r="B906" s="8">
        <v>2012.0</v>
      </c>
      <c r="C906" s="8" t="s">
        <v>437</v>
      </c>
      <c r="D906" s="8" t="s">
        <v>366</v>
      </c>
      <c r="E906" s="8">
        <v>2085.0</v>
      </c>
      <c r="F906" s="8" t="s">
        <v>41</v>
      </c>
      <c r="G906" s="8" t="s">
        <v>382</v>
      </c>
      <c r="H906" s="8" t="s">
        <v>416</v>
      </c>
      <c r="I906" s="8">
        <v>1.0</v>
      </c>
      <c r="J906" s="8">
        <v>28.0</v>
      </c>
      <c r="K906" s="8">
        <v>493.0</v>
      </c>
      <c r="L906" s="8">
        <v>0.056795132</v>
      </c>
      <c r="M906" s="8">
        <v>493.0</v>
      </c>
      <c r="N906" s="8">
        <v>-2.809832895</v>
      </c>
      <c r="O906" s="8">
        <v>3.3</v>
      </c>
      <c r="P906" s="8" t="s">
        <v>368</v>
      </c>
    </row>
    <row r="907">
      <c r="A907" s="8" t="s">
        <v>484</v>
      </c>
      <c r="B907" s="8">
        <v>2012.0</v>
      </c>
      <c r="C907" s="8" t="s">
        <v>32</v>
      </c>
      <c r="D907" s="8" t="s">
        <v>371</v>
      </c>
      <c r="E907" s="8">
        <v>2100.0</v>
      </c>
      <c r="F907" s="8" t="s">
        <v>41</v>
      </c>
      <c r="G907" s="8" t="s">
        <v>382</v>
      </c>
      <c r="H907" s="8" t="s">
        <v>374</v>
      </c>
      <c r="I907" s="8">
        <v>1.0</v>
      </c>
      <c r="J907" s="8">
        <v>0.0</v>
      </c>
      <c r="K907" s="8">
        <v>25.0</v>
      </c>
      <c r="L907" s="8">
        <v>0.0</v>
      </c>
      <c r="M907" s="8">
        <v>25.0</v>
      </c>
      <c r="N907" s="8">
        <v>-3.931825633</v>
      </c>
      <c r="O907" s="8">
        <v>3.42</v>
      </c>
      <c r="P907" s="8" t="s">
        <v>368</v>
      </c>
    </row>
    <row r="908">
      <c r="A908" s="8" t="s">
        <v>484</v>
      </c>
      <c r="B908" s="8">
        <v>2012.0</v>
      </c>
      <c r="C908" s="8" t="s">
        <v>32</v>
      </c>
      <c r="D908" s="8" t="s">
        <v>371</v>
      </c>
      <c r="E908" s="8">
        <v>2100.0</v>
      </c>
      <c r="F908" s="8" t="s">
        <v>41</v>
      </c>
      <c r="G908" s="8" t="s">
        <v>382</v>
      </c>
      <c r="H908" s="8" t="s">
        <v>416</v>
      </c>
      <c r="I908" s="8">
        <v>1.0</v>
      </c>
      <c r="J908" s="8">
        <v>5.0</v>
      </c>
      <c r="K908" s="8">
        <v>25.0</v>
      </c>
      <c r="L908" s="8">
        <v>0.2</v>
      </c>
      <c r="M908" s="8">
        <v>25.0</v>
      </c>
      <c r="N908" s="8">
        <v>-1.386294361</v>
      </c>
      <c r="O908" s="8">
        <v>3.42</v>
      </c>
      <c r="P908" s="8" t="s">
        <v>368</v>
      </c>
    </row>
    <row r="909">
      <c r="A909" s="8" t="s">
        <v>484</v>
      </c>
      <c r="B909" s="8">
        <v>2012.0</v>
      </c>
      <c r="C909" s="8" t="s">
        <v>32</v>
      </c>
      <c r="D909" s="8" t="s">
        <v>371</v>
      </c>
      <c r="E909" s="8">
        <v>2100.0</v>
      </c>
      <c r="F909" s="8" t="s">
        <v>41</v>
      </c>
      <c r="G909" s="8" t="s">
        <v>382</v>
      </c>
      <c r="H909" s="8" t="s">
        <v>416</v>
      </c>
      <c r="I909" s="8">
        <v>1.0</v>
      </c>
      <c r="J909" s="8">
        <v>6.0</v>
      </c>
      <c r="K909" s="8">
        <v>25.0</v>
      </c>
      <c r="L909" s="8">
        <v>0.24</v>
      </c>
      <c r="M909" s="8">
        <v>25.0</v>
      </c>
      <c r="N909" s="8">
        <v>-1.15267951</v>
      </c>
      <c r="O909" s="8">
        <v>3.42</v>
      </c>
      <c r="P909" s="8" t="s">
        <v>368</v>
      </c>
    </row>
    <row r="910">
      <c r="A910" s="8" t="s">
        <v>484</v>
      </c>
      <c r="B910" s="8">
        <v>2012.0</v>
      </c>
      <c r="C910" s="8" t="s">
        <v>32</v>
      </c>
      <c r="D910" s="8" t="s">
        <v>371</v>
      </c>
      <c r="E910" s="8">
        <v>2100.0</v>
      </c>
      <c r="F910" s="8" t="s">
        <v>41</v>
      </c>
      <c r="G910" s="8" t="s">
        <v>382</v>
      </c>
      <c r="H910" s="8" t="s">
        <v>367</v>
      </c>
      <c r="I910" s="8">
        <v>1.0</v>
      </c>
      <c r="J910" s="8">
        <v>9.0</v>
      </c>
      <c r="K910" s="8">
        <v>25.0</v>
      </c>
      <c r="L910" s="8">
        <v>0.36</v>
      </c>
      <c r="M910" s="8">
        <v>25.0</v>
      </c>
      <c r="N910" s="8">
        <v>-0.575364145</v>
      </c>
      <c r="O910" s="8">
        <v>3.42</v>
      </c>
      <c r="P910" s="8" t="s">
        <v>368</v>
      </c>
    </row>
    <row r="911">
      <c r="A911" s="8" t="s">
        <v>484</v>
      </c>
      <c r="B911" s="8">
        <v>2012.0</v>
      </c>
      <c r="C911" s="8" t="s">
        <v>32</v>
      </c>
      <c r="D911" s="8" t="s">
        <v>371</v>
      </c>
      <c r="E911" s="8">
        <v>2100.0</v>
      </c>
      <c r="F911" s="8" t="s">
        <v>41</v>
      </c>
      <c r="G911" s="8" t="s">
        <v>382</v>
      </c>
      <c r="H911" s="8" t="s">
        <v>374</v>
      </c>
      <c r="I911" s="8">
        <v>0.8</v>
      </c>
      <c r="J911" s="8">
        <v>17.0</v>
      </c>
      <c r="K911" s="8">
        <v>25.0</v>
      </c>
      <c r="L911" s="8">
        <v>0.68</v>
      </c>
      <c r="M911" s="8">
        <v>25.0</v>
      </c>
      <c r="N911" s="8">
        <v>0.753771802</v>
      </c>
      <c r="O911" s="8">
        <v>3.42</v>
      </c>
      <c r="P911" s="8" t="s">
        <v>368</v>
      </c>
    </row>
    <row r="912">
      <c r="A912" s="8" t="s">
        <v>484</v>
      </c>
      <c r="B912" s="8">
        <v>2012.0</v>
      </c>
      <c r="C912" s="8" t="s">
        <v>32</v>
      </c>
      <c r="D912" s="8" t="s">
        <v>371</v>
      </c>
      <c r="E912" s="8">
        <v>2100.0</v>
      </c>
      <c r="F912" s="8" t="s">
        <v>41</v>
      </c>
      <c r="G912" s="8" t="s">
        <v>382</v>
      </c>
      <c r="H912" s="8" t="s">
        <v>416</v>
      </c>
      <c r="I912" s="8">
        <v>0.8</v>
      </c>
      <c r="J912" s="8">
        <v>17.0</v>
      </c>
      <c r="K912" s="8">
        <v>25.0</v>
      </c>
      <c r="L912" s="8">
        <v>0.68</v>
      </c>
      <c r="M912" s="8">
        <v>25.0</v>
      </c>
      <c r="N912" s="8">
        <v>0.753771802</v>
      </c>
      <c r="O912" s="8">
        <v>3.42</v>
      </c>
      <c r="P912" s="8" t="s">
        <v>368</v>
      </c>
    </row>
    <row r="913">
      <c r="A913" s="8" t="s">
        <v>484</v>
      </c>
      <c r="B913" s="8">
        <v>2012.0</v>
      </c>
      <c r="C913" s="8" t="s">
        <v>32</v>
      </c>
      <c r="D913" s="8" t="s">
        <v>371</v>
      </c>
      <c r="E913" s="8">
        <v>2100.0</v>
      </c>
      <c r="F913" s="8" t="s">
        <v>41</v>
      </c>
      <c r="G913" s="8" t="s">
        <v>382</v>
      </c>
      <c r="H913" s="8" t="s">
        <v>416</v>
      </c>
      <c r="I913" s="8">
        <v>0.8</v>
      </c>
      <c r="J913" s="8">
        <v>18.0</v>
      </c>
      <c r="K913" s="8">
        <v>25.0</v>
      </c>
      <c r="L913" s="8">
        <v>0.72</v>
      </c>
      <c r="M913" s="8">
        <v>25.0</v>
      </c>
      <c r="N913" s="8">
        <v>0.944461609</v>
      </c>
      <c r="O913" s="8">
        <v>3.42</v>
      </c>
      <c r="P913" s="8" t="s">
        <v>368</v>
      </c>
    </row>
    <row r="914">
      <c r="A914" s="8" t="s">
        <v>484</v>
      </c>
      <c r="B914" s="8">
        <v>2012.0</v>
      </c>
      <c r="C914" s="8" t="s">
        <v>32</v>
      </c>
      <c r="D914" s="8" t="s">
        <v>371</v>
      </c>
      <c r="E914" s="8">
        <v>2100.0</v>
      </c>
      <c r="F914" s="8" t="s">
        <v>41</v>
      </c>
      <c r="G914" s="8" t="s">
        <v>382</v>
      </c>
      <c r="H914" s="8" t="s">
        <v>367</v>
      </c>
      <c r="I914" s="8">
        <v>0.8</v>
      </c>
      <c r="J914" s="8">
        <v>22.0</v>
      </c>
      <c r="K914" s="8">
        <v>25.0</v>
      </c>
      <c r="L914" s="8">
        <v>0.88</v>
      </c>
      <c r="M914" s="8">
        <v>25.0</v>
      </c>
      <c r="N914" s="8">
        <v>1.992430165</v>
      </c>
      <c r="O914" s="8">
        <v>3.42</v>
      </c>
      <c r="P914" s="8" t="s">
        <v>368</v>
      </c>
    </row>
    <row r="915">
      <c r="A915" s="8" t="s">
        <v>484</v>
      </c>
      <c r="B915" s="8">
        <v>2012.0</v>
      </c>
      <c r="C915" s="8" t="s">
        <v>32</v>
      </c>
      <c r="D915" s="8" t="s">
        <v>371</v>
      </c>
      <c r="E915" s="8">
        <v>2100.0</v>
      </c>
      <c r="F915" s="8" t="s">
        <v>34</v>
      </c>
      <c r="G915" s="8" t="s">
        <v>382</v>
      </c>
      <c r="H915" s="8" t="s">
        <v>374</v>
      </c>
      <c r="I915" s="8">
        <v>1.0</v>
      </c>
      <c r="J915" s="8">
        <v>0.0</v>
      </c>
      <c r="K915" s="8">
        <v>125.0</v>
      </c>
      <c r="L915" s="8">
        <v>0.0</v>
      </c>
      <c r="M915" s="8">
        <v>125.0</v>
      </c>
      <c r="N915" s="8">
        <v>-5.525452939</v>
      </c>
      <c r="O915" s="8">
        <v>3.42</v>
      </c>
      <c r="P915" s="8" t="s">
        <v>368</v>
      </c>
    </row>
    <row r="916">
      <c r="A916" s="8" t="s">
        <v>484</v>
      </c>
      <c r="B916" s="8">
        <v>2012.0</v>
      </c>
      <c r="C916" s="8" t="s">
        <v>32</v>
      </c>
      <c r="D916" s="8" t="s">
        <v>371</v>
      </c>
      <c r="E916" s="8">
        <v>2100.0</v>
      </c>
      <c r="F916" s="8" t="s">
        <v>34</v>
      </c>
      <c r="G916" s="8" t="s">
        <v>382</v>
      </c>
      <c r="H916" s="8" t="s">
        <v>416</v>
      </c>
      <c r="I916" s="8">
        <v>1.0</v>
      </c>
      <c r="J916" s="8">
        <v>3.0</v>
      </c>
      <c r="K916" s="8">
        <v>125.0</v>
      </c>
      <c r="L916" s="8">
        <v>0.024</v>
      </c>
      <c r="M916" s="8">
        <v>125.0</v>
      </c>
      <c r="N916" s="8">
        <v>-3.705408756</v>
      </c>
      <c r="O916" s="8">
        <v>3.42</v>
      </c>
      <c r="P916" s="8" t="s">
        <v>368</v>
      </c>
    </row>
    <row r="917">
      <c r="A917" s="8" t="s">
        <v>484</v>
      </c>
      <c r="B917" s="8">
        <v>2012.0</v>
      </c>
      <c r="C917" s="8" t="s">
        <v>32</v>
      </c>
      <c r="D917" s="8" t="s">
        <v>371</v>
      </c>
      <c r="E917" s="8">
        <v>2100.0</v>
      </c>
      <c r="F917" s="8" t="s">
        <v>34</v>
      </c>
      <c r="G917" s="8" t="s">
        <v>382</v>
      </c>
      <c r="H917" s="8" t="s">
        <v>416</v>
      </c>
      <c r="I917" s="8">
        <v>1.0</v>
      </c>
      <c r="J917" s="8">
        <v>5.0</v>
      </c>
      <c r="K917" s="8">
        <v>125.0</v>
      </c>
      <c r="L917" s="8">
        <v>0.04</v>
      </c>
      <c r="M917" s="8">
        <v>125.0</v>
      </c>
      <c r="N917" s="8">
        <v>-3.17805383</v>
      </c>
      <c r="O917" s="8">
        <v>3.42</v>
      </c>
      <c r="P917" s="8" t="s">
        <v>368</v>
      </c>
    </row>
    <row r="918">
      <c r="A918" s="8" t="s">
        <v>484</v>
      </c>
      <c r="B918" s="8">
        <v>2012.0</v>
      </c>
      <c r="C918" s="8" t="s">
        <v>32</v>
      </c>
      <c r="D918" s="8" t="s">
        <v>371</v>
      </c>
      <c r="E918" s="8">
        <v>2100.0</v>
      </c>
      <c r="F918" s="8" t="s">
        <v>34</v>
      </c>
      <c r="G918" s="8" t="s">
        <v>382</v>
      </c>
      <c r="H918" s="8" t="s">
        <v>367</v>
      </c>
      <c r="I918" s="8">
        <v>1.0</v>
      </c>
      <c r="J918" s="8">
        <v>6.0</v>
      </c>
      <c r="K918" s="8">
        <v>125.0</v>
      </c>
      <c r="L918" s="8">
        <v>0.048</v>
      </c>
      <c r="M918" s="8">
        <v>125.0</v>
      </c>
      <c r="N918" s="8">
        <v>-2.987364024</v>
      </c>
      <c r="O918" s="8">
        <v>3.42</v>
      </c>
      <c r="P918" s="8" t="s">
        <v>368</v>
      </c>
    </row>
    <row r="919">
      <c r="A919" s="8" t="s">
        <v>484</v>
      </c>
      <c r="B919" s="8">
        <v>2012.0</v>
      </c>
      <c r="C919" s="8" t="s">
        <v>32</v>
      </c>
      <c r="D919" s="8" t="s">
        <v>371</v>
      </c>
      <c r="E919" s="8">
        <v>2100.0</v>
      </c>
      <c r="F919" s="8" t="s">
        <v>34</v>
      </c>
      <c r="G919" s="8" t="s">
        <v>382</v>
      </c>
      <c r="H919" s="8" t="s">
        <v>374</v>
      </c>
      <c r="I919" s="8">
        <v>0.8</v>
      </c>
      <c r="J919" s="8">
        <v>34.0</v>
      </c>
      <c r="K919" s="8">
        <v>125.0</v>
      </c>
      <c r="L919" s="8">
        <v>0.272</v>
      </c>
      <c r="M919" s="8">
        <v>125.0</v>
      </c>
      <c r="N919" s="8">
        <v>-0.984498982</v>
      </c>
      <c r="O919" s="8">
        <v>3.42</v>
      </c>
      <c r="P919" s="8" t="s">
        <v>368</v>
      </c>
    </row>
    <row r="920">
      <c r="A920" s="8" t="s">
        <v>484</v>
      </c>
      <c r="B920" s="8">
        <v>2012.0</v>
      </c>
      <c r="C920" s="8" t="s">
        <v>32</v>
      </c>
      <c r="D920" s="8" t="s">
        <v>371</v>
      </c>
      <c r="E920" s="8">
        <v>2100.0</v>
      </c>
      <c r="F920" s="8" t="s">
        <v>34</v>
      </c>
      <c r="G920" s="8" t="s">
        <v>382</v>
      </c>
      <c r="H920" s="8" t="s">
        <v>416</v>
      </c>
      <c r="I920" s="8">
        <v>0.8</v>
      </c>
      <c r="J920" s="8">
        <v>25.0</v>
      </c>
      <c r="K920" s="8">
        <v>125.0</v>
      </c>
      <c r="L920" s="8">
        <v>0.2</v>
      </c>
      <c r="M920" s="8">
        <v>125.0</v>
      </c>
      <c r="N920" s="8">
        <v>-1.386294361</v>
      </c>
      <c r="O920" s="8">
        <v>3.42</v>
      </c>
      <c r="P920" s="8" t="s">
        <v>368</v>
      </c>
    </row>
    <row r="921">
      <c r="A921" s="8" t="s">
        <v>484</v>
      </c>
      <c r="B921" s="8">
        <v>2012.0</v>
      </c>
      <c r="C921" s="8" t="s">
        <v>32</v>
      </c>
      <c r="D921" s="8" t="s">
        <v>371</v>
      </c>
      <c r="E921" s="8">
        <v>2100.0</v>
      </c>
      <c r="F921" s="8" t="s">
        <v>34</v>
      </c>
      <c r="G921" s="8" t="s">
        <v>382</v>
      </c>
      <c r="H921" s="8" t="s">
        <v>416</v>
      </c>
      <c r="I921" s="8">
        <v>0.8</v>
      </c>
      <c r="J921" s="8">
        <v>50.0</v>
      </c>
      <c r="K921" s="8">
        <v>125.0</v>
      </c>
      <c r="L921" s="8">
        <v>0.4</v>
      </c>
      <c r="M921" s="8">
        <v>125.0</v>
      </c>
      <c r="N921" s="8">
        <v>-0.405465108</v>
      </c>
      <c r="O921" s="8">
        <v>3.42</v>
      </c>
      <c r="P921" s="8" t="s">
        <v>368</v>
      </c>
    </row>
    <row r="922">
      <c r="A922" s="8" t="s">
        <v>484</v>
      </c>
      <c r="B922" s="8">
        <v>2012.0</v>
      </c>
      <c r="C922" s="8" t="s">
        <v>32</v>
      </c>
      <c r="D922" s="8" t="s">
        <v>371</v>
      </c>
      <c r="E922" s="8">
        <v>2100.0</v>
      </c>
      <c r="F922" s="8" t="s">
        <v>34</v>
      </c>
      <c r="G922" s="8" t="s">
        <v>382</v>
      </c>
      <c r="H922" s="8" t="s">
        <v>367</v>
      </c>
      <c r="I922" s="8">
        <v>0.8</v>
      </c>
      <c r="J922" s="8">
        <v>89.0</v>
      </c>
      <c r="K922" s="8">
        <v>125.0</v>
      </c>
      <c r="L922" s="8">
        <v>0.712</v>
      </c>
      <c r="M922" s="8">
        <v>125.0</v>
      </c>
      <c r="N922" s="8">
        <v>0.905117431</v>
      </c>
      <c r="O922" s="8">
        <v>3.42</v>
      </c>
      <c r="P922" s="8" t="s">
        <v>368</v>
      </c>
    </row>
    <row r="923">
      <c r="A923" s="8" t="s">
        <v>485</v>
      </c>
      <c r="B923" s="8">
        <v>2012.0</v>
      </c>
      <c r="C923" s="8" t="s">
        <v>32</v>
      </c>
      <c r="D923" s="8" t="s">
        <v>366</v>
      </c>
      <c r="E923" s="8">
        <v>2080.0</v>
      </c>
      <c r="F923" s="8" t="s">
        <v>34</v>
      </c>
      <c r="G923" s="8" t="s">
        <v>42</v>
      </c>
      <c r="H923" s="8" t="s">
        <v>374</v>
      </c>
      <c r="I923" s="8">
        <v>1.0</v>
      </c>
      <c r="J923" s="8">
        <v>0.0</v>
      </c>
      <c r="K923" s="8">
        <v>61.0</v>
      </c>
      <c r="L923" s="8">
        <v>0.0</v>
      </c>
      <c r="M923" s="8">
        <v>61.0</v>
      </c>
      <c r="N923" s="8">
        <v>-4.812184355</v>
      </c>
      <c r="O923" s="8">
        <v>3.6</v>
      </c>
      <c r="P923" s="8" t="s">
        <v>368</v>
      </c>
    </row>
    <row r="924">
      <c r="A924" s="8" t="s">
        <v>485</v>
      </c>
      <c r="B924" s="8">
        <v>2012.0</v>
      </c>
      <c r="C924" s="8" t="s">
        <v>32</v>
      </c>
      <c r="D924" s="8" t="s">
        <v>366</v>
      </c>
      <c r="E924" s="8">
        <v>2080.0</v>
      </c>
      <c r="F924" s="8" t="s">
        <v>34</v>
      </c>
      <c r="G924" s="8" t="s">
        <v>42</v>
      </c>
      <c r="H924" s="8" t="s">
        <v>374</v>
      </c>
      <c r="I924" s="8">
        <v>0.95</v>
      </c>
      <c r="J924" s="8">
        <v>0.0</v>
      </c>
      <c r="K924" s="8">
        <v>61.0</v>
      </c>
      <c r="L924" s="8">
        <v>0.0</v>
      </c>
      <c r="M924" s="8">
        <v>61.0</v>
      </c>
      <c r="N924" s="8">
        <v>-4.812184355</v>
      </c>
      <c r="O924" s="8">
        <v>3.6</v>
      </c>
      <c r="P924" s="8" t="s">
        <v>368</v>
      </c>
    </row>
    <row r="925">
      <c r="A925" s="8" t="s">
        <v>485</v>
      </c>
      <c r="B925" s="8">
        <v>2012.0</v>
      </c>
      <c r="C925" s="8" t="s">
        <v>32</v>
      </c>
      <c r="D925" s="8" t="s">
        <v>366</v>
      </c>
      <c r="E925" s="8">
        <v>2080.0</v>
      </c>
      <c r="F925" s="8" t="s">
        <v>34</v>
      </c>
      <c r="G925" s="8" t="s">
        <v>42</v>
      </c>
      <c r="H925" s="8" t="s">
        <v>374</v>
      </c>
      <c r="I925" s="8">
        <v>0.8</v>
      </c>
      <c r="J925" s="8">
        <v>1.0</v>
      </c>
      <c r="K925" s="8">
        <v>61.0</v>
      </c>
      <c r="L925" s="8">
        <v>0.016393443</v>
      </c>
      <c r="M925" s="8">
        <v>61.0</v>
      </c>
      <c r="N925" s="8">
        <v>-4.094344562</v>
      </c>
      <c r="O925" s="8">
        <v>3.6</v>
      </c>
      <c r="P925" s="8" t="s">
        <v>368</v>
      </c>
    </row>
    <row r="926">
      <c r="A926" s="8" t="s">
        <v>485</v>
      </c>
      <c r="B926" s="8">
        <v>2012.0</v>
      </c>
      <c r="C926" s="8" t="s">
        <v>32</v>
      </c>
      <c r="D926" s="8" t="s">
        <v>366</v>
      </c>
      <c r="E926" s="8">
        <v>2080.0</v>
      </c>
      <c r="F926" s="8" t="s">
        <v>34</v>
      </c>
      <c r="G926" s="8" t="s">
        <v>42</v>
      </c>
      <c r="H926" s="8" t="s">
        <v>367</v>
      </c>
      <c r="I926" s="8">
        <v>1.0</v>
      </c>
      <c r="J926" s="8">
        <v>0.0</v>
      </c>
      <c r="K926" s="8">
        <v>61.0</v>
      </c>
      <c r="L926" s="8">
        <v>0.0</v>
      </c>
      <c r="M926" s="8">
        <v>61.0</v>
      </c>
      <c r="N926" s="8">
        <v>-4.812184355</v>
      </c>
      <c r="O926" s="8">
        <v>3.6</v>
      </c>
      <c r="P926" s="8" t="s">
        <v>368</v>
      </c>
    </row>
    <row r="927">
      <c r="A927" s="8" t="s">
        <v>485</v>
      </c>
      <c r="B927" s="8">
        <v>2012.0</v>
      </c>
      <c r="C927" s="8" t="s">
        <v>32</v>
      </c>
      <c r="D927" s="8" t="s">
        <v>366</v>
      </c>
      <c r="E927" s="8">
        <v>2080.0</v>
      </c>
      <c r="F927" s="8" t="s">
        <v>34</v>
      </c>
      <c r="G927" s="8" t="s">
        <v>42</v>
      </c>
      <c r="H927" s="8" t="s">
        <v>367</v>
      </c>
      <c r="I927" s="8">
        <v>0.95</v>
      </c>
      <c r="J927" s="8">
        <v>1.0</v>
      </c>
      <c r="K927" s="8">
        <v>61.0</v>
      </c>
      <c r="L927" s="8">
        <v>0.016393443</v>
      </c>
      <c r="M927" s="8">
        <v>61.0</v>
      </c>
      <c r="N927" s="8">
        <v>-4.094344562</v>
      </c>
      <c r="O927" s="8">
        <v>3.6</v>
      </c>
      <c r="P927" s="8" t="s">
        <v>368</v>
      </c>
    </row>
    <row r="928">
      <c r="A928" s="8" t="s">
        <v>485</v>
      </c>
      <c r="B928" s="8">
        <v>2012.0</v>
      </c>
      <c r="C928" s="8" t="s">
        <v>32</v>
      </c>
      <c r="D928" s="8" t="s">
        <v>366</v>
      </c>
      <c r="E928" s="8">
        <v>2080.0</v>
      </c>
      <c r="F928" s="8" t="s">
        <v>34</v>
      </c>
      <c r="G928" s="8" t="s">
        <v>42</v>
      </c>
      <c r="H928" s="8" t="s">
        <v>367</v>
      </c>
      <c r="I928" s="8">
        <v>0.8</v>
      </c>
      <c r="J928" s="8">
        <v>1.0</v>
      </c>
      <c r="K928" s="8">
        <v>61.0</v>
      </c>
      <c r="L928" s="8">
        <v>0.016393443</v>
      </c>
      <c r="M928" s="8">
        <v>61.0</v>
      </c>
      <c r="N928" s="8">
        <v>-4.094344562</v>
      </c>
      <c r="O928" s="8">
        <v>3.6</v>
      </c>
      <c r="P928" s="8" t="s">
        <v>368</v>
      </c>
    </row>
    <row r="929">
      <c r="A929" s="8" t="s">
        <v>485</v>
      </c>
      <c r="B929" s="8">
        <v>2012.0</v>
      </c>
      <c r="C929" s="8" t="s">
        <v>32</v>
      </c>
      <c r="D929" s="8" t="s">
        <v>366</v>
      </c>
      <c r="E929" s="8">
        <v>2080.0</v>
      </c>
      <c r="F929" s="8" t="s">
        <v>34</v>
      </c>
      <c r="G929" s="8" t="s">
        <v>42</v>
      </c>
      <c r="H929" s="8" t="s">
        <v>374</v>
      </c>
      <c r="I929" s="8">
        <v>1.0</v>
      </c>
      <c r="J929" s="8">
        <v>0.0</v>
      </c>
      <c r="K929" s="8">
        <v>61.0</v>
      </c>
      <c r="L929" s="8">
        <v>0.0</v>
      </c>
      <c r="M929" s="8">
        <v>61.0</v>
      </c>
      <c r="N929" s="8">
        <v>-4.812184355</v>
      </c>
      <c r="O929" s="8">
        <v>2.8</v>
      </c>
      <c r="P929" s="8" t="s">
        <v>368</v>
      </c>
    </row>
    <row r="930">
      <c r="A930" s="8" t="s">
        <v>485</v>
      </c>
      <c r="B930" s="8">
        <v>2012.0</v>
      </c>
      <c r="C930" s="8" t="s">
        <v>32</v>
      </c>
      <c r="D930" s="8" t="s">
        <v>366</v>
      </c>
      <c r="E930" s="8">
        <v>2080.0</v>
      </c>
      <c r="F930" s="8" t="s">
        <v>34</v>
      </c>
      <c r="G930" s="8" t="s">
        <v>42</v>
      </c>
      <c r="H930" s="8" t="s">
        <v>374</v>
      </c>
      <c r="I930" s="8">
        <v>0.95</v>
      </c>
      <c r="J930" s="8">
        <v>0.0</v>
      </c>
      <c r="K930" s="8">
        <v>61.0</v>
      </c>
      <c r="L930" s="8">
        <v>0.0</v>
      </c>
      <c r="M930" s="8">
        <v>61.0</v>
      </c>
      <c r="N930" s="8">
        <v>-4.812184355</v>
      </c>
      <c r="O930" s="8">
        <v>2.8</v>
      </c>
      <c r="P930" s="8" t="s">
        <v>368</v>
      </c>
    </row>
    <row r="931">
      <c r="A931" s="8" t="s">
        <v>485</v>
      </c>
      <c r="B931" s="8">
        <v>2012.0</v>
      </c>
      <c r="C931" s="8" t="s">
        <v>32</v>
      </c>
      <c r="D931" s="8" t="s">
        <v>366</v>
      </c>
      <c r="E931" s="8">
        <v>2080.0</v>
      </c>
      <c r="F931" s="8" t="s">
        <v>34</v>
      </c>
      <c r="G931" s="8" t="s">
        <v>42</v>
      </c>
      <c r="H931" s="8" t="s">
        <v>374</v>
      </c>
      <c r="I931" s="8">
        <v>0.8</v>
      </c>
      <c r="J931" s="8">
        <v>0.0</v>
      </c>
      <c r="K931" s="8">
        <v>61.0</v>
      </c>
      <c r="L931" s="8">
        <v>0.0</v>
      </c>
      <c r="M931" s="8">
        <v>61.0</v>
      </c>
      <c r="N931" s="8">
        <v>-4.812184355</v>
      </c>
      <c r="O931" s="8">
        <v>2.8</v>
      </c>
      <c r="P931" s="8" t="s">
        <v>368</v>
      </c>
    </row>
    <row r="932">
      <c r="A932" s="8" t="s">
        <v>485</v>
      </c>
      <c r="B932" s="8">
        <v>2012.0</v>
      </c>
      <c r="C932" s="8" t="s">
        <v>32</v>
      </c>
      <c r="D932" s="8" t="s">
        <v>366</v>
      </c>
      <c r="E932" s="8">
        <v>2080.0</v>
      </c>
      <c r="F932" s="8" t="s">
        <v>34</v>
      </c>
      <c r="G932" s="8" t="s">
        <v>42</v>
      </c>
      <c r="H932" s="8" t="s">
        <v>367</v>
      </c>
      <c r="I932" s="8">
        <v>1.0</v>
      </c>
      <c r="J932" s="8">
        <v>0.0</v>
      </c>
      <c r="K932" s="8">
        <v>61.0</v>
      </c>
      <c r="L932" s="8">
        <v>0.0</v>
      </c>
      <c r="M932" s="8">
        <v>61.0</v>
      </c>
      <c r="N932" s="8">
        <v>-4.812184355</v>
      </c>
      <c r="O932" s="8">
        <v>2.8</v>
      </c>
      <c r="P932" s="8" t="s">
        <v>368</v>
      </c>
    </row>
    <row r="933">
      <c r="A933" s="8" t="s">
        <v>485</v>
      </c>
      <c r="B933" s="8">
        <v>2012.0</v>
      </c>
      <c r="C933" s="8" t="s">
        <v>32</v>
      </c>
      <c r="D933" s="8" t="s">
        <v>366</v>
      </c>
      <c r="E933" s="8">
        <v>2080.0</v>
      </c>
      <c r="F933" s="8" t="s">
        <v>34</v>
      </c>
      <c r="G933" s="8" t="s">
        <v>42</v>
      </c>
      <c r="H933" s="8" t="s">
        <v>367</v>
      </c>
      <c r="I933" s="8">
        <v>0.95</v>
      </c>
      <c r="J933" s="8">
        <v>0.0</v>
      </c>
      <c r="K933" s="8">
        <v>61.0</v>
      </c>
      <c r="L933" s="8">
        <v>0.0</v>
      </c>
      <c r="M933" s="8">
        <v>61.0</v>
      </c>
      <c r="N933" s="8">
        <v>-4.812184355</v>
      </c>
      <c r="O933" s="8">
        <v>2.8</v>
      </c>
      <c r="P933" s="8" t="s">
        <v>368</v>
      </c>
    </row>
    <row r="934">
      <c r="A934" s="8" t="s">
        <v>485</v>
      </c>
      <c r="B934" s="8">
        <v>2012.0</v>
      </c>
      <c r="C934" s="8" t="s">
        <v>32</v>
      </c>
      <c r="D934" s="8" t="s">
        <v>366</v>
      </c>
      <c r="E934" s="8">
        <v>2080.0</v>
      </c>
      <c r="F934" s="8" t="s">
        <v>34</v>
      </c>
      <c r="G934" s="8" t="s">
        <v>42</v>
      </c>
      <c r="H934" s="8" t="s">
        <v>367</v>
      </c>
      <c r="I934" s="8">
        <v>0.8</v>
      </c>
      <c r="J934" s="8">
        <v>1.0</v>
      </c>
      <c r="K934" s="8">
        <v>61.0</v>
      </c>
      <c r="L934" s="8">
        <v>0.016393443</v>
      </c>
      <c r="M934" s="8">
        <v>61.0</v>
      </c>
      <c r="N934" s="8">
        <v>-4.094344562</v>
      </c>
      <c r="O934" s="8">
        <v>2.8</v>
      </c>
      <c r="P934" s="8" t="s">
        <v>368</v>
      </c>
    </row>
    <row r="935">
      <c r="A935" s="8" t="s">
        <v>379</v>
      </c>
      <c r="B935" s="8">
        <v>2012.0</v>
      </c>
      <c r="C935" s="8" t="s">
        <v>46</v>
      </c>
      <c r="D935" s="8" t="s">
        <v>366</v>
      </c>
      <c r="E935" s="8">
        <v>2100.0</v>
      </c>
      <c r="F935" s="8" t="s">
        <v>34</v>
      </c>
      <c r="G935" s="8" t="s">
        <v>42</v>
      </c>
      <c r="H935" s="8" t="s">
        <v>367</v>
      </c>
      <c r="I935" s="8">
        <v>1.0</v>
      </c>
      <c r="J935" s="8">
        <v>9.0</v>
      </c>
      <c r="K935" s="8">
        <v>171.0</v>
      </c>
      <c r="L935" s="8">
        <v>0.052631579</v>
      </c>
      <c r="M935" s="8">
        <v>171.0</v>
      </c>
      <c r="N935" s="8">
        <v>-2.890371758</v>
      </c>
      <c r="O935" s="8">
        <v>5.1</v>
      </c>
      <c r="P935" s="8" t="s">
        <v>368</v>
      </c>
    </row>
    <row r="936">
      <c r="A936" s="8" t="s">
        <v>379</v>
      </c>
      <c r="B936" s="8">
        <v>2012.0</v>
      </c>
      <c r="C936" s="8" t="s">
        <v>46</v>
      </c>
      <c r="D936" s="8" t="s">
        <v>366</v>
      </c>
      <c r="E936" s="8">
        <v>2100.0</v>
      </c>
      <c r="F936" s="8" t="s">
        <v>34</v>
      </c>
      <c r="G936" s="8" t="s">
        <v>42</v>
      </c>
      <c r="H936" s="8" t="s">
        <v>367</v>
      </c>
      <c r="I936" s="8">
        <v>1.0</v>
      </c>
      <c r="J936" s="8">
        <v>9.0</v>
      </c>
      <c r="K936" s="8">
        <v>171.0</v>
      </c>
      <c r="L936" s="8">
        <v>0.052631579</v>
      </c>
      <c r="M936" s="8">
        <v>171.0</v>
      </c>
      <c r="N936" s="8">
        <v>-2.890371758</v>
      </c>
      <c r="O936" s="8">
        <v>3.0</v>
      </c>
      <c r="P936" s="8" t="s">
        <v>368</v>
      </c>
    </row>
    <row r="937">
      <c r="A937" s="8" t="s">
        <v>379</v>
      </c>
      <c r="B937" s="8">
        <v>2012.0</v>
      </c>
      <c r="C937" s="8" t="s">
        <v>46</v>
      </c>
      <c r="D937" s="8" t="s">
        <v>366</v>
      </c>
      <c r="E937" s="8">
        <v>2100.0</v>
      </c>
      <c r="F937" s="8" t="s">
        <v>34</v>
      </c>
      <c r="G937" s="8" t="s">
        <v>42</v>
      </c>
      <c r="H937" s="8" t="s">
        <v>367</v>
      </c>
      <c r="I937" s="8">
        <v>1.0</v>
      </c>
      <c r="J937" s="8">
        <v>17.0</v>
      </c>
      <c r="K937" s="8">
        <v>171.0</v>
      </c>
      <c r="L937" s="8">
        <v>0.099415205</v>
      </c>
      <c r="M937" s="8">
        <v>171.0</v>
      </c>
      <c r="N937" s="8">
        <v>-2.203739258</v>
      </c>
      <c r="O937" s="8" t="s">
        <v>36</v>
      </c>
      <c r="P937" s="8" t="s">
        <v>36</v>
      </c>
    </row>
    <row r="938">
      <c r="A938" s="8" t="s">
        <v>379</v>
      </c>
      <c r="B938" s="8">
        <v>2012.0</v>
      </c>
      <c r="C938" s="8" t="s">
        <v>46</v>
      </c>
      <c r="D938" s="8" t="s">
        <v>366</v>
      </c>
      <c r="E938" s="8">
        <v>2100.0</v>
      </c>
      <c r="F938" s="8" t="s">
        <v>34</v>
      </c>
      <c r="G938" s="8" t="s">
        <v>42</v>
      </c>
      <c r="H938" s="8" t="s">
        <v>367</v>
      </c>
      <c r="I938" s="8">
        <v>1.0</v>
      </c>
      <c r="J938" s="8">
        <v>12.0</v>
      </c>
      <c r="K938" s="8">
        <v>171.0</v>
      </c>
      <c r="L938" s="8">
        <v>0.070175439</v>
      </c>
      <c r="M938" s="8">
        <v>171.0</v>
      </c>
      <c r="N938" s="8">
        <v>-2.583997552</v>
      </c>
      <c r="O938" s="8" t="s">
        <v>36</v>
      </c>
      <c r="P938" s="8" t="s">
        <v>36</v>
      </c>
    </row>
    <row r="939">
      <c r="A939" s="8" t="s">
        <v>379</v>
      </c>
      <c r="B939" s="8">
        <v>2012.0</v>
      </c>
      <c r="C939" s="8" t="s">
        <v>46</v>
      </c>
      <c r="D939" s="8" t="s">
        <v>366</v>
      </c>
      <c r="E939" s="8">
        <v>2050.0</v>
      </c>
      <c r="F939" s="8" t="s">
        <v>34</v>
      </c>
      <c r="G939" s="8" t="s">
        <v>42</v>
      </c>
      <c r="H939" s="8" t="s">
        <v>367</v>
      </c>
      <c r="I939" s="8">
        <v>1.0</v>
      </c>
      <c r="J939" s="8">
        <v>5.0</v>
      </c>
      <c r="K939" s="8">
        <v>171.0</v>
      </c>
      <c r="L939" s="8">
        <v>0.029239766</v>
      </c>
      <c r="M939" s="8">
        <v>171.0</v>
      </c>
      <c r="N939" s="8">
        <v>-3.502549876</v>
      </c>
      <c r="O939" s="8">
        <v>2.4</v>
      </c>
      <c r="P939" s="8" t="s">
        <v>368</v>
      </c>
    </row>
    <row r="940">
      <c r="A940" s="8" t="s">
        <v>379</v>
      </c>
      <c r="B940" s="8">
        <v>2012.0</v>
      </c>
      <c r="C940" s="8" t="s">
        <v>46</v>
      </c>
      <c r="D940" s="8" t="s">
        <v>366</v>
      </c>
      <c r="E940" s="8">
        <v>2050.0</v>
      </c>
      <c r="F940" s="8" t="s">
        <v>34</v>
      </c>
      <c r="G940" s="8" t="s">
        <v>42</v>
      </c>
      <c r="H940" s="8" t="s">
        <v>367</v>
      </c>
      <c r="I940" s="8">
        <v>1.0</v>
      </c>
      <c r="J940" s="8">
        <v>5.0</v>
      </c>
      <c r="K940" s="8">
        <v>171.0</v>
      </c>
      <c r="L940" s="8">
        <v>0.029239766</v>
      </c>
      <c r="M940" s="8">
        <v>171.0</v>
      </c>
      <c r="N940" s="8">
        <v>-3.502549876</v>
      </c>
      <c r="O940" s="8">
        <v>2.1</v>
      </c>
      <c r="P940" s="8" t="s">
        <v>368</v>
      </c>
    </row>
    <row r="941">
      <c r="A941" s="8" t="s">
        <v>379</v>
      </c>
      <c r="B941" s="8">
        <v>2012.0</v>
      </c>
      <c r="C941" s="8" t="s">
        <v>46</v>
      </c>
      <c r="D941" s="8" t="s">
        <v>366</v>
      </c>
      <c r="E941" s="8">
        <v>2080.0</v>
      </c>
      <c r="F941" s="8" t="s">
        <v>34</v>
      </c>
      <c r="G941" s="8" t="s">
        <v>42</v>
      </c>
      <c r="H941" s="8" t="s">
        <v>367</v>
      </c>
      <c r="I941" s="8">
        <v>1.0</v>
      </c>
      <c r="J941" s="8">
        <v>7.0</v>
      </c>
      <c r="K941" s="8">
        <v>171.0</v>
      </c>
      <c r="L941" s="8">
        <v>0.040935673</v>
      </c>
      <c r="M941" s="8">
        <v>171.0</v>
      </c>
      <c r="N941" s="8">
        <v>-3.153956279</v>
      </c>
      <c r="O941" s="8">
        <v>4.1</v>
      </c>
      <c r="P941" s="8" t="s">
        <v>368</v>
      </c>
    </row>
    <row r="942">
      <c r="A942" s="8" t="s">
        <v>379</v>
      </c>
      <c r="B942" s="8">
        <v>2012.0</v>
      </c>
      <c r="C942" s="8" t="s">
        <v>46</v>
      </c>
      <c r="D942" s="8" t="s">
        <v>366</v>
      </c>
      <c r="E942" s="8">
        <v>2080.0</v>
      </c>
      <c r="F942" s="8" t="s">
        <v>34</v>
      </c>
      <c r="G942" s="8" t="s">
        <v>42</v>
      </c>
      <c r="H942" s="8" t="s">
        <v>367</v>
      </c>
      <c r="I942" s="8">
        <v>1.0</v>
      </c>
      <c r="J942" s="8">
        <v>7.0</v>
      </c>
      <c r="K942" s="8">
        <v>171.0</v>
      </c>
      <c r="L942" s="8">
        <v>0.040935673</v>
      </c>
      <c r="M942" s="8">
        <v>171.0</v>
      </c>
      <c r="N942" s="8">
        <v>-3.153956279</v>
      </c>
      <c r="O942" s="8">
        <v>2.8</v>
      </c>
      <c r="P942" s="8" t="s">
        <v>368</v>
      </c>
    </row>
    <row r="943">
      <c r="A943" s="8" t="s">
        <v>379</v>
      </c>
      <c r="B943" s="8">
        <v>2012.0</v>
      </c>
      <c r="C943" s="8" t="s">
        <v>46</v>
      </c>
      <c r="D943" s="8" t="s">
        <v>366</v>
      </c>
      <c r="E943" s="8">
        <v>2050.0</v>
      </c>
      <c r="F943" s="8" t="s">
        <v>34</v>
      </c>
      <c r="G943" s="8" t="s">
        <v>42</v>
      </c>
      <c r="H943" s="8" t="s">
        <v>367</v>
      </c>
      <c r="I943" s="8">
        <v>1.0</v>
      </c>
      <c r="J943" s="8">
        <v>10.0</v>
      </c>
      <c r="K943" s="8">
        <v>171.0</v>
      </c>
      <c r="L943" s="8">
        <v>0.058479532</v>
      </c>
      <c r="M943" s="8">
        <v>171.0</v>
      </c>
      <c r="N943" s="8">
        <v>-2.778819272</v>
      </c>
      <c r="O943" s="8">
        <v>2.4</v>
      </c>
      <c r="P943" s="8" t="s">
        <v>368</v>
      </c>
    </row>
    <row r="944">
      <c r="A944" s="8" t="s">
        <v>379</v>
      </c>
      <c r="B944" s="8">
        <v>2012.0</v>
      </c>
      <c r="C944" s="8" t="s">
        <v>46</v>
      </c>
      <c r="D944" s="8" t="s">
        <v>366</v>
      </c>
      <c r="E944" s="8">
        <v>2050.0</v>
      </c>
      <c r="F944" s="8" t="s">
        <v>34</v>
      </c>
      <c r="G944" s="8" t="s">
        <v>42</v>
      </c>
      <c r="H944" s="8" t="s">
        <v>367</v>
      </c>
      <c r="I944" s="8">
        <v>1.0</v>
      </c>
      <c r="J944" s="8">
        <v>5.0</v>
      </c>
      <c r="K944" s="8">
        <v>171.0</v>
      </c>
      <c r="L944" s="8">
        <v>0.029239766</v>
      </c>
      <c r="M944" s="8">
        <v>171.0</v>
      </c>
      <c r="N944" s="8">
        <v>-3.502549876</v>
      </c>
      <c r="O944" s="8">
        <v>2.1</v>
      </c>
      <c r="P944" s="8" t="s">
        <v>368</v>
      </c>
    </row>
    <row r="945">
      <c r="A945" s="8" t="s">
        <v>379</v>
      </c>
      <c r="B945" s="8">
        <v>2012.0</v>
      </c>
      <c r="C945" s="8" t="s">
        <v>46</v>
      </c>
      <c r="D945" s="8" t="s">
        <v>366</v>
      </c>
      <c r="E945" s="8">
        <v>2100.0</v>
      </c>
      <c r="F945" s="8" t="s">
        <v>34</v>
      </c>
      <c r="G945" s="8" t="s">
        <v>42</v>
      </c>
      <c r="H945" s="8" t="s">
        <v>374</v>
      </c>
      <c r="I945" s="8">
        <v>1.0</v>
      </c>
      <c r="J945" s="8">
        <v>7.0</v>
      </c>
      <c r="K945" s="8">
        <v>171.0</v>
      </c>
      <c r="L945" s="8">
        <v>0.040935673</v>
      </c>
      <c r="M945" s="8">
        <v>171.0</v>
      </c>
      <c r="N945" s="8">
        <v>-3.153956279</v>
      </c>
      <c r="O945" s="8">
        <v>5.1</v>
      </c>
      <c r="P945" s="8" t="s">
        <v>368</v>
      </c>
    </row>
    <row r="946">
      <c r="A946" s="8" t="s">
        <v>379</v>
      </c>
      <c r="B946" s="8">
        <v>2012.0</v>
      </c>
      <c r="C946" s="8" t="s">
        <v>46</v>
      </c>
      <c r="D946" s="8" t="s">
        <v>366</v>
      </c>
      <c r="E946" s="8">
        <v>2100.0</v>
      </c>
      <c r="F946" s="8" t="s">
        <v>34</v>
      </c>
      <c r="G946" s="8" t="s">
        <v>42</v>
      </c>
      <c r="H946" s="8" t="s">
        <v>374</v>
      </c>
      <c r="I946" s="8">
        <v>1.0</v>
      </c>
      <c r="J946" s="8">
        <v>7.0</v>
      </c>
      <c r="K946" s="8">
        <v>171.0</v>
      </c>
      <c r="L946" s="8">
        <v>0.040935673</v>
      </c>
      <c r="M946" s="8">
        <v>171.0</v>
      </c>
      <c r="N946" s="8">
        <v>-3.153956279</v>
      </c>
      <c r="O946" s="8">
        <v>3.0</v>
      </c>
      <c r="P946" s="8" t="s">
        <v>368</v>
      </c>
    </row>
    <row r="947">
      <c r="A947" s="8" t="s">
        <v>379</v>
      </c>
      <c r="B947" s="8">
        <v>2012.0</v>
      </c>
      <c r="C947" s="8" t="s">
        <v>46</v>
      </c>
      <c r="D947" s="8" t="s">
        <v>366</v>
      </c>
      <c r="E947" s="8">
        <v>2100.0</v>
      </c>
      <c r="F947" s="8" t="s">
        <v>34</v>
      </c>
      <c r="G947" s="8" t="s">
        <v>42</v>
      </c>
      <c r="H947" s="8" t="s">
        <v>374</v>
      </c>
      <c r="I947" s="8">
        <v>1.0</v>
      </c>
      <c r="J947" s="8">
        <v>14.0</v>
      </c>
      <c r="K947" s="8">
        <v>171.0</v>
      </c>
      <c r="L947" s="8">
        <v>0.081871345</v>
      </c>
      <c r="M947" s="8">
        <v>171.0</v>
      </c>
      <c r="N947" s="8">
        <v>-2.417188476</v>
      </c>
      <c r="O947" s="8" t="s">
        <v>36</v>
      </c>
      <c r="P947" s="8" t="s">
        <v>36</v>
      </c>
    </row>
    <row r="948">
      <c r="A948" s="8" t="s">
        <v>379</v>
      </c>
      <c r="B948" s="8">
        <v>2012.0</v>
      </c>
      <c r="C948" s="8" t="s">
        <v>46</v>
      </c>
      <c r="D948" s="8" t="s">
        <v>366</v>
      </c>
      <c r="E948" s="8">
        <v>2100.0</v>
      </c>
      <c r="F948" s="8" t="s">
        <v>34</v>
      </c>
      <c r="G948" s="8" t="s">
        <v>42</v>
      </c>
      <c r="H948" s="8" t="s">
        <v>374</v>
      </c>
      <c r="I948" s="8">
        <v>1.0</v>
      </c>
      <c r="J948" s="8">
        <v>12.0</v>
      </c>
      <c r="K948" s="8">
        <v>171.0</v>
      </c>
      <c r="L948" s="8">
        <v>0.070175439</v>
      </c>
      <c r="M948" s="8">
        <v>171.0</v>
      </c>
      <c r="N948" s="8">
        <v>-2.583997552</v>
      </c>
      <c r="O948" s="8" t="s">
        <v>36</v>
      </c>
      <c r="P948" s="8" t="s">
        <v>36</v>
      </c>
    </row>
    <row r="949">
      <c r="A949" s="8" t="s">
        <v>379</v>
      </c>
      <c r="B949" s="8">
        <v>2012.0</v>
      </c>
      <c r="C949" s="8" t="s">
        <v>46</v>
      </c>
      <c r="D949" s="8" t="s">
        <v>366</v>
      </c>
      <c r="E949" s="8">
        <v>2050.0</v>
      </c>
      <c r="F949" s="8" t="s">
        <v>34</v>
      </c>
      <c r="G949" s="8" t="s">
        <v>42</v>
      </c>
      <c r="H949" s="8" t="s">
        <v>374</v>
      </c>
      <c r="I949" s="8">
        <v>1.0</v>
      </c>
      <c r="J949" s="8">
        <v>3.0</v>
      </c>
      <c r="K949" s="8">
        <v>171.0</v>
      </c>
      <c r="L949" s="8">
        <v>0.01754386</v>
      </c>
      <c r="M949" s="8">
        <v>171.0</v>
      </c>
      <c r="N949" s="8">
        <v>-4.025351691</v>
      </c>
      <c r="O949" s="8">
        <v>2.4</v>
      </c>
      <c r="P949" s="8" t="s">
        <v>368</v>
      </c>
    </row>
    <row r="950">
      <c r="A950" s="8" t="s">
        <v>379</v>
      </c>
      <c r="B950" s="8">
        <v>2012.0</v>
      </c>
      <c r="C950" s="8" t="s">
        <v>46</v>
      </c>
      <c r="D950" s="8" t="s">
        <v>366</v>
      </c>
      <c r="E950" s="8">
        <v>2050.0</v>
      </c>
      <c r="F950" s="8" t="s">
        <v>34</v>
      </c>
      <c r="G950" s="8" t="s">
        <v>42</v>
      </c>
      <c r="H950" s="8" t="s">
        <v>374</v>
      </c>
      <c r="I950" s="8">
        <v>1.0</v>
      </c>
      <c r="J950" s="8">
        <v>3.0</v>
      </c>
      <c r="K950" s="8">
        <v>171.0</v>
      </c>
      <c r="L950" s="8">
        <v>0.01754386</v>
      </c>
      <c r="M950" s="8">
        <v>171.0</v>
      </c>
      <c r="N950" s="8">
        <v>-4.025351691</v>
      </c>
      <c r="O950" s="8">
        <v>2.1</v>
      </c>
      <c r="P950" s="8" t="s">
        <v>368</v>
      </c>
    </row>
    <row r="951">
      <c r="A951" s="8" t="s">
        <v>379</v>
      </c>
      <c r="B951" s="8">
        <v>2012.0</v>
      </c>
      <c r="C951" s="8" t="s">
        <v>46</v>
      </c>
      <c r="D951" s="8" t="s">
        <v>366</v>
      </c>
      <c r="E951" s="8">
        <v>2080.0</v>
      </c>
      <c r="F951" s="8" t="s">
        <v>34</v>
      </c>
      <c r="G951" s="8" t="s">
        <v>42</v>
      </c>
      <c r="H951" s="8" t="s">
        <v>374</v>
      </c>
      <c r="I951" s="8">
        <v>1.0</v>
      </c>
      <c r="J951" s="8">
        <v>5.0</v>
      </c>
      <c r="K951" s="8">
        <v>171.0</v>
      </c>
      <c r="L951" s="8">
        <v>0.029239766</v>
      </c>
      <c r="M951" s="8">
        <v>171.0</v>
      </c>
      <c r="N951" s="8">
        <v>-3.502549876</v>
      </c>
      <c r="O951" s="8">
        <v>4.1</v>
      </c>
      <c r="P951" s="8" t="s">
        <v>368</v>
      </c>
    </row>
    <row r="952">
      <c r="A952" s="8" t="s">
        <v>379</v>
      </c>
      <c r="B952" s="8">
        <v>2012.0</v>
      </c>
      <c r="C952" s="8" t="s">
        <v>46</v>
      </c>
      <c r="D952" s="8" t="s">
        <v>366</v>
      </c>
      <c r="E952" s="8">
        <v>2080.0</v>
      </c>
      <c r="F952" s="8" t="s">
        <v>34</v>
      </c>
      <c r="G952" s="8" t="s">
        <v>42</v>
      </c>
      <c r="H952" s="8" t="s">
        <v>374</v>
      </c>
      <c r="I952" s="8">
        <v>1.0</v>
      </c>
      <c r="J952" s="8">
        <v>3.0</v>
      </c>
      <c r="K952" s="8">
        <v>171.0</v>
      </c>
      <c r="L952" s="8">
        <v>0.01754386</v>
      </c>
      <c r="M952" s="8">
        <v>171.0</v>
      </c>
      <c r="N952" s="8">
        <v>-4.025351691</v>
      </c>
      <c r="O952" s="8">
        <v>2.8</v>
      </c>
      <c r="P952" s="8" t="s">
        <v>368</v>
      </c>
    </row>
    <row r="953">
      <c r="A953" s="8" t="s">
        <v>379</v>
      </c>
      <c r="B953" s="8">
        <v>2012.0</v>
      </c>
      <c r="C953" s="8" t="s">
        <v>46</v>
      </c>
      <c r="D953" s="8" t="s">
        <v>366</v>
      </c>
      <c r="E953" s="8">
        <v>2050.0</v>
      </c>
      <c r="F953" s="8" t="s">
        <v>34</v>
      </c>
      <c r="G953" s="8" t="s">
        <v>42</v>
      </c>
      <c r="H953" s="8" t="s">
        <v>374</v>
      </c>
      <c r="I953" s="8">
        <v>1.0</v>
      </c>
      <c r="J953" s="8">
        <v>10.0</v>
      </c>
      <c r="K953" s="8">
        <v>171.0</v>
      </c>
      <c r="L953" s="8">
        <v>0.058479532</v>
      </c>
      <c r="M953" s="8">
        <v>171.0</v>
      </c>
      <c r="N953" s="8">
        <v>-2.778819272</v>
      </c>
      <c r="O953" s="8">
        <v>2.4</v>
      </c>
      <c r="P953" s="8" t="s">
        <v>368</v>
      </c>
    </row>
    <row r="954">
      <c r="A954" s="8" t="s">
        <v>379</v>
      </c>
      <c r="B954" s="8">
        <v>2012.0</v>
      </c>
      <c r="C954" s="8" t="s">
        <v>46</v>
      </c>
      <c r="D954" s="8" t="s">
        <v>366</v>
      </c>
      <c r="E954" s="8">
        <v>2050.0</v>
      </c>
      <c r="F954" s="8" t="s">
        <v>34</v>
      </c>
      <c r="G954" s="8" t="s">
        <v>42</v>
      </c>
      <c r="H954" s="8" t="s">
        <v>374</v>
      </c>
      <c r="I954" s="8">
        <v>1.0</v>
      </c>
      <c r="J954" s="8">
        <v>3.0</v>
      </c>
      <c r="K954" s="8">
        <v>171.0</v>
      </c>
      <c r="L954" s="8">
        <v>0.01754386</v>
      </c>
      <c r="M954" s="8">
        <v>171.0</v>
      </c>
      <c r="N954" s="8">
        <v>-4.025351691</v>
      </c>
      <c r="O954" s="8">
        <v>2.1</v>
      </c>
      <c r="P954" s="8" t="s">
        <v>368</v>
      </c>
    </row>
    <row r="955">
      <c r="A955" s="8" t="s">
        <v>486</v>
      </c>
      <c r="B955" s="8">
        <v>2012.0</v>
      </c>
      <c r="C955" s="8" t="s">
        <v>32</v>
      </c>
      <c r="D955" s="8" t="s">
        <v>370</v>
      </c>
      <c r="E955" s="8">
        <v>2050.0</v>
      </c>
      <c r="F955" s="8" t="s">
        <v>41</v>
      </c>
      <c r="G955" s="8" t="s">
        <v>42</v>
      </c>
      <c r="H955" s="8" t="s">
        <v>374</v>
      </c>
      <c r="I955" s="8">
        <v>1.0</v>
      </c>
      <c r="J955" s="8">
        <v>1.0</v>
      </c>
      <c r="K955" s="8">
        <v>6.0</v>
      </c>
      <c r="L955" s="8">
        <v>0.166666667</v>
      </c>
      <c r="M955" s="8">
        <v>6.0</v>
      </c>
      <c r="N955" s="8">
        <v>-1.609437912</v>
      </c>
      <c r="O955" s="8">
        <v>2.19</v>
      </c>
      <c r="P955" s="8" t="s">
        <v>368</v>
      </c>
    </row>
    <row r="956">
      <c r="A956" s="8" t="s">
        <v>486</v>
      </c>
      <c r="B956" s="8">
        <v>2012.0</v>
      </c>
      <c r="C956" s="8" t="s">
        <v>32</v>
      </c>
      <c r="D956" s="8" t="s">
        <v>370</v>
      </c>
      <c r="E956" s="8">
        <v>2080.0</v>
      </c>
      <c r="F956" s="8" t="s">
        <v>41</v>
      </c>
      <c r="G956" s="8" t="s">
        <v>42</v>
      </c>
      <c r="H956" s="8" t="s">
        <v>374</v>
      </c>
      <c r="I956" s="8">
        <v>1.0</v>
      </c>
      <c r="J956" s="8">
        <v>2.0</v>
      </c>
      <c r="K956" s="8">
        <v>6.0</v>
      </c>
      <c r="L956" s="8">
        <v>0.333333333</v>
      </c>
      <c r="M956" s="8">
        <v>6.0</v>
      </c>
      <c r="N956" s="8">
        <v>-0.693147181</v>
      </c>
      <c r="O956" s="8">
        <v>3.57</v>
      </c>
      <c r="P956" s="8" t="s">
        <v>368</v>
      </c>
    </row>
    <row r="957">
      <c r="A957" s="8" t="s">
        <v>486</v>
      </c>
      <c r="B957" s="8">
        <v>2012.0</v>
      </c>
      <c r="C957" s="8" t="s">
        <v>32</v>
      </c>
      <c r="D957" s="8" t="s">
        <v>370</v>
      </c>
      <c r="E957" s="8">
        <v>2050.0</v>
      </c>
      <c r="F957" s="8" t="s">
        <v>41</v>
      </c>
      <c r="G957" s="8" t="s">
        <v>42</v>
      </c>
      <c r="H957" s="8" t="s">
        <v>374</v>
      </c>
      <c r="I957" s="8">
        <v>1.0</v>
      </c>
      <c r="J957" s="8">
        <v>1.0</v>
      </c>
      <c r="K957" s="8">
        <v>6.0</v>
      </c>
      <c r="L957" s="8">
        <v>0.166666667</v>
      </c>
      <c r="M957" s="8">
        <v>6.0</v>
      </c>
      <c r="N957" s="8">
        <v>-1.609437912</v>
      </c>
      <c r="O957" s="8">
        <v>1.91</v>
      </c>
      <c r="P957" s="8" t="s">
        <v>368</v>
      </c>
    </row>
    <row r="958">
      <c r="A958" s="8" t="s">
        <v>486</v>
      </c>
      <c r="B958" s="8">
        <v>2012.0</v>
      </c>
      <c r="C958" s="8" t="s">
        <v>32</v>
      </c>
      <c r="D958" s="8" t="s">
        <v>370</v>
      </c>
      <c r="E958" s="8">
        <v>2080.0</v>
      </c>
      <c r="F958" s="8" t="s">
        <v>41</v>
      </c>
      <c r="G958" s="8" t="s">
        <v>42</v>
      </c>
      <c r="H958" s="8" t="s">
        <v>374</v>
      </c>
      <c r="I958" s="8">
        <v>1.0</v>
      </c>
      <c r="J958" s="8">
        <v>2.0</v>
      </c>
      <c r="K958" s="8">
        <v>6.0</v>
      </c>
      <c r="L958" s="8">
        <v>0.333333333</v>
      </c>
      <c r="M958" s="8">
        <v>6.0</v>
      </c>
      <c r="N958" s="8">
        <v>-0.693147181</v>
      </c>
      <c r="O958" s="8">
        <v>2.68</v>
      </c>
      <c r="P958" s="8" t="s">
        <v>368</v>
      </c>
    </row>
    <row r="959">
      <c r="A959" s="8" t="s">
        <v>486</v>
      </c>
      <c r="B959" s="8">
        <v>2012.0</v>
      </c>
      <c r="C959" s="8" t="s">
        <v>32</v>
      </c>
      <c r="D959" s="8" t="s">
        <v>370</v>
      </c>
      <c r="E959" s="8">
        <v>2050.0</v>
      </c>
      <c r="F959" s="8" t="s">
        <v>41</v>
      </c>
      <c r="G959" s="8" t="s">
        <v>42</v>
      </c>
      <c r="H959" s="8" t="s">
        <v>374</v>
      </c>
      <c r="I959" s="8">
        <v>0.95</v>
      </c>
      <c r="J959" s="8">
        <v>1.0</v>
      </c>
      <c r="K959" s="8">
        <v>6.0</v>
      </c>
      <c r="L959" s="8">
        <v>0.166666667</v>
      </c>
      <c r="M959" s="8">
        <v>6.0</v>
      </c>
      <c r="N959" s="8">
        <v>-1.609437912</v>
      </c>
      <c r="O959" s="8">
        <v>2.19</v>
      </c>
      <c r="P959" s="8" t="s">
        <v>368</v>
      </c>
    </row>
    <row r="960">
      <c r="A960" s="8" t="s">
        <v>486</v>
      </c>
      <c r="B960" s="8">
        <v>2012.0</v>
      </c>
      <c r="C960" s="8" t="s">
        <v>32</v>
      </c>
      <c r="D960" s="8" t="s">
        <v>370</v>
      </c>
      <c r="E960" s="8">
        <v>2080.0</v>
      </c>
      <c r="F960" s="8" t="s">
        <v>41</v>
      </c>
      <c r="G960" s="8" t="s">
        <v>42</v>
      </c>
      <c r="H960" s="8" t="s">
        <v>374</v>
      </c>
      <c r="I960" s="8">
        <v>0.95</v>
      </c>
      <c r="J960" s="8">
        <v>2.0</v>
      </c>
      <c r="K960" s="8">
        <v>6.0</v>
      </c>
      <c r="L960" s="8">
        <v>0.333333333</v>
      </c>
      <c r="M960" s="8">
        <v>6.0</v>
      </c>
      <c r="N960" s="8">
        <v>-0.693147181</v>
      </c>
      <c r="O960" s="8">
        <v>3.57</v>
      </c>
      <c r="P960" s="8" t="s">
        <v>368</v>
      </c>
    </row>
    <row r="961">
      <c r="A961" s="8" t="s">
        <v>486</v>
      </c>
      <c r="B961" s="8">
        <v>2012.0</v>
      </c>
      <c r="C961" s="8" t="s">
        <v>32</v>
      </c>
      <c r="D961" s="8" t="s">
        <v>370</v>
      </c>
      <c r="E961" s="8">
        <v>2050.0</v>
      </c>
      <c r="F961" s="8" t="s">
        <v>41</v>
      </c>
      <c r="G961" s="8" t="s">
        <v>42</v>
      </c>
      <c r="H961" s="8" t="s">
        <v>374</v>
      </c>
      <c r="I961" s="8">
        <v>0.95</v>
      </c>
      <c r="J961" s="8">
        <v>1.0</v>
      </c>
      <c r="K961" s="8">
        <v>6.0</v>
      </c>
      <c r="L961" s="8">
        <v>0.166666667</v>
      </c>
      <c r="M961" s="8">
        <v>6.0</v>
      </c>
      <c r="N961" s="8">
        <v>-1.609437912</v>
      </c>
      <c r="O961" s="8">
        <v>1.91</v>
      </c>
      <c r="P961" s="8" t="s">
        <v>368</v>
      </c>
    </row>
    <row r="962">
      <c r="A962" s="8" t="s">
        <v>486</v>
      </c>
      <c r="B962" s="8">
        <v>2012.0</v>
      </c>
      <c r="C962" s="8" t="s">
        <v>32</v>
      </c>
      <c r="D962" s="8" t="s">
        <v>370</v>
      </c>
      <c r="E962" s="8">
        <v>2080.0</v>
      </c>
      <c r="F962" s="8" t="s">
        <v>41</v>
      </c>
      <c r="G962" s="8" t="s">
        <v>42</v>
      </c>
      <c r="H962" s="8" t="s">
        <v>374</v>
      </c>
      <c r="I962" s="8">
        <v>0.95</v>
      </c>
      <c r="J962" s="8">
        <v>2.0</v>
      </c>
      <c r="K962" s="8">
        <v>6.0</v>
      </c>
      <c r="L962" s="8">
        <v>0.333333333</v>
      </c>
      <c r="M962" s="8">
        <v>6.0</v>
      </c>
      <c r="N962" s="8">
        <v>-0.693147181</v>
      </c>
      <c r="O962" s="8">
        <v>2.68</v>
      </c>
      <c r="P962" s="8" t="s">
        <v>368</v>
      </c>
    </row>
    <row r="963">
      <c r="A963" s="8" t="s">
        <v>486</v>
      </c>
      <c r="B963" s="8">
        <v>2012.0</v>
      </c>
      <c r="C963" s="8" t="s">
        <v>32</v>
      </c>
      <c r="D963" s="8" t="s">
        <v>370</v>
      </c>
      <c r="E963" s="8">
        <v>2050.0</v>
      </c>
      <c r="F963" s="8" t="s">
        <v>41</v>
      </c>
      <c r="G963" s="8" t="s">
        <v>42</v>
      </c>
      <c r="H963" s="8" t="s">
        <v>374</v>
      </c>
      <c r="I963" s="8">
        <v>0.8</v>
      </c>
      <c r="J963" s="8">
        <v>2.0</v>
      </c>
      <c r="K963" s="8">
        <v>6.0</v>
      </c>
      <c r="L963" s="8">
        <v>0.333333333</v>
      </c>
      <c r="M963" s="8">
        <v>6.0</v>
      </c>
      <c r="N963" s="8">
        <v>-0.693147181</v>
      </c>
      <c r="O963" s="8">
        <v>2.19</v>
      </c>
      <c r="P963" s="8" t="s">
        <v>368</v>
      </c>
    </row>
    <row r="964">
      <c r="A964" s="8" t="s">
        <v>486</v>
      </c>
      <c r="B964" s="8">
        <v>2012.0</v>
      </c>
      <c r="C964" s="8" t="s">
        <v>32</v>
      </c>
      <c r="D964" s="8" t="s">
        <v>370</v>
      </c>
      <c r="E964" s="8">
        <v>2080.0</v>
      </c>
      <c r="F964" s="8" t="s">
        <v>41</v>
      </c>
      <c r="G964" s="8" t="s">
        <v>42</v>
      </c>
      <c r="H964" s="8" t="s">
        <v>374</v>
      </c>
      <c r="I964" s="8">
        <v>0.8</v>
      </c>
      <c r="J964" s="8">
        <v>4.0</v>
      </c>
      <c r="K964" s="8">
        <v>6.0</v>
      </c>
      <c r="L964" s="8">
        <v>0.666666667</v>
      </c>
      <c r="M964" s="8">
        <v>6.0</v>
      </c>
      <c r="N964" s="8">
        <v>0.693147181</v>
      </c>
      <c r="O964" s="8">
        <v>3.57</v>
      </c>
      <c r="P964" s="8" t="s">
        <v>368</v>
      </c>
    </row>
    <row r="965">
      <c r="A965" s="8" t="s">
        <v>486</v>
      </c>
      <c r="B965" s="8">
        <v>2012.0</v>
      </c>
      <c r="C965" s="8" t="s">
        <v>32</v>
      </c>
      <c r="D965" s="8" t="s">
        <v>370</v>
      </c>
      <c r="E965" s="8">
        <v>2050.0</v>
      </c>
      <c r="F965" s="8" t="s">
        <v>41</v>
      </c>
      <c r="G965" s="8" t="s">
        <v>42</v>
      </c>
      <c r="H965" s="8" t="s">
        <v>374</v>
      </c>
      <c r="I965" s="8">
        <v>0.8</v>
      </c>
      <c r="J965" s="8">
        <v>1.0</v>
      </c>
      <c r="K965" s="8">
        <v>6.0</v>
      </c>
      <c r="L965" s="8">
        <v>0.166666667</v>
      </c>
      <c r="M965" s="8">
        <v>6.0</v>
      </c>
      <c r="N965" s="8">
        <v>-1.609437912</v>
      </c>
      <c r="O965" s="8">
        <v>1.91</v>
      </c>
      <c r="P965" s="8" t="s">
        <v>368</v>
      </c>
    </row>
    <row r="966">
      <c r="A966" s="8" t="s">
        <v>486</v>
      </c>
      <c r="B966" s="8">
        <v>2012.0</v>
      </c>
      <c r="C966" s="8" t="s">
        <v>32</v>
      </c>
      <c r="D966" s="8" t="s">
        <v>370</v>
      </c>
      <c r="E966" s="8">
        <v>2080.0</v>
      </c>
      <c r="F966" s="8" t="s">
        <v>41</v>
      </c>
      <c r="G966" s="8" t="s">
        <v>42</v>
      </c>
      <c r="H966" s="8" t="s">
        <v>374</v>
      </c>
      <c r="I966" s="8">
        <v>0.8</v>
      </c>
      <c r="J966" s="8">
        <v>3.0</v>
      </c>
      <c r="K966" s="8">
        <v>6.0</v>
      </c>
      <c r="L966" s="8">
        <v>0.5</v>
      </c>
      <c r="M966" s="8">
        <v>6.0</v>
      </c>
      <c r="N966" s="8">
        <v>0.0</v>
      </c>
      <c r="O966" s="8">
        <v>2.68</v>
      </c>
      <c r="P966" s="8" t="s">
        <v>368</v>
      </c>
    </row>
    <row r="967">
      <c r="A967" s="8" t="s">
        <v>487</v>
      </c>
      <c r="B967" s="8">
        <v>2012.0</v>
      </c>
      <c r="C967" s="8" t="s">
        <v>373</v>
      </c>
      <c r="D967" s="8" t="s">
        <v>371</v>
      </c>
      <c r="E967" s="8">
        <v>2100.0</v>
      </c>
      <c r="F967" s="8" t="s">
        <v>41</v>
      </c>
      <c r="G967" s="8" t="s">
        <v>42</v>
      </c>
      <c r="H967" s="8" t="s">
        <v>374</v>
      </c>
      <c r="I967" s="8">
        <v>1.0</v>
      </c>
      <c r="J967" s="8">
        <v>0.0</v>
      </c>
      <c r="K967" s="8">
        <v>5.0</v>
      </c>
      <c r="L967" s="8">
        <v>0.0</v>
      </c>
      <c r="M967" s="8">
        <v>5.0</v>
      </c>
      <c r="N967" s="8">
        <v>-2.397895273</v>
      </c>
      <c r="O967" s="8">
        <v>3.4</v>
      </c>
      <c r="P967" s="8" t="s">
        <v>368</v>
      </c>
    </row>
    <row r="968">
      <c r="A968" s="8" t="s">
        <v>487</v>
      </c>
      <c r="B968" s="8">
        <v>2012.0</v>
      </c>
      <c r="C968" s="8" t="s">
        <v>373</v>
      </c>
      <c r="D968" s="8" t="s">
        <v>371</v>
      </c>
      <c r="E968" s="8">
        <v>2100.0</v>
      </c>
      <c r="F968" s="8" t="s">
        <v>41</v>
      </c>
      <c r="G968" s="8" t="s">
        <v>42</v>
      </c>
      <c r="H968" s="8" t="s">
        <v>374</v>
      </c>
      <c r="I968" s="8">
        <v>0.95</v>
      </c>
      <c r="J968" s="8">
        <v>0.0</v>
      </c>
      <c r="K968" s="8">
        <v>5.0</v>
      </c>
      <c r="L968" s="8">
        <v>0.0</v>
      </c>
      <c r="M968" s="8">
        <v>5.0</v>
      </c>
      <c r="N968" s="8">
        <v>-2.397895273</v>
      </c>
      <c r="O968" s="8">
        <v>3.4</v>
      </c>
      <c r="P968" s="8" t="s">
        <v>368</v>
      </c>
    </row>
    <row r="969">
      <c r="A969" s="8" t="s">
        <v>487</v>
      </c>
      <c r="B969" s="8">
        <v>2012.0</v>
      </c>
      <c r="C969" s="8" t="s">
        <v>373</v>
      </c>
      <c r="D969" s="8" t="s">
        <v>371</v>
      </c>
      <c r="E969" s="8">
        <v>2100.0</v>
      </c>
      <c r="F969" s="8" t="s">
        <v>41</v>
      </c>
      <c r="G969" s="8" t="s">
        <v>42</v>
      </c>
      <c r="H969" s="8" t="s">
        <v>374</v>
      </c>
      <c r="I969" s="8">
        <v>0.8</v>
      </c>
      <c r="J969" s="8">
        <v>0.0</v>
      </c>
      <c r="K969" s="8">
        <v>5.0</v>
      </c>
      <c r="L969" s="8">
        <v>0.0</v>
      </c>
      <c r="M969" s="8">
        <v>5.0</v>
      </c>
      <c r="N969" s="8">
        <v>-2.397895273</v>
      </c>
      <c r="O969" s="8">
        <v>3.4</v>
      </c>
      <c r="P969" s="8" t="s">
        <v>368</v>
      </c>
    </row>
    <row r="970">
      <c r="A970" s="8" t="s">
        <v>487</v>
      </c>
      <c r="B970" s="8">
        <v>2012.0</v>
      </c>
      <c r="C970" s="8" t="s">
        <v>373</v>
      </c>
      <c r="D970" s="8" t="s">
        <v>371</v>
      </c>
      <c r="E970" s="8">
        <v>2100.0</v>
      </c>
      <c r="F970" s="8" t="s">
        <v>41</v>
      </c>
      <c r="G970" s="8" t="s">
        <v>382</v>
      </c>
      <c r="H970" s="8" t="s">
        <v>374</v>
      </c>
      <c r="I970" s="8">
        <v>1.0</v>
      </c>
      <c r="J970" s="8">
        <v>0.0</v>
      </c>
      <c r="K970" s="8">
        <v>5.0</v>
      </c>
      <c r="L970" s="8">
        <v>0.0</v>
      </c>
      <c r="M970" s="8">
        <v>5.0</v>
      </c>
      <c r="N970" s="8">
        <v>-2.397895273</v>
      </c>
      <c r="O970" s="8">
        <v>3.4</v>
      </c>
      <c r="P970" s="8" t="s">
        <v>368</v>
      </c>
    </row>
    <row r="971">
      <c r="A971" s="8" t="s">
        <v>487</v>
      </c>
      <c r="B971" s="8">
        <v>2012.0</v>
      </c>
      <c r="C971" s="8" t="s">
        <v>373</v>
      </c>
      <c r="D971" s="8" t="s">
        <v>371</v>
      </c>
      <c r="E971" s="8">
        <v>2100.0</v>
      </c>
      <c r="F971" s="8" t="s">
        <v>41</v>
      </c>
      <c r="G971" s="8" t="s">
        <v>382</v>
      </c>
      <c r="H971" s="8" t="s">
        <v>374</v>
      </c>
      <c r="I971" s="8">
        <v>0.95</v>
      </c>
      <c r="J971" s="8">
        <v>0.0</v>
      </c>
      <c r="K971" s="8">
        <v>5.0</v>
      </c>
      <c r="L971" s="8">
        <v>0.0</v>
      </c>
      <c r="M971" s="8">
        <v>5.0</v>
      </c>
      <c r="N971" s="8">
        <v>-2.397895273</v>
      </c>
      <c r="O971" s="8">
        <v>3.4</v>
      </c>
      <c r="P971" s="8" t="s">
        <v>368</v>
      </c>
    </row>
    <row r="972">
      <c r="A972" s="8" t="s">
        <v>487</v>
      </c>
      <c r="B972" s="8">
        <v>2012.0</v>
      </c>
      <c r="C972" s="8" t="s">
        <v>373</v>
      </c>
      <c r="D972" s="8" t="s">
        <v>371</v>
      </c>
      <c r="E972" s="8">
        <v>2100.0</v>
      </c>
      <c r="F972" s="8" t="s">
        <v>41</v>
      </c>
      <c r="G972" s="8" t="s">
        <v>382</v>
      </c>
      <c r="H972" s="8" t="s">
        <v>374</v>
      </c>
      <c r="I972" s="8">
        <v>0.8</v>
      </c>
      <c r="J972" s="8">
        <v>0.0</v>
      </c>
      <c r="K972" s="8">
        <v>5.0</v>
      </c>
      <c r="L972" s="8">
        <v>0.0</v>
      </c>
      <c r="M972" s="8">
        <v>5.0</v>
      </c>
      <c r="N972" s="8">
        <v>-2.397895273</v>
      </c>
      <c r="O972" s="8">
        <v>3.4</v>
      </c>
      <c r="P972" s="8" t="s">
        <v>368</v>
      </c>
    </row>
    <row r="973">
      <c r="A973" s="8" t="s">
        <v>487</v>
      </c>
      <c r="B973" s="8">
        <v>2012.0</v>
      </c>
      <c r="C973" s="8" t="s">
        <v>373</v>
      </c>
      <c r="D973" s="8" t="s">
        <v>371</v>
      </c>
      <c r="E973" s="8">
        <v>2100.0</v>
      </c>
      <c r="F973" s="8" t="s">
        <v>41</v>
      </c>
      <c r="G973" s="8" t="s">
        <v>382</v>
      </c>
      <c r="H973" s="8" t="s">
        <v>374</v>
      </c>
      <c r="I973" s="8">
        <v>1.0</v>
      </c>
      <c r="J973" s="8">
        <v>0.0</v>
      </c>
      <c r="K973" s="8">
        <v>5.0</v>
      </c>
      <c r="L973" s="8">
        <v>0.0</v>
      </c>
      <c r="M973" s="8">
        <v>5.0</v>
      </c>
      <c r="N973" s="8">
        <v>-2.397895273</v>
      </c>
      <c r="O973" s="8">
        <v>3.4</v>
      </c>
      <c r="P973" s="8" t="s">
        <v>368</v>
      </c>
    </row>
    <row r="974">
      <c r="A974" s="8" t="s">
        <v>487</v>
      </c>
      <c r="B974" s="8">
        <v>2012.0</v>
      </c>
      <c r="C974" s="8" t="s">
        <v>373</v>
      </c>
      <c r="D974" s="8" t="s">
        <v>371</v>
      </c>
      <c r="E974" s="8">
        <v>2100.0</v>
      </c>
      <c r="F974" s="8" t="s">
        <v>41</v>
      </c>
      <c r="G974" s="8" t="s">
        <v>382</v>
      </c>
      <c r="H974" s="8" t="s">
        <v>374</v>
      </c>
      <c r="I974" s="8">
        <v>0.95</v>
      </c>
      <c r="J974" s="8">
        <v>0.0</v>
      </c>
      <c r="K974" s="8">
        <v>5.0</v>
      </c>
      <c r="L974" s="8">
        <v>0.0</v>
      </c>
      <c r="M974" s="8">
        <v>5.0</v>
      </c>
      <c r="N974" s="8">
        <v>-2.397895273</v>
      </c>
      <c r="O974" s="8">
        <v>3.4</v>
      </c>
      <c r="P974" s="8" t="s">
        <v>368</v>
      </c>
    </row>
    <row r="975">
      <c r="A975" s="8" t="s">
        <v>487</v>
      </c>
      <c r="B975" s="8">
        <v>2012.0</v>
      </c>
      <c r="C975" s="8" t="s">
        <v>373</v>
      </c>
      <c r="D975" s="8" t="s">
        <v>371</v>
      </c>
      <c r="E975" s="8">
        <v>2100.0</v>
      </c>
      <c r="F975" s="8" t="s">
        <v>41</v>
      </c>
      <c r="G975" s="8" t="s">
        <v>382</v>
      </c>
      <c r="H975" s="8" t="s">
        <v>374</v>
      </c>
      <c r="I975" s="8">
        <v>0.8</v>
      </c>
      <c r="J975" s="8">
        <v>2.0</v>
      </c>
      <c r="K975" s="8">
        <v>5.0</v>
      </c>
      <c r="L975" s="8">
        <v>0.4</v>
      </c>
      <c r="M975" s="8">
        <v>5.0</v>
      </c>
      <c r="N975" s="8">
        <v>-0.405465108</v>
      </c>
      <c r="O975" s="8">
        <v>3.4</v>
      </c>
      <c r="P975" s="8" t="s">
        <v>368</v>
      </c>
    </row>
    <row r="976">
      <c r="A976" s="8" t="s">
        <v>487</v>
      </c>
      <c r="B976" s="8">
        <v>2012.0</v>
      </c>
      <c r="C976" s="8" t="s">
        <v>373</v>
      </c>
      <c r="D976" s="8" t="s">
        <v>371</v>
      </c>
      <c r="E976" s="8">
        <v>2100.0</v>
      </c>
      <c r="F976" s="8" t="s">
        <v>41</v>
      </c>
      <c r="G976" s="8" t="s">
        <v>42</v>
      </c>
      <c r="H976" s="8" t="s">
        <v>374</v>
      </c>
      <c r="I976" s="8">
        <v>1.0</v>
      </c>
      <c r="J976" s="8">
        <v>0.0</v>
      </c>
      <c r="K976" s="8">
        <v>5.0</v>
      </c>
      <c r="L976" s="8">
        <v>0.0</v>
      </c>
      <c r="M976" s="8">
        <v>5.0</v>
      </c>
      <c r="N976" s="8">
        <v>-2.397895273</v>
      </c>
      <c r="O976" s="8">
        <v>2.0</v>
      </c>
      <c r="P976" s="8" t="s">
        <v>368</v>
      </c>
    </row>
    <row r="977">
      <c r="A977" s="8" t="s">
        <v>487</v>
      </c>
      <c r="B977" s="8">
        <v>2012.0</v>
      </c>
      <c r="C977" s="8" t="s">
        <v>373</v>
      </c>
      <c r="D977" s="8" t="s">
        <v>371</v>
      </c>
      <c r="E977" s="8">
        <v>2100.0</v>
      </c>
      <c r="F977" s="8" t="s">
        <v>41</v>
      </c>
      <c r="G977" s="8" t="s">
        <v>42</v>
      </c>
      <c r="H977" s="8" t="s">
        <v>374</v>
      </c>
      <c r="I977" s="8">
        <v>0.95</v>
      </c>
      <c r="J977" s="8">
        <v>0.0</v>
      </c>
      <c r="K977" s="8">
        <v>5.0</v>
      </c>
      <c r="L977" s="8">
        <v>0.0</v>
      </c>
      <c r="M977" s="8">
        <v>5.0</v>
      </c>
      <c r="N977" s="8">
        <v>-2.397895273</v>
      </c>
      <c r="O977" s="8">
        <v>2.0</v>
      </c>
      <c r="P977" s="8" t="s">
        <v>368</v>
      </c>
    </row>
    <row r="978">
      <c r="A978" s="8" t="s">
        <v>487</v>
      </c>
      <c r="B978" s="8">
        <v>2012.0</v>
      </c>
      <c r="C978" s="8" t="s">
        <v>373</v>
      </c>
      <c r="D978" s="8" t="s">
        <v>371</v>
      </c>
      <c r="E978" s="8">
        <v>2100.0</v>
      </c>
      <c r="F978" s="8" t="s">
        <v>41</v>
      </c>
      <c r="G978" s="8" t="s">
        <v>42</v>
      </c>
      <c r="H978" s="8" t="s">
        <v>374</v>
      </c>
      <c r="I978" s="8">
        <v>0.8</v>
      </c>
      <c r="J978" s="8">
        <v>0.0</v>
      </c>
      <c r="K978" s="8">
        <v>5.0</v>
      </c>
      <c r="L978" s="8">
        <v>0.0</v>
      </c>
      <c r="M978" s="8">
        <v>5.0</v>
      </c>
      <c r="N978" s="8">
        <v>-2.397895273</v>
      </c>
      <c r="O978" s="8">
        <v>2.0</v>
      </c>
      <c r="P978" s="8" t="s">
        <v>368</v>
      </c>
    </row>
    <row r="979">
      <c r="A979" s="8" t="s">
        <v>487</v>
      </c>
      <c r="B979" s="8">
        <v>2012.0</v>
      </c>
      <c r="C979" s="8" t="s">
        <v>373</v>
      </c>
      <c r="D979" s="8" t="s">
        <v>371</v>
      </c>
      <c r="E979" s="8">
        <v>2100.0</v>
      </c>
      <c r="F979" s="8" t="s">
        <v>41</v>
      </c>
      <c r="G979" s="8" t="s">
        <v>382</v>
      </c>
      <c r="H979" s="8" t="s">
        <v>374</v>
      </c>
      <c r="I979" s="8">
        <v>1.0</v>
      </c>
      <c r="J979" s="8">
        <v>0.0</v>
      </c>
      <c r="K979" s="8">
        <v>5.0</v>
      </c>
      <c r="L979" s="8">
        <v>0.0</v>
      </c>
      <c r="M979" s="8">
        <v>5.0</v>
      </c>
      <c r="N979" s="8">
        <v>-2.397895273</v>
      </c>
      <c r="O979" s="8">
        <v>2.0</v>
      </c>
      <c r="P979" s="8" t="s">
        <v>368</v>
      </c>
    </row>
    <row r="980">
      <c r="A980" s="8" t="s">
        <v>487</v>
      </c>
      <c r="B980" s="8">
        <v>2012.0</v>
      </c>
      <c r="C980" s="8" t="s">
        <v>373</v>
      </c>
      <c r="D980" s="8" t="s">
        <v>371</v>
      </c>
      <c r="E980" s="8">
        <v>2100.0</v>
      </c>
      <c r="F980" s="8" t="s">
        <v>41</v>
      </c>
      <c r="G980" s="8" t="s">
        <v>382</v>
      </c>
      <c r="H980" s="8" t="s">
        <v>374</v>
      </c>
      <c r="I980" s="8">
        <v>0.95</v>
      </c>
      <c r="J980" s="8">
        <v>0.0</v>
      </c>
      <c r="K980" s="8">
        <v>5.0</v>
      </c>
      <c r="L980" s="8">
        <v>0.0</v>
      </c>
      <c r="M980" s="8">
        <v>5.0</v>
      </c>
      <c r="N980" s="8">
        <v>-2.397895273</v>
      </c>
      <c r="O980" s="8">
        <v>2.0</v>
      </c>
      <c r="P980" s="8" t="s">
        <v>368</v>
      </c>
    </row>
    <row r="981">
      <c r="A981" s="8" t="s">
        <v>487</v>
      </c>
      <c r="B981" s="8">
        <v>2012.0</v>
      </c>
      <c r="C981" s="8" t="s">
        <v>373</v>
      </c>
      <c r="D981" s="8" t="s">
        <v>371</v>
      </c>
      <c r="E981" s="8">
        <v>2100.0</v>
      </c>
      <c r="F981" s="8" t="s">
        <v>41</v>
      </c>
      <c r="G981" s="8" t="s">
        <v>382</v>
      </c>
      <c r="H981" s="8" t="s">
        <v>374</v>
      </c>
      <c r="I981" s="8">
        <v>0.8</v>
      </c>
      <c r="J981" s="8">
        <v>0.0</v>
      </c>
      <c r="K981" s="8">
        <v>5.0</v>
      </c>
      <c r="L981" s="8">
        <v>0.0</v>
      </c>
      <c r="M981" s="8">
        <v>5.0</v>
      </c>
      <c r="N981" s="8">
        <v>-2.397895273</v>
      </c>
      <c r="O981" s="8">
        <v>2.0</v>
      </c>
      <c r="P981" s="8" t="s">
        <v>368</v>
      </c>
    </row>
    <row r="982">
      <c r="A982" s="8" t="s">
        <v>487</v>
      </c>
      <c r="B982" s="8">
        <v>2012.0</v>
      </c>
      <c r="C982" s="8" t="s">
        <v>373</v>
      </c>
      <c r="D982" s="8" t="s">
        <v>371</v>
      </c>
      <c r="E982" s="8">
        <v>2100.0</v>
      </c>
      <c r="F982" s="8" t="s">
        <v>41</v>
      </c>
      <c r="G982" s="8" t="s">
        <v>382</v>
      </c>
      <c r="H982" s="8" t="s">
        <v>374</v>
      </c>
      <c r="I982" s="8">
        <v>1.0</v>
      </c>
      <c r="J982" s="8">
        <v>0.0</v>
      </c>
      <c r="K982" s="8">
        <v>5.0</v>
      </c>
      <c r="L982" s="8">
        <v>0.0</v>
      </c>
      <c r="M982" s="8">
        <v>5.0</v>
      </c>
      <c r="N982" s="8">
        <v>-2.397895273</v>
      </c>
      <c r="O982" s="8">
        <v>2.0</v>
      </c>
      <c r="P982" s="8" t="s">
        <v>368</v>
      </c>
    </row>
    <row r="983">
      <c r="A983" s="8" t="s">
        <v>487</v>
      </c>
      <c r="B983" s="8">
        <v>2012.0</v>
      </c>
      <c r="C983" s="8" t="s">
        <v>373</v>
      </c>
      <c r="D983" s="8" t="s">
        <v>371</v>
      </c>
      <c r="E983" s="8">
        <v>2100.0</v>
      </c>
      <c r="F983" s="8" t="s">
        <v>41</v>
      </c>
      <c r="G983" s="8" t="s">
        <v>382</v>
      </c>
      <c r="H983" s="8" t="s">
        <v>374</v>
      </c>
      <c r="I983" s="8">
        <v>0.95</v>
      </c>
      <c r="J983" s="8">
        <v>0.0</v>
      </c>
      <c r="K983" s="8">
        <v>5.0</v>
      </c>
      <c r="L983" s="8">
        <v>0.0</v>
      </c>
      <c r="M983" s="8">
        <v>5.0</v>
      </c>
      <c r="N983" s="8">
        <v>-2.397895273</v>
      </c>
      <c r="O983" s="8">
        <v>2.0</v>
      </c>
      <c r="P983" s="8" t="s">
        <v>368</v>
      </c>
    </row>
    <row r="984">
      <c r="A984" s="8" t="s">
        <v>487</v>
      </c>
      <c r="B984" s="8">
        <v>2012.0</v>
      </c>
      <c r="C984" s="8" t="s">
        <v>373</v>
      </c>
      <c r="D984" s="8" t="s">
        <v>371</v>
      </c>
      <c r="E984" s="8">
        <v>2100.0</v>
      </c>
      <c r="F984" s="8" t="s">
        <v>41</v>
      </c>
      <c r="G984" s="8" t="s">
        <v>382</v>
      </c>
      <c r="H984" s="8" t="s">
        <v>374</v>
      </c>
      <c r="I984" s="8">
        <v>0.8</v>
      </c>
      <c r="J984" s="8">
        <v>1.0</v>
      </c>
      <c r="K984" s="8">
        <v>5.0</v>
      </c>
      <c r="L984" s="8">
        <v>0.2</v>
      </c>
      <c r="M984" s="8">
        <v>5.0</v>
      </c>
      <c r="N984" s="8">
        <v>-1.386294361</v>
      </c>
      <c r="O984" s="8">
        <v>2.0</v>
      </c>
      <c r="P984" s="8" t="s">
        <v>368</v>
      </c>
    </row>
    <row r="985">
      <c r="A985" s="8" t="s">
        <v>488</v>
      </c>
      <c r="B985" s="8">
        <v>2012.0</v>
      </c>
      <c r="C985" s="8" t="s">
        <v>32</v>
      </c>
      <c r="D985" s="8" t="s">
        <v>375</v>
      </c>
      <c r="E985" s="8">
        <v>2020.0</v>
      </c>
      <c r="F985" s="8" t="s">
        <v>34</v>
      </c>
      <c r="G985" s="8" t="s">
        <v>42</v>
      </c>
      <c r="H985" s="8" t="s">
        <v>374</v>
      </c>
      <c r="I985" s="8">
        <v>1.0</v>
      </c>
      <c r="J985" s="8">
        <v>0.0</v>
      </c>
      <c r="K985" s="8">
        <v>4.0</v>
      </c>
      <c r="L985" s="8">
        <v>0.0</v>
      </c>
      <c r="M985" s="8">
        <v>4.0</v>
      </c>
      <c r="N985" s="8">
        <v>-2.197224577</v>
      </c>
      <c r="O985" s="8">
        <v>1.09</v>
      </c>
      <c r="P985" s="8" t="s">
        <v>368</v>
      </c>
    </row>
    <row r="986">
      <c r="A986" s="8" t="s">
        <v>488</v>
      </c>
      <c r="B986" s="8">
        <v>2012.0</v>
      </c>
      <c r="C986" s="8" t="s">
        <v>32</v>
      </c>
      <c r="D986" s="8" t="s">
        <v>375</v>
      </c>
      <c r="E986" s="8">
        <v>2020.0</v>
      </c>
      <c r="F986" s="8" t="s">
        <v>34</v>
      </c>
      <c r="G986" s="8" t="s">
        <v>42</v>
      </c>
      <c r="H986" s="8" t="s">
        <v>374</v>
      </c>
      <c r="I986" s="8">
        <v>0.95</v>
      </c>
      <c r="J986" s="8">
        <v>0.0</v>
      </c>
      <c r="K986" s="8">
        <v>4.0</v>
      </c>
      <c r="L986" s="8">
        <v>0.0</v>
      </c>
      <c r="M986" s="8">
        <v>4.0</v>
      </c>
      <c r="N986" s="8">
        <v>-2.197224577</v>
      </c>
      <c r="O986" s="8">
        <v>1.09</v>
      </c>
      <c r="P986" s="8" t="s">
        <v>368</v>
      </c>
    </row>
    <row r="987">
      <c r="A987" s="8" t="s">
        <v>488</v>
      </c>
      <c r="B987" s="8">
        <v>2012.0</v>
      </c>
      <c r="C987" s="8" t="s">
        <v>32</v>
      </c>
      <c r="D987" s="8" t="s">
        <v>375</v>
      </c>
      <c r="E987" s="8">
        <v>2020.0</v>
      </c>
      <c r="F987" s="8" t="s">
        <v>34</v>
      </c>
      <c r="G987" s="8" t="s">
        <v>42</v>
      </c>
      <c r="H987" s="8" t="s">
        <v>374</v>
      </c>
      <c r="I987" s="8">
        <v>0.8</v>
      </c>
      <c r="J987" s="8">
        <v>0.0</v>
      </c>
      <c r="K987" s="8">
        <v>4.0</v>
      </c>
      <c r="L987" s="8">
        <v>0.0</v>
      </c>
      <c r="M987" s="8">
        <v>4.0</v>
      </c>
      <c r="N987" s="8">
        <v>-2.197224577</v>
      </c>
      <c r="O987" s="8">
        <v>1.09</v>
      </c>
      <c r="P987" s="8" t="s">
        <v>368</v>
      </c>
    </row>
    <row r="988">
      <c r="A988" s="8" t="s">
        <v>488</v>
      </c>
      <c r="B988" s="8">
        <v>2012.0</v>
      </c>
      <c r="C988" s="8" t="s">
        <v>32</v>
      </c>
      <c r="D988" s="8" t="s">
        <v>375</v>
      </c>
      <c r="E988" s="8">
        <v>2020.0</v>
      </c>
      <c r="F988" s="8" t="s">
        <v>34</v>
      </c>
      <c r="G988" s="8" t="s">
        <v>42</v>
      </c>
      <c r="H988" s="8" t="s">
        <v>374</v>
      </c>
      <c r="I988" s="8">
        <v>1.0</v>
      </c>
      <c r="J988" s="8">
        <v>0.0</v>
      </c>
      <c r="K988" s="8">
        <v>4.0</v>
      </c>
      <c r="L988" s="8">
        <v>0.0</v>
      </c>
      <c r="M988" s="8">
        <v>4.0</v>
      </c>
      <c r="N988" s="8">
        <v>-2.197224577</v>
      </c>
      <c r="O988" s="8">
        <v>1.24</v>
      </c>
      <c r="P988" s="8" t="s">
        <v>368</v>
      </c>
    </row>
    <row r="989">
      <c r="A989" s="8" t="s">
        <v>488</v>
      </c>
      <c r="B989" s="8">
        <v>2012.0</v>
      </c>
      <c r="C989" s="8" t="s">
        <v>32</v>
      </c>
      <c r="D989" s="8" t="s">
        <v>375</v>
      </c>
      <c r="E989" s="8">
        <v>2020.0</v>
      </c>
      <c r="F989" s="8" t="s">
        <v>34</v>
      </c>
      <c r="G989" s="8" t="s">
        <v>42</v>
      </c>
      <c r="H989" s="8" t="s">
        <v>374</v>
      </c>
      <c r="I989" s="8">
        <v>0.95</v>
      </c>
      <c r="J989" s="8">
        <v>0.0</v>
      </c>
      <c r="K989" s="8">
        <v>4.0</v>
      </c>
      <c r="L989" s="8">
        <v>0.0</v>
      </c>
      <c r="M989" s="8">
        <v>4.0</v>
      </c>
      <c r="N989" s="8">
        <v>-2.197224577</v>
      </c>
      <c r="O989" s="8">
        <v>1.24</v>
      </c>
      <c r="P989" s="8" t="s">
        <v>368</v>
      </c>
    </row>
    <row r="990">
      <c r="A990" s="8" t="s">
        <v>488</v>
      </c>
      <c r="B990" s="8">
        <v>2012.0</v>
      </c>
      <c r="C990" s="8" t="s">
        <v>32</v>
      </c>
      <c r="D990" s="8" t="s">
        <v>375</v>
      </c>
      <c r="E990" s="8">
        <v>2020.0</v>
      </c>
      <c r="F990" s="8" t="s">
        <v>34</v>
      </c>
      <c r="G990" s="8" t="s">
        <v>42</v>
      </c>
      <c r="H990" s="8" t="s">
        <v>374</v>
      </c>
      <c r="I990" s="8">
        <v>0.8</v>
      </c>
      <c r="J990" s="8">
        <v>0.0</v>
      </c>
      <c r="K990" s="8">
        <v>4.0</v>
      </c>
      <c r="L990" s="8">
        <v>0.0</v>
      </c>
      <c r="M990" s="8">
        <v>4.0</v>
      </c>
      <c r="N990" s="8">
        <v>-2.197224577</v>
      </c>
      <c r="O990" s="8">
        <v>1.24</v>
      </c>
      <c r="P990" s="8" t="s">
        <v>368</v>
      </c>
    </row>
    <row r="991">
      <c r="A991" s="8" t="s">
        <v>488</v>
      </c>
      <c r="B991" s="8">
        <v>2012.0</v>
      </c>
      <c r="C991" s="8" t="s">
        <v>32</v>
      </c>
      <c r="D991" s="8" t="s">
        <v>375</v>
      </c>
      <c r="E991" s="8">
        <v>2050.0</v>
      </c>
      <c r="F991" s="8" t="s">
        <v>34</v>
      </c>
      <c r="G991" s="8" t="s">
        <v>42</v>
      </c>
      <c r="H991" s="8" t="s">
        <v>374</v>
      </c>
      <c r="I991" s="8">
        <v>1.0</v>
      </c>
      <c r="J991" s="8">
        <v>0.0</v>
      </c>
      <c r="K991" s="8">
        <v>4.0</v>
      </c>
      <c r="L991" s="8">
        <v>0.0</v>
      </c>
      <c r="M991" s="8">
        <v>4.0</v>
      </c>
      <c r="N991" s="8">
        <v>-2.197224577</v>
      </c>
      <c r="O991" s="8">
        <v>1.71</v>
      </c>
      <c r="P991" s="8" t="s">
        <v>368</v>
      </c>
    </row>
    <row r="992">
      <c r="A992" s="8" t="s">
        <v>488</v>
      </c>
      <c r="B992" s="8">
        <v>2012.0</v>
      </c>
      <c r="C992" s="8" t="s">
        <v>32</v>
      </c>
      <c r="D992" s="8" t="s">
        <v>375</v>
      </c>
      <c r="E992" s="8">
        <v>2050.0</v>
      </c>
      <c r="F992" s="8" t="s">
        <v>34</v>
      </c>
      <c r="G992" s="8" t="s">
        <v>42</v>
      </c>
      <c r="H992" s="8" t="s">
        <v>374</v>
      </c>
      <c r="I992" s="8">
        <v>0.95</v>
      </c>
      <c r="J992" s="8">
        <v>0.0</v>
      </c>
      <c r="K992" s="8">
        <v>4.0</v>
      </c>
      <c r="L992" s="8">
        <v>0.0</v>
      </c>
      <c r="M992" s="8">
        <v>4.0</v>
      </c>
      <c r="N992" s="8">
        <v>-2.197224577</v>
      </c>
      <c r="O992" s="8">
        <v>1.71</v>
      </c>
      <c r="P992" s="8" t="s">
        <v>368</v>
      </c>
    </row>
    <row r="993">
      <c r="A993" s="8" t="s">
        <v>488</v>
      </c>
      <c r="B993" s="8">
        <v>2012.0</v>
      </c>
      <c r="C993" s="8" t="s">
        <v>32</v>
      </c>
      <c r="D993" s="8" t="s">
        <v>375</v>
      </c>
      <c r="E993" s="8">
        <v>2050.0</v>
      </c>
      <c r="F993" s="8" t="s">
        <v>34</v>
      </c>
      <c r="G993" s="8" t="s">
        <v>42</v>
      </c>
      <c r="H993" s="8" t="s">
        <v>374</v>
      </c>
      <c r="I993" s="8">
        <v>0.8</v>
      </c>
      <c r="J993" s="8">
        <v>0.0</v>
      </c>
      <c r="K993" s="8">
        <v>4.0</v>
      </c>
      <c r="L993" s="8">
        <v>0.0</v>
      </c>
      <c r="M993" s="8">
        <v>4.0</v>
      </c>
      <c r="N993" s="8">
        <v>-2.197224577</v>
      </c>
      <c r="O993" s="8">
        <v>1.71</v>
      </c>
      <c r="P993" s="8" t="s">
        <v>368</v>
      </c>
    </row>
    <row r="994">
      <c r="A994" s="8" t="s">
        <v>488</v>
      </c>
      <c r="B994" s="8">
        <v>2012.0</v>
      </c>
      <c r="C994" s="8" t="s">
        <v>32</v>
      </c>
      <c r="D994" s="8" t="s">
        <v>375</v>
      </c>
      <c r="E994" s="8">
        <v>2050.0</v>
      </c>
      <c r="F994" s="8" t="s">
        <v>34</v>
      </c>
      <c r="G994" s="8" t="s">
        <v>42</v>
      </c>
      <c r="H994" s="8" t="s">
        <v>374</v>
      </c>
      <c r="I994" s="8">
        <v>1.0</v>
      </c>
      <c r="J994" s="8">
        <v>0.0</v>
      </c>
      <c r="K994" s="8">
        <v>4.0</v>
      </c>
      <c r="L994" s="8">
        <v>0.0</v>
      </c>
      <c r="M994" s="8">
        <v>4.0</v>
      </c>
      <c r="N994" s="8">
        <v>-2.197224577</v>
      </c>
      <c r="O994" s="8">
        <v>2.54</v>
      </c>
      <c r="P994" s="8" t="s">
        <v>368</v>
      </c>
    </row>
    <row r="995">
      <c r="A995" s="8" t="s">
        <v>488</v>
      </c>
      <c r="B995" s="8">
        <v>2012.0</v>
      </c>
      <c r="C995" s="8" t="s">
        <v>32</v>
      </c>
      <c r="D995" s="8" t="s">
        <v>375</v>
      </c>
      <c r="E995" s="8">
        <v>2050.0</v>
      </c>
      <c r="F995" s="8" t="s">
        <v>34</v>
      </c>
      <c r="G995" s="8" t="s">
        <v>42</v>
      </c>
      <c r="H995" s="8" t="s">
        <v>374</v>
      </c>
      <c r="I995" s="8">
        <v>0.95</v>
      </c>
      <c r="J995" s="8">
        <v>0.0</v>
      </c>
      <c r="K995" s="8">
        <v>4.0</v>
      </c>
      <c r="L995" s="8">
        <v>0.0</v>
      </c>
      <c r="M995" s="8">
        <v>4.0</v>
      </c>
      <c r="N995" s="8">
        <v>-2.197224577</v>
      </c>
      <c r="O995" s="8">
        <v>2.54</v>
      </c>
      <c r="P995" s="8" t="s">
        <v>368</v>
      </c>
    </row>
    <row r="996">
      <c r="A996" s="8" t="s">
        <v>488</v>
      </c>
      <c r="B996" s="8">
        <v>2012.0</v>
      </c>
      <c r="C996" s="8" t="s">
        <v>32</v>
      </c>
      <c r="D996" s="8" t="s">
        <v>375</v>
      </c>
      <c r="E996" s="8">
        <v>2050.0</v>
      </c>
      <c r="F996" s="8" t="s">
        <v>34</v>
      </c>
      <c r="G996" s="8" t="s">
        <v>42</v>
      </c>
      <c r="H996" s="8" t="s">
        <v>374</v>
      </c>
      <c r="I996" s="8">
        <v>0.8</v>
      </c>
      <c r="J996" s="8">
        <v>0.0</v>
      </c>
      <c r="K996" s="8">
        <v>4.0</v>
      </c>
      <c r="L996" s="8">
        <v>0.0</v>
      </c>
      <c r="M996" s="8">
        <v>4.0</v>
      </c>
      <c r="N996" s="8">
        <v>-2.197224577</v>
      </c>
      <c r="O996" s="8">
        <v>2.54</v>
      </c>
      <c r="P996" s="8" t="s">
        <v>368</v>
      </c>
    </row>
    <row r="997">
      <c r="A997" s="8" t="s">
        <v>488</v>
      </c>
      <c r="B997" s="8">
        <v>2012.0</v>
      </c>
      <c r="C997" s="8" t="s">
        <v>32</v>
      </c>
      <c r="D997" s="8" t="s">
        <v>375</v>
      </c>
      <c r="E997" s="8">
        <v>2080.0</v>
      </c>
      <c r="F997" s="8" t="s">
        <v>34</v>
      </c>
      <c r="G997" s="8" t="s">
        <v>42</v>
      </c>
      <c r="H997" s="8" t="s">
        <v>374</v>
      </c>
      <c r="I997" s="8">
        <v>1.0</v>
      </c>
      <c r="J997" s="8">
        <v>0.0</v>
      </c>
      <c r="K997" s="8">
        <v>4.0</v>
      </c>
      <c r="L997" s="8">
        <v>0.0</v>
      </c>
      <c r="M997" s="8">
        <v>4.0</v>
      </c>
      <c r="N997" s="8">
        <v>-2.197224577</v>
      </c>
      <c r="O997" s="8">
        <v>2.3</v>
      </c>
      <c r="P997" s="8" t="s">
        <v>368</v>
      </c>
    </row>
    <row r="998">
      <c r="A998" s="8" t="s">
        <v>488</v>
      </c>
      <c r="B998" s="8">
        <v>2012.0</v>
      </c>
      <c r="C998" s="8" t="s">
        <v>32</v>
      </c>
      <c r="D998" s="8" t="s">
        <v>375</v>
      </c>
      <c r="E998" s="8">
        <v>2080.0</v>
      </c>
      <c r="F998" s="8" t="s">
        <v>34</v>
      </c>
      <c r="G998" s="8" t="s">
        <v>42</v>
      </c>
      <c r="H998" s="8" t="s">
        <v>374</v>
      </c>
      <c r="I998" s="8">
        <v>0.95</v>
      </c>
      <c r="J998" s="8">
        <v>0.0</v>
      </c>
      <c r="K998" s="8">
        <v>4.0</v>
      </c>
      <c r="L998" s="8">
        <v>0.0</v>
      </c>
      <c r="M998" s="8">
        <v>4.0</v>
      </c>
      <c r="N998" s="8">
        <v>-2.197224577</v>
      </c>
      <c r="O998" s="8">
        <v>2.3</v>
      </c>
      <c r="P998" s="8" t="s">
        <v>368</v>
      </c>
    </row>
    <row r="999">
      <c r="A999" s="8" t="s">
        <v>488</v>
      </c>
      <c r="B999" s="8">
        <v>2012.0</v>
      </c>
      <c r="C999" s="8" t="s">
        <v>32</v>
      </c>
      <c r="D999" s="8" t="s">
        <v>375</v>
      </c>
      <c r="E999" s="8">
        <v>2080.0</v>
      </c>
      <c r="F999" s="8" t="s">
        <v>34</v>
      </c>
      <c r="G999" s="8" t="s">
        <v>42</v>
      </c>
      <c r="H999" s="8" t="s">
        <v>374</v>
      </c>
      <c r="I999" s="8">
        <v>0.8</v>
      </c>
      <c r="J999" s="8">
        <v>0.0</v>
      </c>
      <c r="K999" s="8">
        <v>4.0</v>
      </c>
      <c r="L999" s="8">
        <v>0.0</v>
      </c>
      <c r="M999" s="8">
        <v>4.0</v>
      </c>
      <c r="N999" s="8">
        <v>-2.197224577</v>
      </c>
      <c r="O999" s="8">
        <v>2.3</v>
      </c>
      <c r="P999" s="8" t="s">
        <v>368</v>
      </c>
    </row>
    <row r="1000">
      <c r="A1000" s="8" t="s">
        <v>488</v>
      </c>
      <c r="B1000" s="8">
        <v>2012.0</v>
      </c>
      <c r="C1000" s="8" t="s">
        <v>32</v>
      </c>
      <c r="D1000" s="8" t="s">
        <v>375</v>
      </c>
      <c r="E1000" s="8">
        <v>2080.0</v>
      </c>
      <c r="F1000" s="8" t="s">
        <v>34</v>
      </c>
      <c r="G1000" s="8" t="s">
        <v>42</v>
      </c>
      <c r="H1000" s="8" t="s">
        <v>374</v>
      </c>
      <c r="I1000" s="8">
        <v>1.0</v>
      </c>
      <c r="J1000" s="8">
        <v>0.0</v>
      </c>
      <c r="K1000" s="8">
        <v>4.0</v>
      </c>
      <c r="L1000" s="8">
        <v>0.0</v>
      </c>
      <c r="M1000" s="8">
        <v>4.0</v>
      </c>
      <c r="N1000" s="8">
        <v>-2.197224577</v>
      </c>
      <c r="O1000" s="8">
        <v>4.18</v>
      </c>
      <c r="P1000" s="8" t="s">
        <v>368</v>
      </c>
    </row>
    <row r="1001">
      <c r="A1001" s="8" t="s">
        <v>488</v>
      </c>
      <c r="B1001" s="8">
        <v>2012.0</v>
      </c>
      <c r="C1001" s="8" t="s">
        <v>32</v>
      </c>
      <c r="D1001" s="8" t="s">
        <v>375</v>
      </c>
      <c r="E1001" s="8">
        <v>2080.0</v>
      </c>
      <c r="F1001" s="8" t="s">
        <v>34</v>
      </c>
      <c r="G1001" s="8" t="s">
        <v>42</v>
      </c>
      <c r="H1001" s="8" t="s">
        <v>374</v>
      </c>
      <c r="I1001" s="8">
        <v>0.95</v>
      </c>
      <c r="J1001" s="8">
        <v>0.0</v>
      </c>
      <c r="K1001" s="8">
        <v>4.0</v>
      </c>
      <c r="L1001" s="8">
        <v>0.0</v>
      </c>
      <c r="M1001" s="8">
        <v>4.0</v>
      </c>
      <c r="N1001" s="8">
        <v>-2.197224577</v>
      </c>
      <c r="O1001" s="8">
        <v>4.18</v>
      </c>
      <c r="P1001" s="8" t="s">
        <v>368</v>
      </c>
    </row>
    <row r="1002">
      <c r="A1002" s="8" t="s">
        <v>488</v>
      </c>
      <c r="B1002" s="8">
        <v>2012.0</v>
      </c>
      <c r="C1002" s="8" t="s">
        <v>32</v>
      </c>
      <c r="D1002" s="8" t="s">
        <v>375</v>
      </c>
      <c r="E1002" s="8">
        <v>2080.0</v>
      </c>
      <c r="F1002" s="8" t="s">
        <v>34</v>
      </c>
      <c r="G1002" s="8" t="s">
        <v>42</v>
      </c>
      <c r="H1002" s="8" t="s">
        <v>374</v>
      </c>
      <c r="I1002" s="8">
        <v>0.8</v>
      </c>
      <c r="J1002" s="8">
        <v>0.0</v>
      </c>
      <c r="K1002" s="8">
        <v>4.0</v>
      </c>
      <c r="L1002" s="8">
        <v>0.0</v>
      </c>
      <c r="M1002" s="8">
        <v>4.0</v>
      </c>
      <c r="N1002" s="8">
        <v>-2.197224577</v>
      </c>
      <c r="O1002" s="8">
        <v>4.18</v>
      </c>
      <c r="P1002" s="8" t="s">
        <v>368</v>
      </c>
    </row>
    <row r="1003">
      <c r="A1003" s="8" t="s">
        <v>489</v>
      </c>
      <c r="B1003" s="8">
        <v>2012.0</v>
      </c>
      <c r="C1003" s="8" t="s">
        <v>365</v>
      </c>
      <c r="D1003" s="8" t="s">
        <v>375</v>
      </c>
      <c r="E1003" s="8">
        <v>2100.0</v>
      </c>
      <c r="F1003" s="8" t="s">
        <v>34</v>
      </c>
      <c r="G1003" s="8" t="s">
        <v>460</v>
      </c>
      <c r="H1003" s="8" t="s">
        <v>416</v>
      </c>
      <c r="I1003" s="8">
        <v>0.8</v>
      </c>
      <c r="J1003" s="8">
        <v>13.0</v>
      </c>
      <c r="K1003" s="8">
        <v>358.0</v>
      </c>
      <c r="L1003" s="8">
        <v>0.036312849</v>
      </c>
      <c r="M1003" s="8">
        <v>358.0</v>
      </c>
      <c r="N1003" s="8">
        <v>-3.27859506</v>
      </c>
      <c r="O1003" s="8" t="s">
        <v>36</v>
      </c>
      <c r="P1003" s="8" t="s">
        <v>36</v>
      </c>
    </row>
    <row r="1004">
      <c r="A1004" s="8" t="s">
        <v>490</v>
      </c>
      <c r="B1004" s="8">
        <v>2013.0</v>
      </c>
      <c r="C1004" s="8" t="s">
        <v>32</v>
      </c>
      <c r="D1004" s="8" t="s">
        <v>370</v>
      </c>
      <c r="E1004" s="8">
        <v>2050.0</v>
      </c>
      <c r="F1004" s="8" t="s">
        <v>41</v>
      </c>
      <c r="G1004" s="8" t="s">
        <v>42</v>
      </c>
      <c r="H1004" s="8" t="s">
        <v>374</v>
      </c>
      <c r="I1004" s="8">
        <v>1.0</v>
      </c>
      <c r="J1004" s="8">
        <v>0.0</v>
      </c>
      <c r="K1004" s="8">
        <v>7.0</v>
      </c>
      <c r="L1004" s="8">
        <v>0.0</v>
      </c>
      <c r="M1004" s="8">
        <v>7.0</v>
      </c>
      <c r="N1004" s="8">
        <v>-2.708050201</v>
      </c>
      <c r="O1004" s="8">
        <v>2.26</v>
      </c>
      <c r="P1004" s="8" t="s">
        <v>368</v>
      </c>
    </row>
    <row r="1005">
      <c r="A1005" s="8" t="s">
        <v>490</v>
      </c>
      <c r="B1005" s="8">
        <v>2013.0</v>
      </c>
      <c r="C1005" s="8" t="s">
        <v>32</v>
      </c>
      <c r="D1005" s="8" t="s">
        <v>370</v>
      </c>
      <c r="E1005" s="8">
        <v>2050.0</v>
      </c>
      <c r="F1005" s="8" t="s">
        <v>41</v>
      </c>
      <c r="G1005" s="8" t="s">
        <v>42</v>
      </c>
      <c r="H1005" s="8" t="s">
        <v>374</v>
      </c>
      <c r="I1005" s="8">
        <v>0.95</v>
      </c>
      <c r="J1005" s="8">
        <v>0.0</v>
      </c>
      <c r="K1005" s="8">
        <v>7.0</v>
      </c>
      <c r="L1005" s="8">
        <v>0.0</v>
      </c>
      <c r="M1005" s="8">
        <v>7.0</v>
      </c>
      <c r="N1005" s="8">
        <v>-2.708050201</v>
      </c>
      <c r="O1005" s="8">
        <v>2.26</v>
      </c>
      <c r="P1005" s="8" t="s">
        <v>368</v>
      </c>
    </row>
    <row r="1006">
      <c r="A1006" s="8" t="s">
        <v>490</v>
      </c>
      <c r="B1006" s="8">
        <v>2013.0</v>
      </c>
      <c r="C1006" s="8" t="s">
        <v>32</v>
      </c>
      <c r="D1006" s="8" t="s">
        <v>370</v>
      </c>
      <c r="E1006" s="8">
        <v>2050.0</v>
      </c>
      <c r="F1006" s="8" t="s">
        <v>41</v>
      </c>
      <c r="G1006" s="8" t="s">
        <v>42</v>
      </c>
      <c r="H1006" s="8" t="s">
        <v>374</v>
      </c>
      <c r="I1006" s="8">
        <v>0.8</v>
      </c>
      <c r="J1006" s="8">
        <v>0.0</v>
      </c>
      <c r="K1006" s="8">
        <v>7.0</v>
      </c>
      <c r="L1006" s="8">
        <v>0.0</v>
      </c>
      <c r="M1006" s="8">
        <v>7.0</v>
      </c>
      <c r="N1006" s="8">
        <v>-2.708050201</v>
      </c>
      <c r="O1006" s="8">
        <v>2.26</v>
      </c>
      <c r="P1006" s="8" t="s">
        <v>368</v>
      </c>
    </row>
    <row r="1007">
      <c r="A1007" s="8" t="s">
        <v>490</v>
      </c>
      <c r="B1007" s="8">
        <v>2013.0</v>
      </c>
      <c r="C1007" s="8" t="s">
        <v>32</v>
      </c>
      <c r="D1007" s="8" t="s">
        <v>370</v>
      </c>
      <c r="E1007" s="8">
        <v>2080.0</v>
      </c>
      <c r="F1007" s="8" t="s">
        <v>41</v>
      </c>
      <c r="G1007" s="8" t="s">
        <v>42</v>
      </c>
      <c r="H1007" s="8" t="s">
        <v>374</v>
      </c>
      <c r="I1007" s="8">
        <v>1.0</v>
      </c>
      <c r="J1007" s="8">
        <v>0.0</v>
      </c>
      <c r="K1007" s="8">
        <v>7.0</v>
      </c>
      <c r="L1007" s="8">
        <v>0.0</v>
      </c>
      <c r="M1007" s="8">
        <v>7.0</v>
      </c>
      <c r="N1007" s="8">
        <v>-2.708050201</v>
      </c>
      <c r="O1007" s="8">
        <v>3.76</v>
      </c>
      <c r="P1007" s="8" t="s">
        <v>368</v>
      </c>
    </row>
    <row r="1008">
      <c r="A1008" s="8" t="s">
        <v>490</v>
      </c>
      <c r="B1008" s="8">
        <v>2013.0</v>
      </c>
      <c r="C1008" s="8" t="s">
        <v>32</v>
      </c>
      <c r="D1008" s="8" t="s">
        <v>370</v>
      </c>
      <c r="E1008" s="8">
        <v>2080.0</v>
      </c>
      <c r="F1008" s="8" t="s">
        <v>41</v>
      </c>
      <c r="G1008" s="8" t="s">
        <v>42</v>
      </c>
      <c r="H1008" s="8" t="s">
        <v>374</v>
      </c>
      <c r="I1008" s="8">
        <v>0.95</v>
      </c>
      <c r="J1008" s="8">
        <v>0.0</v>
      </c>
      <c r="K1008" s="8">
        <v>7.0</v>
      </c>
      <c r="L1008" s="8">
        <v>0.0</v>
      </c>
      <c r="M1008" s="8">
        <v>7.0</v>
      </c>
      <c r="N1008" s="8">
        <v>-2.708050201</v>
      </c>
      <c r="O1008" s="8">
        <v>3.76</v>
      </c>
      <c r="P1008" s="8" t="s">
        <v>368</v>
      </c>
    </row>
    <row r="1009">
      <c r="A1009" s="8" t="s">
        <v>490</v>
      </c>
      <c r="B1009" s="8">
        <v>2013.0</v>
      </c>
      <c r="C1009" s="8" t="s">
        <v>32</v>
      </c>
      <c r="D1009" s="8" t="s">
        <v>370</v>
      </c>
      <c r="E1009" s="8">
        <v>2080.0</v>
      </c>
      <c r="F1009" s="8" t="s">
        <v>41</v>
      </c>
      <c r="G1009" s="8" t="s">
        <v>42</v>
      </c>
      <c r="H1009" s="8" t="s">
        <v>374</v>
      </c>
      <c r="I1009" s="8">
        <v>0.8</v>
      </c>
      <c r="J1009" s="8">
        <v>1.0</v>
      </c>
      <c r="K1009" s="8">
        <v>7.0</v>
      </c>
      <c r="L1009" s="8">
        <v>0.142857143</v>
      </c>
      <c r="M1009" s="8">
        <v>7.0</v>
      </c>
      <c r="N1009" s="8">
        <v>-1.791759469</v>
      </c>
      <c r="O1009" s="8">
        <v>3.76</v>
      </c>
      <c r="P1009" s="8" t="s">
        <v>368</v>
      </c>
    </row>
    <row r="1010">
      <c r="A1010" s="8" t="s">
        <v>491</v>
      </c>
      <c r="B1010" s="8">
        <v>2013.0</v>
      </c>
      <c r="C1010" s="8" t="s">
        <v>39</v>
      </c>
      <c r="D1010" s="8" t="s">
        <v>376</v>
      </c>
      <c r="E1010" s="8">
        <v>2050.0</v>
      </c>
      <c r="F1010" s="8" t="s">
        <v>41</v>
      </c>
      <c r="G1010" s="8" t="s">
        <v>42</v>
      </c>
      <c r="H1010" s="8" t="s">
        <v>374</v>
      </c>
      <c r="I1010" s="8">
        <v>0.8</v>
      </c>
      <c r="J1010" s="8">
        <v>0.0</v>
      </c>
      <c r="K1010" s="8">
        <v>21.0</v>
      </c>
      <c r="L1010" s="8">
        <v>0.0</v>
      </c>
      <c r="M1010" s="8">
        <v>21.0</v>
      </c>
      <c r="N1010" s="8">
        <v>-3.761200116</v>
      </c>
      <c r="O1010" s="8">
        <v>2.05</v>
      </c>
      <c r="P1010" s="8" t="s">
        <v>368</v>
      </c>
    </row>
    <row r="1011">
      <c r="A1011" s="8" t="s">
        <v>491</v>
      </c>
      <c r="B1011" s="8">
        <v>2013.0</v>
      </c>
      <c r="C1011" s="8" t="s">
        <v>39</v>
      </c>
      <c r="D1011" s="8" t="s">
        <v>376</v>
      </c>
      <c r="E1011" s="8">
        <v>2050.0</v>
      </c>
      <c r="F1011" s="8" t="s">
        <v>41</v>
      </c>
      <c r="G1011" s="8" t="s">
        <v>42</v>
      </c>
      <c r="H1011" s="8" t="s">
        <v>374</v>
      </c>
      <c r="I1011" s="8">
        <v>0.95</v>
      </c>
      <c r="J1011" s="8">
        <v>0.0</v>
      </c>
      <c r="K1011" s="8">
        <v>21.0</v>
      </c>
      <c r="L1011" s="8">
        <v>0.0</v>
      </c>
      <c r="M1011" s="8">
        <v>21.0</v>
      </c>
      <c r="N1011" s="8">
        <v>-3.761200116</v>
      </c>
      <c r="O1011" s="8">
        <v>2.05</v>
      </c>
      <c r="P1011" s="8" t="s">
        <v>368</v>
      </c>
    </row>
    <row r="1012">
      <c r="A1012" s="8" t="s">
        <v>491</v>
      </c>
      <c r="B1012" s="8">
        <v>2013.0</v>
      </c>
      <c r="C1012" s="8" t="s">
        <v>39</v>
      </c>
      <c r="D1012" s="8" t="s">
        <v>376</v>
      </c>
      <c r="E1012" s="8">
        <v>2050.0</v>
      </c>
      <c r="F1012" s="8" t="s">
        <v>41</v>
      </c>
      <c r="G1012" s="8" t="s">
        <v>42</v>
      </c>
      <c r="H1012" s="8" t="s">
        <v>374</v>
      </c>
      <c r="I1012" s="8">
        <v>1.0</v>
      </c>
      <c r="J1012" s="8">
        <v>0.0</v>
      </c>
      <c r="K1012" s="8">
        <v>21.0</v>
      </c>
      <c r="L1012" s="8">
        <v>0.0</v>
      </c>
      <c r="M1012" s="8">
        <v>21.0</v>
      </c>
      <c r="N1012" s="8">
        <v>-3.761200116</v>
      </c>
      <c r="O1012" s="8">
        <v>2.05</v>
      </c>
      <c r="P1012" s="8" t="s">
        <v>368</v>
      </c>
    </row>
    <row r="1013">
      <c r="A1013" s="8" t="s">
        <v>491</v>
      </c>
      <c r="B1013" s="8">
        <v>2013.0</v>
      </c>
      <c r="C1013" s="8" t="s">
        <v>39</v>
      </c>
      <c r="D1013" s="8" t="s">
        <v>376</v>
      </c>
      <c r="E1013" s="8">
        <v>2080.0</v>
      </c>
      <c r="F1013" s="8" t="s">
        <v>41</v>
      </c>
      <c r="G1013" s="8" t="s">
        <v>42</v>
      </c>
      <c r="H1013" s="8" t="s">
        <v>374</v>
      </c>
      <c r="I1013" s="8">
        <v>0.8</v>
      </c>
      <c r="J1013" s="8">
        <v>3.0</v>
      </c>
      <c r="K1013" s="8">
        <v>21.0</v>
      </c>
      <c r="L1013" s="8">
        <v>0.142857143</v>
      </c>
      <c r="M1013" s="8">
        <v>21.0</v>
      </c>
      <c r="N1013" s="8">
        <v>-1.791759469</v>
      </c>
      <c r="O1013" s="8">
        <v>2.7</v>
      </c>
      <c r="P1013" s="8" t="s">
        <v>368</v>
      </c>
    </row>
    <row r="1014">
      <c r="A1014" s="8" t="s">
        <v>491</v>
      </c>
      <c r="B1014" s="8">
        <v>2013.0</v>
      </c>
      <c r="C1014" s="8" t="s">
        <v>39</v>
      </c>
      <c r="D1014" s="8" t="s">
        <v>376</v>
      </c>
      <c r="E1014" s="8">
        <v>2080.0</v>
      </c>
      <c r="F1014" s="8" t="s">
        <v>41</v>
      </c>
      <c r="G1014" s="8" t="s">
        <v>42</v>
      </c>
      <c r="H1014" s="8" t="s">
        <v>374</v>
      </c>
      <c r="I1014" s="8">
        <v>0.95</v>
      </c>
      <c r="J1014" s="8">
        <v>2.0</v>
      </c>
      <c r="K1014" s="8">
        <v>21.0</v>
      </c>
      <c r="L1014" s="8">
        <v>0.095238095</v>
      </c>
      <c r="M1014" s="8">
        <v>21.0</v>
      </c>
      <c r="N1014" s="8">
        <v>-2.251291799</v>
      </c>
      <c r="O1014" s="8">
        <v>2.7</v>
      </c>
      <c r="P1014" s="8" t="s">
        <v>368</v>
      </c>
    </row>
    <row r="1015">
      <c r="A1015" s="8" t="s">
        <v>491</v>
      </c>
      <c r="B1015" s="8">
        <v>2013.0</v>
      </c>
      <c r="C1015" s="8" t="s">
        <v>39</v>
      </c>
      <c r="D1015" s="8" t="s">
        <v>376</v>
      </c>
      <c r="E1015" s="8">
        <v>2080.0</v>
      </c>
      <c r="F1015" s="8" t="s">
        <v>41</v>
      </c>
      <c r="G1015" s="8" t="s">
        <v>42</v>
      </c>
      <c r="H1015" s="8" t="s">
        <v>374</v>
      </c>
      <c r="I1015" s="8">
        <v>1.0</v>
      </c>
      <c r="J1015" s="8">
        <v>0.0</v>
      </c>
      <c r="K1015" s="8">
        <v>21.0</v>
      </c>
      <c r="L1015" s="8">
        <v>0.0</v>
      </c>
      <c r="M1015" s="8">
        <v>21.0</v>
      </c>
      <c r="N1015" s="8">
        <v>-3.761200116</v>
      </c>
      <c r="O1015" s="8">
        <v>2.7</v>
      </c>
      <c r="P1015" s="8" t="s">
        <v>368</v>
      </c>
    </row>
    <row r="1016">
      <c r="A1016" s="8" t="s">
        <v>491</v>
      </c>
      <c r="B1016" s="8">
        <v>2013.0</v>
      </c>
      <c r="C1016" s="8" t="s">
        <v>39</v>
      </c>
      <c r="D1016" s="8" t="s">
        <v>376</v>
      </c>
      <c r="E1016" s="8">
        <v>2050.0</v>
      </c>
      <c r="F1016" s="8" t="s">
        <v>41</v>
      </c>
      <c r="G1016" s="8" t="s">
        <v>42</v>
      </c>
      <c r="H1016" s="8" t="s">
        <v>374</v>
      </c>
      <c r="I1016" s="8">
        <v>0.8</v>
      </c>
      <c r="J1016" s="8">
        <v>0.0</v>
      </c>
      <c r="K1016" s="8">
        <v>21.0</v>
      </c>
      <c r="L1016" s="8">
        <v>0.0</v>
      </c>
      <c r="M1016" s="8">
        <v>21.0</v>
      </c>
      <c r="N1016" s="8">
        <v>-3.761200116</v>
      </c>
      <c r="O1016" s="8">
        <v>1.95</v>
      </c>
      <c r="P1016" s="8" t="s">
        <v>368</v>
      </c>
    </row>
    <row r="1017">
      <c r="A1017" s="8" t="s">
        <v>491</v>
      </c>
      <c r="B1017" s="8">
        <v>2013.0</v>
      </c>
      <c r="C1017" s="8" t="s">
        <v>39</v>
      </c>
      <c r="D1017" s="8" t="s">
        <v>376</v>
      </c>
      <c r="E1017" s="8">
        <v>2050.0</v>
      </c>
      <c r="F1017" s="8" t="s">
        <v>41</v>
      </c>
      <c r="G1017" s="8" t="s">
        <v>42</v>
      </c>
      <c r="H1017" s="8" t="s">
        <v>374</v>
      </c>
      <c r="I1017" s="8">
        <v>0.95</v>
      </c>
      <c r="J1017" s="8">
        <v>0.0</v>
      </c>
      <c r="K1017" s="8">
        <v>21.0</v>
      </c>
      <c r="L1017" s="8">
        <v>0.0</v>
      </c>
      <c r="M1017" s="8">
        <v>21.0</v>
      </c>
      <c r="N1017" s="8">
        <v>-3.761200116</v>
      </c>
      <c r="O1017" s="8">
        <v>1.95</v>
      </c>
      <c r="P1017" s="8" t="s">
        <v>368</v>
      </c>
    </row>
    <row r="1018">
      <c r="A1018" s="8" t="s">
        <v>491</v>
      </c>
      <c r="B1018" s="8">
        <v>2013.0</v>
      </c>
      <c r="C1018" s="8" t="s">
        <v>39</v>
      </c>
      <c r="D1018" s="8" t="s">
        <v>376</v>
      </c>
      <c r="E1018" s="8">
        <v>2050.0</v>
      </c>
      <c r="F1018" s="8" t="s">
        <v>41</v>
      </c>
      <c r="G1018" s="8" t="s">
        <v>42</v>
      </c>
      <c r="H1018" s="8" t="s">
        <v>374</v>
      </c>
      <c r="I1018" s="8">
        <v>1.0</v>
      </c>
      <c r="J1018" s="8">
        <v>0.0</v>
      </c>
      <c r="K1018" s="8">
        <v>21.0</v>
      </c>
      <c r="L1018" s="8">
        <v>0.0</v>
      </c>
      <c r="M1018" s="8">
        <v>21.0</v>
      </c>
      <c r="N1018" s="8">
        <v>-3.761200116</v>
      </c>
      <c r="O1018" s="8">
        <v>1.95</v>
      </c>
      <c r="P1018" s="8" t="s">
        <v>368</v>
      </c>
    </row>
    <row r="1019">
      <c r="A1019" s="8" t="s">
        <v>491</v>
      </c>
      <c r="B1019" s="8">
        <v>2013.0</v>
      </c>
      <c r="C1019" s="8" t="s">
        <v>39</v>
      </c>
      <c r="D1019" s="8" t="s">
        <v>376</v>
      </c>
      <c r="E1019" s="8">
        <v>2080.0</v>
      </c>
      <c r="F1019" s="8" t="s">
        <v>41</v>
      </c>
      <c r="G1019" s="8" t="s">
        <v>42</v>
      </c>
      <c r="H1019" s="8" t="s">
        <v>374</v>
      </c>
      <c r="I1019" s="8">
        <v>0.8</v>
      </c>
      <c r="J1019" s="8">
        <v>3.0</v>
      </c>
      <c r="K1019" s="8">
        <v>21.0</v>
      </c>
      <c r="L1019" s="8">
        <v>0.142857143</v>
      </c>
      <c r="M1019" s="8">
        <v>21.0</v>
      </c>
      <c r="N1019" s="8">
        <v>-1.791759469</v>
      </c>
      <c r="O1019" s="8">
        <v>3.0</v>
      </c>
      <c r="P1019" s="8" t="s">
        <v>368</v>
      </c>
    </row>
    <row r="1020">
      <c r="A1020" s="8" t="s">
        <v>491</v>
      </c>
      <c r="B1020" s="8">
        <v>2013.0</v>
      </c>
      <c r="C1020" s="8" t="s">
        <v>39</v>
      </c>
      <c r="D1020" s="8" t="s">
        <v>376</v>
      </c>
      <c r="E1020" s="8">
        <v>2080.0</v>
      </c>
      <c r="F1020" s="8" t="s">
        <v>41</v>
      </c>
      <c r="G1020" s="8" t="s">
        <v>42</v>
      </c>
      <c r="H1020" s="8" t="s">
        <v>374</v>
      </c>
      <c r="I1020" s="8">
        <v>0.95</v>
      </c>
      <c r="J1020" s="8">
        <v>1.0</v>
      </c>
      <c r="K1020" s="8">
        <v>21.0</v>
      </c>
      <c r="L1020" s="8">
        <v>0.047619048</v>
      </c>
      <c r="M1020" s="8">
        <v>21.0</v>
      </c>
      <c r="N1020" s="8">
        <v>-2.995732274</v>
      </c>
      <c r="O1020" s="8">
        <v>3.0</v>
      </c>
      <c r="P1020" s="8" t="s">
        <v>368</v>
      </c>
    </row>
    <row r="1021">
      <c r="A1021" s="8" t="s">
        <v>491</v>
      </c>
      <c r="B1021" s="8">
        <v>2013.0</v>
      </c>
      <c r="C1021" s="8" t="s">
        <v>39</v>
      </c>
      <c r="D1021" s="8" t="s">
        <v>376</v>
      </c>
      <c r="E1021" s="8">
        <v>2080.0</v>
      </c>
      <c r="F1021" s="8" t="s">
        <v>41</v>
      </c>
      <c r="G1021" s="8" t="s">
        <v>42</v>
      </c>
      <c r="H1021" s="8" t="s">
        <v>374</v>
      </c>
      <c r="I1021" s="8">
        <v>1.0</v>
      </c>
      <c r="J1021" s="8">
        <v>1.0</v>
      </c>
      <c r="K1021" s="8">
        <v>21.0</v>
      </c>
      <c r="L1021" s="8">
        <v>0.047619048</v>
      </c>
      <c r="M1021" s="8">
        <v>21.0</v>
      </c>
      <c r="N1021" s="8">
        <v>-2.995732274</v>
      </c>
      <c r="O1021" s="8">
        <v>3.0</v>
      </c>
      <c r="P1021" s="8" t="s">
        <v>368</v>
      </c>
    </row>
    <row r="1022">
      <c r="A1022" s="8" t="s">
        <v>491</v>
      </c>
      <c r="B1022" s="8">
        <v>2013.0</v>
      </c>
      <c r="C1022" s="8" t="s">
        <v>39</v>
      </c>
      <c r="D1022" s="8" t="s">
        <v>376</v>
      </c>
      <c r="E1022" s="8">
        <v>2050.0</v>
      </c>
      <c r="F1022" s="8" t="s">
        <v>41</v>
      </c>
      <c r="G1022" s="8" t="s">
        <v>42</v>
      </c>
      <c r="H1022" s="8" t="s">
        <v>374</v>
      </c>
      <c r="I1022" s="8">
        <v>0.8</v>
      </c>
      <c r="J1022" s="8">
        <v>1.0</v>
      </c>
      <c r="K1022" s="8">
        <v>21.0</v>
      </c>
      <c r="L1022" s="8">
        <v>0.047619048</v>
      </c>
      <c r="M1022" s="8">
        <v>21.0</v>
      </c>
      <c r="N1022" s="8">
        <v>-2.995732274</v>
      </c>
      <c r="O1022" s="8">
        <v>1.59</v>
      </c>
      <c r="P1022" s="8" t="s">
        <v>368</v>
      </c>
    </row>
    <row r="1023">
      <c r="A1023" s="8" t="s">
        <v>491</v>
      </c>
      <c r="B1023" s="8">
        <v>2013.0</v>
      </c>
      <c r="C1023" s="8" t="s">
        <v>39</v>
      </c>
      <c r="D1023" s="8" t="s">
        <v>376</v>
      </c>
      <c r="E1023" s="8">
        <v>2050.0</v>
      </c>
      <c r="F1023" s="8" t="s">
        <v>41</v>
      </c>
      <c r="G1023" s="8" t="s">
        <v>42</v>
      </c>
      <c r="H1023" s="8" t="s">
        <v>374</v>
      </c>
      <c r="I1023" s="8">
        <v>0.95</v>
      </c>
      <c r="J1023" s="8">
        <v>1.0</v>
      </c>
      <c r="K1023" s="8">
        <v>21.0</v>
      </c>
      <c r="L1023" s="8">
        <v>0.047619048</v>
      </c>
      <c r="M1023" s="8">
        <v>21.0</v>
      </c>
      <c r="N1023" s="8">
        <v>-2.995732274</v>
      </c>
      <c r="O1023" s="8">
        <v>1.59</v>
      </c>
      <c r="P1023" s="8" t="s">
        <v>368</v>
      </c>
    </row>
    <row r="1024">
      <c r="A1024" s="8" t="s">
        <v>491</v>
      </c>
      <c r="B1024" s="8">
        <v>2013.0</v>
      </c>
      <c r="C1024" s="8" t="s">
        <v>39</v>
      </c>
      <c r="D1024" s="8" t="s">
        <v>376</v>
      </c>
      <c r="E1024" s="8">
        <v>2050.0</v>
      </c>
      <c r="F1024" s="8" t="s">
        <v>41</v>
      </c>
      <c r="G1024" s="8" t="s">
        <v>42</v>
      </c>
      <c r="H1024" s="8" t="s">
        <v>374</v>
      </c>
      <c r="I1024" s="8">
        <v>1.0</v>
      </c>
      <c r="J1024" s="8">
        <v>0.0</v>
      </c>
      <c r="K1024" s="8">
        <v>21.0</v>
      </c>
      <c r="L1024" s="8">
        <v>0.0</v>
      </c>
      <c r="M1024" s="8">
        <v>21.0</v>
      </c>
      <c r="N1024" s="8">
        <v>-3.761200116</v>
      </c>
      <c r="O1024" s="8">
        <v>1.59</v>
      </c>
      <c r="P1024" s="8" t="s">
        <v>368</v>
      </c>
    </row>
    <row r="1025">
      <c r="A1025" s="8" t="s">
        <v>491</v>
      </c>
      <c r="B1025" s="8">
        <v>2013.0</v>
      </c>
      <c r="C1025" s="8" t="s">
        <v>39</v>
      </c>
      <c r="D1025" s="8" t="s">
        <v>376</v>
      </c>
      <c r="E1025" s="8">
        <v>2080.0</v>
      </c>
      <c r="F1025" s="8" t="s">
        <v>41</v>
      </c>
      <c r="G1025" s="8" t="s">
        <v>42</v>
      </c>
      <c r="H1025" s="8" t="s">
        <v>374</v>
      </c>
      <c r="I1025" s="8">
        <v>0.8</v>
      </c>
      <c r="J1025" s="8">
        <v>2.0</v>
      </c>
      <c r="K1025" s="8">
        <v>21.0</v>
      </c>
      <c r="L1025" s="8">
        <v>0.095238095</v>
      </c>
      <c r="M1025" s="8">
        <v>21.0</v>
      </c>
      <c r="N1025" s="8">
        <v>-2.251291799</v>
      </c>
      <c r="O1025" s="8">
        <v>2.0</v>
      </c>
      <c r="P1025" s="8" t="s">
        <v>368</v>
      </c>
    </row>
    <row r="1026">
      <c r="A1026" s="8" t="s">
        <v>491</v>
      </c>
      <c r="B1026" s="8">
        <v>2013.0</v>
      </c>
      <c r="C1026" s="8" t="s">
        <v>39</v>
      </c>
      <c r="D1026" s="8" t="s">
        <v>376</v>
      </c>
      <c r="E1026" s="8">
        <v>2080.0</v>
      </c>
      <c r="F1026" s="8" t="s">
        <v>41</v>
      </c>
      <c r="G1026" s="8" t="s">
        <v>42</v>
      </c>
      <c r="H1026" s="8" t="s">
        <v>374</v>
      </c>
      <c r="I1026" s="8">
        <v>0.95</v>
      </c>
      <c r="J1026" s="8">
        <v>1.0</v>
      </c>
      <c r="K1026" s="8">
        <v>21.0</v>
      </c>
      <c r="L1026" s="8">
        <v>0.047619048</v>
      </c>
      <c r="M1026" s="8">
        <v>21.0</v>
      </c>
      <c r="N1026" s="8">
        <v>-2.995732274</v>
      </c>
      <c r="O1026" s="8">
        <v>2.0</v>
      </c>
      <c r="P1026" s="8" t="s">
        <v>368</v>
      </c>
    </row>
    <row r="1027">
      <c r="A1027" s="8" t="s">
        <v>491</v>
      </c>
      <c r="B1027" s="8">
        <v>2013.0</v>
      </c>
      <c r="C1027" s="8" t="s">
        <v>39</v>
      </c>
      <c r="D1027" s="8" t="s">
        <v>376</v>
      </c>
      <c r="E1027" s="8">
        <v>2080.0</v>
      </c>
      <c r="F1027" s="8" t="s">
        <v>41</v>
      </c>
      <c r="G1027" s="8" t="s">
        <v>42</v>
      </c>
      <c r="H1027" s="8" t="s">
        <v>374</v>
      </c>
      <c r="I1027" s="8">
        <v>1.0</v>
      </c>
      <c r="J1027" s="8">
        <v>0.0</v>
      </c>
      <c r="K1027" s="8">
        <v>21.0</v>
      </c>
      <c r="L1027" s="8">
        <v>0.0</v>
      </c>
      <c r="M1027" s="8">
        <v>21.0</v>
      </c>
      <c r="N1027" s="8">
        <v>-3.761200116</v>
      </c>
      <c r="O1027" s="8">
        <v>2.0</v>
      </c>
      <c r="P1027" s="8" t="s">
        <v>368</v>
      </c>
    </row>
    <row r="1028">
      <c r="A1028" s="8" t="s">
        <v>491</v>
      </c>
      <c r="B1028" s="8">
        <v>2013.0</v>
      </c>
      <c r="C1028" s="8" t="s">
        <v>39</v>
      </c>
      <c r="D1028" s="8" t="s">
        <v>376</v>
      </c>
      <c r="E1028" s="8">
        <v>2050.0</v>
      </c>
      <c r="F1028" s="8" t="s">
        <v>41</v>
      </c>
      <c r="G1028" s="8" t="s">
        <v>42</v>
      </c>
      <c r="H1028" s="8" t="s">
        <v>367</v>
      </c>
      <c r="I1028" s="8">
        <v>0.8</v>
      </c>
      <c r="J1028" s="8">
        <v>1.0</v>
      </c>
      <c r="K1028" s="8">
        <v>21.0</v>
      </c>
      <c r="L1028" s="8">
        <v>0.047619048</v>
      </c>
      <c r="M1028" s="8">
        <v>21.0</v>
      </c>
      <c r="N1028" s="8">
        <v>-2.995732274</v>
      </c>
      <c r="O1028" s="8">
        <v>2.05</v>
      </c>
      <c r="P1028" s="8" t="s">
        <v>368</v>
      </c>
    </row>
    <row r="1029">
      <c r="A1029" s="8" t="s">
        <v>491</v>
      </c>
      <c r="B1029" s="8">
        <v>2013.0</v>
      </c>
      <c r="C1029" s="8" t="s">
        <v>39</v>
      </c>
      <c r="D1029" s="8" t="s">
        <v>376</v>
      </c>
      <c r="E1029" s="8">
        <v>2050.0</v>
      </c>
      <c r="F1029" s="8" t="s">
        <v>41</v>
      </c>
      <c r="G1029" s="8" t="s">
        <v>42</v>
      </c>
      <c r="H1029" s="8" t="s">
        <v>367</v>
      </c>
      <c r="I1029" s="8">
        <v>0.95</v>
      </c>
      <c r="J1029" s="8">
        <v>0.0</v>
      </c>
      <c r="K1029" s="8">
        <v>21.0</v>
      </c>
      <c r="L1029" s="8">
        <v>0.0</v>
      </c>
      <c r="M1029" s="8">
        <v>21.0</v>
      </c>
      <c r="N1029" s="8">
        <v>-3.761200116</v>
      </c>
      <c r="O1029" s="8">
        <v>2.05</v>
      </c>
      <c r="P1029" s="8" t="s">
        <v>368</v>
      </c>
    </row>
    <row r="1030">
      <c r="A1030" s="8" t="s">
        <v>491</v>
      </c>
      <c r="B1030" s="8">
        <v>2013.0</v>
      </c>
      <c r="C1030" s="8" t="s">
        <v>39</v>
      </c>
      <c r="D1030" s="8" t="s">
        <v>376</v>
      </c>
      <c r="E1030" s="8">
        <v>2050.0</v>
      </c>
      <c r="F1030" s="8" t="s">
        <v>41</v>
      </c>
      <c r="G1030" s="8" t="s">
        <v>42</v>
      </c>
      <c r="H1030" s="8" t="s">
        <v>367</v>
      </c>
      <c r="I1030" s="8">
        <v>1.0</v>
      </c>
      <c r="J1030" s="8">
        <v>0.0</v>
      </c>
      <c r="K1030" s="8">
        <v>21.0</v>
      </c>
      <c r="L1030" s="8">
        <v>0.0</v>
      </c>
      <c r="M1030" s="8">
        <v>21.0</v>
      </c>
      <c r="N1030" s="8">
        <v>-3.761200116</v>
      </c>
      <c r="O1030" s="8">
        <v>2.05</v>
      </c>
      <c r="P1030" s="8" t="s">
        <v>368</v>
      </c>
    </row>
    <row r="1031">
      <c r="A1031" s="8" t="s">
        <v>491</v>
      </c>
      <c r="B1031" s="8">
        <v>2013.0</v>
      </c>
      <c r="C1031" s="8" t="s">
        <v>39</v>
      </c>
      <c r="D1031" s="8" t="s">
        <v>376</v>
      </c>
      <c r="E1031" s="8">
        <v>2080.0</v>
      </c>
      <c r="F1031" s="8" t="s">
        <v>41</v>
      </c>
      <c r="G1031" s="8" t="s">
        <v>42</v>
      </c>
      <c r="H1031" s="8" t="s">
        <v>367</v>
      </c>
      <c r="I1031" s="8">
        <v>0.8</v>
      </c>
      <c r="J1031" s="8">
        <v>4.0</v>
      </c>
      <c r="K1031" s="8">
        <v>21.0</v>
      </c>
      <c r="L1031" s="8">
        <v>0.19047619</v>
      </c>
      <c r="M1031" s="8">
        <v>21.0</v>
      </c>
      <c r="N1031" s="8">
        <v>-1.446918983</v>
      </c>
      <c r="O1031" s="8">
        <v>2.7</v>
      </c>
      <c r="P1031" s="8" t="s">
        <v>368</v>
      </c>
    </row>
    <row r="1032">
      <c r="A1032" s="8" t="s">
        <v>491</v>
      </c>
      <c r="B1032" s="8">
        <v>2013.0</v>
      </c>
      <c r="C1032" s="8" t="s">
        <v>39</v>
      </c>
      <c r="D1032" s="8" t="s">
        <v>376</v>
      </c>
      <c r="E1032" s="8">
        <v>2080.0</v>
      </c>
      <c r="F1032" s="8" t="s">
        <v>41</v>
      </c>
      <c r="G1032" s="8" t="s">
        <v>42</v>
      </c>
      <c r="H1032" s="8" t="s">
        <v>367</v>
      </c>
      <c r="I1032" s="8">
        <v>0.95</v>
      </c>
      <c r="J1032" s="8">
        <v>2.0</v>
      </c>
      <c r="K1032" s="8">
        <v>21.0</v>
      </c>
      <c r="L1032" s="8">
        <v>0.095238095</v>
      </c>
      <c r="M1032" s="8">
        <v>21.0</v>
      </c>
      <c r="N1032" s="8">
        <v>-2.251291799</v>
      </c>
      <c r="O1032" s="8">
        <v>2.7</v>
      </c>
      <c r="P1032" s="8" t="s">
        <v>368</v>
      </c>
    </row>
    <row r="1033">
      <c r="A1033" s="8" t="s">
        <v>491</v>
      </c>
      <c r="B1033" s="8">
        <v>2013.0</v>
      </c>
      <c r="C1033" s="8" t="s">
        <v>39</v>
      </c>
      <c r="D1033" s="8" t="s">
        <v>376</v>
      </c>
      <c r="E1033" s="8">
        <v>2080.0</v>
      </c>
      <c r="F1033" s="8" t="s">
        <v>41</v>
      </c>
      <c r="G1033" s="8" t="s">
        <v>42</v>
      </c>
      <c r="H1033" s="8" t="s">
        <v>367</v>
      </c>
      <c r="I1033" s="8">
        <v>1.0</v>
      </c>
      <c r="J1033" s="8">
        <v>1.0</v>
      </c>
      <c r="K1033" s="8">
        <v>21.0</v>
      </c>
      <c r="L1033" s="8">
        <v>0.047619048</v>
      </c>
      <c r="M1033" s="8">
        <v>21.0</v>
      </c>
      <c r="N1033" s="8">
        <v>-2.995732274</v>
      </c>
      <c r="O1033" s="8">
        <v>2.7</v>
      </c>
      <c r="P1033" s="8" t="s">
        <v>368</v>
      </c>
    </row>
    <row r="1034">
      <c r="A1034" s="8" t="s">
        <v>491</v>
      </c>
      <c r="B1034" s="8">
        <v>2013.0</v>
      </c>
      <c r="C1034" s="8" t="s">
        <v>39</v>
      </c>
      <c r="D1034" s="8" t="s">
        <v>376</v>
      </c>
      <c r="E1034" s="8">
        <v>2050.0</v>
      </c>
      <c r="F1034" s="8" t="s">
        <v>41</v>
      </c>
      <c r="G1034" s="8" t="s">
        <v>42</v>
      </c>
      <c r="H1034" s="8" t="s">
        <v>367</v>
      </c>
      <c r="I1034" s="8">
        <v>0.8</v>
      </c>
      <c r="J1034" s="8">
        <v>0.0</v>
      </c>
      <c r="K1034" s="8">
        <v>21.0</v>
      </c>
      <c r="L1034" s="8">
        <v>0.0</v>
      </c>
      <c r="M1034" s="8">
        <v>21.0</v>
      </c>
      <c r="N1034" s="8">
        <v>-3.761200116</v>
      </c>
      <c r="O1034" s="8">
        <v>1.95</v>
      </c>
      <c r="P1034" s="8" t="s">
        <v>368</v>
      </c>
    </row>
    <row r="1035">
      <c r="A1035" s="8" t="s">
        <v>491</v>
      </c>
      <c r="B1035" s="8">
        <v>2013.0</v>
      </c>
      <c r="C1035" s="8" t="s">
        <v>39</v>
      </c>
      <c r="D1035" s="8" t="s">
        <v>376</v>
      </c>
      <c r="E1035" s="8">
        <v>2050.0</v>
      </c>
      <c r="F1035" s="8" t="s">
        <v>41</v>
      </c>
      <c r="G1035" s="8" t="s">
        <v>42</v>
      </c>
      <c r="H1035" s="8" t="s">
        <v>367</v>
      </c>
      <c r="I1035" s="8">
        <v>0.95</v>
      </c>
      <c r="J1035" s="8">
        <v>0.0</v>
      </c>
      <c r="K1035" s="8">
        <v>21.0</v>
      </c>
      <c r="L1035" s="8">
        <v>0.0</v>
      </c>
      <c r="M1035" s="8">
        <v>21.0</v>
      </c>
      <c r="N1035" s="8">
        <v>-3.761200116</v>
      </c>
      <c r="O1035" s="8">
        <v>1.95</v>
      </c>
      <c r="P1035" s="8" t="s">
        <v>368</v>
      </c>
    </row>
    <row r="1036">
      <c r="A1036" s="8" t="s">
        <v>491</v>
      </c>
      <c r="B1036" s="8">
        <v>2013.0</v>
      </c>
      <c r="C1036" s="8" t="s">
        <v>39</v>
      </c>
      <c r="D1036" s="8" t="s">
        <v>376</v>
      </c>
      <c r="E1036" s="8">
        <v>2050.0</v>
      </c>
      <c r="F1036" s="8" t="s">
        <v>41</v>
      </c>
      <c r="G1036" s="8" t="s">
        <v>42</v>
      </c>
      <c r="H1036" s="8" t="s">
        <v>367</v>
      </c>
      <c r="I1036" s="8">
        <v>1.0</v>
      </c>
      <c r="J1036" s="8">
        <v>0.0</v>
      </c>
      <c r="K1036" s="8">
        <v>21.0</v>
      </c>
      <c r="L1036" s="8">
        <v>0.0</v>
      </c>
      <c r="M1036" s="8">
        <v>21.0</v>
      </c>
      <c r="N1036" s="8">
        <v>-3.761200116</v>
      </c>
      <c r="O1036" s="8">
        <v>1.95</v>
      </c>
      <c r="P1036" s="8" t="s">
        <v>368</v>
      </c>
    </row>
    <row r="1037">
      <c r="A1037" s="8" t="s">
        <v>491</v>
      </c>
      <c r="B1037" s="8">
        <v>2013.0</v>
      </c>
      <c r="C1037" s="8" t="s">
        <v>39</v>
      </c>
      <c r="D1037" s="8" t="s">
        <v>376</v>
      </c>
      <c r="E1037" s="8">
        <v>2080.0</v>
      </c>
      <c r="F1037" s="8" t="s">
        <v>41</v>
      </c>
      <c r="G1037" s="8" t="s">
        <v>42</v>
      </c>
      <c r="H1037" s="8" t="s">
        <v>367</v>
      </c>
      <c r="I1037" s="8">
        <v>0.8</v>
      </c>
      <c r="J1037" s="8">
        <v>4.0</v>
      </c>
      <c r="K1037" s="8">
        <v>21.0</v>
      </c>
      <c r="L1037" s="8">
        <v>0.19047619</v>
      </c>
      <c r="M1037" s="8">
        <v>21.0</v>
      </c>
      <c r="N1037" s="8">
        <v>-1.446918983</v>
      </c>
      <c r="O1037" s="8">
        <v>3.0</v>
      </c>
      <c r="P1037" s="8" t="s">
        <v>368</v>
      </c>
    </row>
    <row r="1038">
      <c r="A1038" s="8" t="s">
        <v>491</v>
      </c>
      <c r="B1038" s="8">
        <v>2013.0</v>
      </c>
      <c r="C1038" s="8" t="s">
        <v>39</v>
      </c>
      <c r="D1038" s="8" t="s">
        <v>376</v>
      </c>
      <c r="E1038" s="8">
        <v>2080.0</v>
      </c>
      <c r="F1038" s="8" t="s">
        <v>41</v>
      </c>
      <c r="G1038" s="8" t="s">
        <v>42</v>
      </c>
      <c r="H1038" s="8" t="s">
        <v>367</v>
      </c>
      <c r="I1038" s="8">
        <v>0.95</v>
      </c>
      <c r="J1038" s="8">
        <v>1.0</v>
      </c>
      <c r="K1038" s="8">
        <v>21.0</v>
      </c>
      <c r="L1038" s="8">
        <v>0.047619048</v>
      </c>
      <c r="M1038" s="8">
        <v>21.0</v>
      </c>
      <c r="N1038" s="8">
        <v>-2.995732274</v>
      </c>
      <c r="O1038" s="8">
        <v>3.0</v>
      </c>
      <c r="P1038" s="8" t="s">
        <v>368</v>
      </c>
    </row>
    <row r="1039">
      <c r="A1039" s="8" t="s">
        <v>491</v>
      </c>
      <c r="B1039" s="8">
        <v>2013.0</v>
      </c>
      <c r="C1039" s="8" t="s">
        <v>39</v>
      </c>
      <c r="D1039" s="8" t="s">
        <v>376</v>
      </c>
      <c r="E1039" s="8">
        <v>2080.0</v>
      </c>
      <c r="F1039" s="8" t="s">
        <v>41</v>
      </c>
      <c r="G1039" s="8" t="s">
        <v>42</v>
      </c>
      <c r="H1039" s="8" t="s">
        <v>367</v>
      </c>
      <c r="I1039" s="8">
        <v>1.0</v>
      </c>
      <c r="J1039" s="8">
        <v>1.0</v>
      </c>
      <c r="K1039" s="8">
        <v>21.0</v>
      </c>
      <c r="L1039" s="8">
        <v>0.047619048</v>
      </c>
      <c r="M1039" s="8">
        <v>21.0</v>
      </c>
      <c r="N1039" s="8">
        <v>-2.995732274</v>
      </c>
      <c r="O1039" s="8">
        <v>3.0</v>
      </c>
      <c r="P1039" s="8" t="s">
        <v>368</v>
      </c>
    </row>
    <row r="1040">
      <c r="A1040" s="8" t="s">
        <v>491</v>
      </c>
      <c r="B1040" s="8">
        <v>2013.0</v>
      </c>
      <c r="C1040" s="8" t="s">
        <v>39</v>
      </c>
      <c r="D1040" s="8" t="s">
        <v>376</v>
      </c>
      <c r="E1040" s="8">
        <v>2050.0</v>
      </c>
      <c r="F1040" s="8" t="s">
        <v>41</v>
      </c>
      <c r="G1040" s="8" t="s">
        <v>42</v>
      </c>
      <c r="H1040" s="8" t="s">
        <v>367</v>
      </c>
      <c r="I1040" s="8">
        <v>0.8</v>
      </c>
      <c r="J1040" s="8">
        <v>1.0</v>
      </c>
      <c r="K1040" s="8">
        <v>21.0</v>
      </c>
      <c r="L1040" s="8">
        <v>0.047619048</v>
      </c>
      <c r="M1040" s="8">
        <v>21.0</v>
      </c>
      <c r="N1040" s="8">
        <v>-2.995732274</v>
      </c>
      <c r="O1040" s="8">
        <v>1.59</v>
      </c>
      <c r="P1040" s="8" t="s">
        <v>368</v>
      </c>
    </row>
    <row r="1041">
      <c r="A1041" s="8" t="s">
        <v>491</v>
      </c>
      <c r="B1041" s="8">
        <v>2013.0</v>
      </c>
      <c r="C1041" s="8" t="s">
        <v>39</v>
      </c>
      <c r="D1041" s="8" t="s">
        <v>376</v>
      </c>
      <c r="E1041" s="8">
        <v>2050.0</v>
      </c>
      <c r="F1041" s="8" t="s">
        <v>41</v>
      </c>
      <c r="G1041" s="8" t="s">
        <v>42</v>
      </c>
      <c r="H1041" s="8" t="s">
        <v>367</v>
      </c>
      <c r="I1041" s="8">
        <v>0.95</v>
      </c>
      <c r="J1041" s="8">
        <v>1.0</v>
      </c>
      <c r="K1041" s="8">
        <v>21.0</v>
      </c>
      <c r="L1041" s="8">
        <v>0.047619048</v>
      </c>
      <c r="M1041" s="8">
        <v>21.0</v>
      </c>
      <c r="N1041" s="8">
        <v>-2.995732274</v>
      </c>
      <c r="O1041" s="8">
        <v>1.59</v>
      </c>
      <c r="P1041" s="8" t="s">
        <v>368</v>
      </c>
    </row>
    <row r="1042">
      <c r="A1042" s="8" t="s">
        <v>491</v>
      </c>
      <c r="B1042" s="8">
        <v>2013.0</v>
      </c>
      <c r="C1042" s="8" t="s">
        <v>39</v>
      </c>
      <c r="D1042" s="8" t="s">
        <v>376</v>
      </c>
      <c r="E1042" s="8">
        <v>2050.0</v>
      </c>
      <c r="F1042" s="8" t="s">
        <v>41</v>
      </c>
      <c r="G1042" s="8" t="s">
        <v>42</v>
      </c>
      <c r="H1042" s="8" t="s">
        <v>367</v>
      </c>
      <c r="I1042" s="8">
        <v>1.0</v>
      </c>
      <c r="J1042" s="8">
        <v>0.0</v>
      </c>
      <c r="K1042" s="8">
        <v>21.0</v>
      </c>
      <c r="L1042" s="8">
        <v>0.0</v>
      </c>
      <c r="M1042" s="8">
        <v>21.0</v>
      </c>
      <c r="N1042" s="8">
        <v>-3.761200116</v>
      </c>
      <c r="O1042" s="8">
        <v>1.59</v>
      </c>
      <c r="P1042" s="8" t="s">
        <v>368</v>
      </c>
    </row>
    <row r="1043">
      <c r="A1043" s="8" t="s">
        <v>491</v>
      </c>
      <c r="B1043" s="8">
        <v>2013.0</v>
      </c>
      <c r="C1043" s="8" t="s">
        <v>39</v>
      </c>
      <c r="D1043" s="8" t="s">
        <v>376</v>
      </c>
      <c r="E1043" s="8">
        <v>2080.0</v>
      </c>
      <c r="F1043" s="8" t="s">
        <v>41</v>
      </c>
      <c r="G1043" s="8" t="s">
        <v>42</v>
      </c>
      <c r="H1043" s="8" t="s">
        <v>367</v>
      </c>
      <c r="I1043" s="8">
        <v>0.8</v>
      </c>
      <c r="J1043" s="8">
        <v>2.0</v>
      </c>
      <c r="K1043" s="8">
        <v>21.0</v>
      </c>
      <c r="L1043" s="8">
        <v>0.095238095</v>
      </c>
      <c r="M1043" s="8">
        <v>21.0</v>
      </c>
      <c r="N1043" s="8">
        <v>-2.251291799</v>
      </c>
      <c r="O1043" s="8">
        <v>2.0</v>
      </c>
      <c r="P1043" s="8" t="s">
        <v>368</v>
      </c>
    </row>
    <row r="1044">
      <c r="A1044" s="8" t="s">
        <v>491</v>
      </c>
      <c r="B1044" s="8">
        <v>2013.0</v>
      </c>
      <c r="C1044" s="8" t="s">
        <v>39</v>
      </c>
      <c r="D1044" s="8" t="s">
        <v>376</v>
      </c>
      <c r="E1044" s="8">
        <v>2080.0</v>
      </c>
      <c r="F1044" s="8" t="s">
        <v>41</v>
      </c>
      <c r="G1044" s="8" t="s">
        <v>42</v>
      </c>
      <c r="H1044" s="8" t="s">
        <v>367</v>
      </c>
      <c r="I1044" s="8">
        <v>0.95</v>
      </c>
      <c r="J1044" s="8">
        <v>1.0</v>
      </c>
      <c r="K1044" s="8">
        <v>21.0</v>
      </c>
      <c r="L1044" s="8">
        <v>0.047619048</v>
      </c>
      <c r="M1044" s="8">
        <v>21.0</v>
      </c>
      <c r="N1044" s="8">
        <v>-2.995732274</v>
      </c>
      <c r="O1044" s="8">
        <v>2.0</v>
      </c>
      <c r="P1044" s="8" t="s">
        <v>368</v>
      </c>
    </row>
    <row r="1045">
      <c r="A1045" s="8" t="s">
        <v>491</v>
      </c>
      <c r="B1045" s="8">
        <v>2013.0</v>
      </c>
      <c r="C1045" s="8" t="s">
        <v>39</v>
      </c>
      <c r="D1045" s="8" t="s">
        <v>376</v>
      </c>
      <c r="E1045" s="8">
        <v>2080.0</v>
      </c>
      <c r="F1045" s="8" t="s">
        <v>41</v>
      </c>
      <c r="G1045" s="8" t="s">
        <v>42</v>
      </c>
      <c r="H1045" s="8" t="s">
        <v>367</v>
      </c>
      <c r="I1045" s="8">
        <v>1.0</v>
      </c>
      <c r="J1045" s="8">
        <v>0.0</v>
      </c>
      <c r="K1045" s="8">
        <v>21.0</v>
      </c>
      <c r="L1045" s="8">
        <v>0.0</v>
      </c>
      <c r="M1045" s="8">
        <v>21.0</v>
      </c>
      <c r="N1045" s="8">
        <v>-3.761200116</v>
      </c>
      <c r="O1045" s="8">
        <v>2.0</v>
      </c>
      <c r="P1045" s="8" t="s">
        <v>368</v>
      </c>
    </row>
    <row r="1046">
      <c r="A1046" s="8" t="s">
        <v>472</v>
      </c>
      <c r="B1046" s="8">
        <v>2013.0</v>
      </c>
      <c r="C1046" s="8" t="s">
        <v>46</v>
      </c>
      <c r="D1046" s="8" t="s">
        <v>377</v>
      </c>
      <c r="E1046" s="8">
        <v>2090.0</v>
      </c>
      <c r="F1046" s="8" t="s">
        <v>41</v>
      </c>
      <c r="G1046" s="8" t="s">
        <v>42</v>
      </c>
      <c r="H1046" s="8" t="s">
        <v>367</v>
      </c>
      <c r="I1046" s="8">
        <v>0.8</v>
      </c>
      <c r="J1046" s="8">
        <v>6.0</v>
      </c>
      <c r="K1046" s="8">
        <v>9.0</v>
      </c>
      <c r="L1046" s="8">
        <v>0.666666667</v>
      </c>
      <c r="M1046" s="8">
        <v>9.0</v>
      </c>
      <c r="N1046" s="8">
        <v>0.693147181</v>
      </c>
      <c r="O1046" s="8">
        <v>3.25</v>
      </c>
      <c r="P1046" s="8" t="s">
        <v>368</v>
      </c>
    </row>
    <row r="1047">
      <c r="A1047" s="8" t="s">
        <v>472</v>
      </c>
      <c r="B1047" s="8">
        <v>2013.0</v>
      </c>
      <c r="C1047" s="8" t="s">
        <v>46</v>
      </c>
      <c r="D1047" s="8" t="s">
        <v>377</v>
      </c>
      <c r="E1047" s="8">
        <v>2090.0</v>
      </c>
      <c r="F1047" s="8" t="s">
        <v>41</v>
      </c>
      <c r="G1047" s="8" t="s">
        <v>42</v>
      </c>
      <c r="H1047" s="8" t="s">
        <v>367</v>
      </c>
      <c r="I1047" s="8">
        <v>0.95</v>
      </c>
      <c r="J1047" s="8">
        <v>6.0</v>
      </c>
      <c r="K1047" s="8">
        <v>9.0</v>
      </c>
      <c r="L1047" s="8">
        <v>0.666666667</v>
      </c>
      <c r="M1047" s="8">
        <v>9.0</v>
      </c>
      <c r="N1047" s="8">
        <v>0.693147181</v>
      </c>
      <c r="O1047" s="8">
        <v>3.25</v>
      </c>
      <c r="P1047" s="8" t="s">
        <v>368</v>
      </c>
    </row>
    <row r="1048">
      <c r="A1048" s="8" t="s">
        <v>472</v>
      </c>
      <c r="B1048" s="8">
        <v>2013.0</v>
      </c>
      <c r="C1048" s="8" t="s">
        <v>46</v>
      </c>
      <c r="D1048" s="8" t="s">
        <v>377</v>
      </c>
      <c r="E1048" s="8">
        <v>2090.0</v>
      </c>
      <c r="F1048" s="8" t="s">
        <v>41</v>
      </c>
      <c r="G1048" s="8" t="s">
        <v>42</v>
      </c>
      <c r="H1048" s="8" t="s">
        <v>367</v>
      </c>
      <c r="I1048" s="8">
        <v>1.0</v>
      </c>
      <c r="J1048" s="8">
        <v>6.0</v>
      </c>
      <c r="K1048" s="8">
        <v>9.0</v>
      </c>
      <c r="L1048" s="8">
        <v>0.666666667</v>
      </c>
      <c r="M1048" s="8">
        <v>9.0</v>
      </c>
      <c r="N1048" s="8">
        <v>0.693147181</v>
      </c>
      <c r="O1048" s="8">
        <v>3.25</v>
      </c>
      <c r="P1048" s="8" t="s">
        <v>368</v>
      </c>
    </row>
    <row r="1049">
      <c r="A1049" s="8" t="s">
        <v>472</v>
      </c>
      <c r="B1049" s="8">
        <v>2013.0</v>
      </c>
      <c r="C1049" s="8" t="s">
        <v>46</v>
      </c>
      <c r="D1049" s="8" t="s">
        <v>377</v>
      </c>
      <c r="E1049" s="8">
        <v>2090.0</v>
      </c>
      <c r="F1049" s="8" t="s">
        <v>41</v>
      </c>
      <c r="G1049" s="8" t="s">
        <v>42</v>
      </c>
      <c r="H1049" s="8" t="s">
        <v>374</v>
      </c>
      <c r="I1049" s="8">
        <v>0.8</v>
      </c>
      <c r="J1049" s="8">
        <v>4.0</v>
      </c>
      <c r="K1049" s="8">
        <v>9.0</v>
      </c>
      <c r="L1049" s="8">
        <v>0.444444444</v>
      </c>
      <c r="M1049" s="8">
        <v>9.0</v>
      </c>
      <c r="N1049" s="8">
        <v>-0.223143551</v>
      </c>
      <c r="O1049" s="8">
        <v>3.25</v>
      </c>
      <c r="P1049" s="8" t="s">
        <v>368</v>
      </c>
    </row>
    <row r="1050">
      <c r="A1050" s="8" t="s">
        <v>472</v>
      </c>
      <c r="B1050" s="8">
        <v>2013.0</v>
      </c>
      <c r="C1050" s="8" t="s">
        <v>46</v>
      </c>
      <c r="D1050" s="8" t="s">
        <v>377</v>
      </c>
      <c r="E1050" s="8">
        <v>2090.0</v>
      </c>
      <c r="F1050" s="8" t="s">
        <v>41</v>
      </c>
      <c r="G1050" s="8" t="s">
        <v>42</v>
      </c>
      <c r="H1050" s="8" t="s">
        <v>374</v>
      </c>
      <c r="I1050" s="8">
        <v>0.95</v>
      </c>
      <c r="J1050" s="8">
        <v>3.0</v>
      </c>
      <c r="K1050" s="8">
        <v>9.0</v>
      </c>
      <c r="L1050" s="8">
        <v>0.333333333</v>
      </c>
      <c r="M1050" s="8">
        <v>9.0</v>
      </c>
      <c r="N1050" s="8">
        <v>-0.693147181</v>
      </c>
      <c r="O1050" s="8">
        <v>3.25</v>
      </c>
      <c r="P1050" s="8" t="s">
        <v>368</v>
      </c>
    </row>
    <row r="1051">
      <c r="A1051" s="8" t="s">
        <v>472</v>
      </c>
      <c r="B1051" s="8">
        <v>2013.0</v>
      </c>
      <c r="C1051" s="8" t="s">
        <v>46</v>
      </c>
      <c r="D1051" s="8" t="s">
        <v>377</v>
      </c>
      <c r="E1051" s="8">
        <v>2090.0</v>
      </c>
      <c r="F1051" s="8" t="s">
        <v>41</v>
      </c>
      <c r="G1051" s="8" t="s">
        <v>42</v>
      </c>
      <c r="H1051" s="8" t="s">
        <v>374</v>
      </c>
      <c r="I1051" s="8">
        <v>1.0</v>
      </c>
      <c r="J1051" s="8">
        <v>3.0</v>
      </c>
      <c r="K1051" s="8">
        <v>9.0</v>
      </c>
      <c r="L1051" s="8">
        <v>0.333333333</v>
      </c>
      <c r="M1051" s="8">
        <v>9.0</v>
      </c>
      <c r="N1051" s="8">
        <v>-0.693147181</v>
      </c>
      <c r="O1051" s="8">
        <v>3.25</v>
      </c>
      <c r="P1051" s="8" t="s">
        <v>368</v>
      </c>
    </row>
    <row r="1052">
      <c r="A1052" s="8" t="s">
        <v>472</v>
      </c>
      <c r="B1052" s="8">
        <v>2013.0</v>
      </c>
      <c r="C1052" s="8" t="s">
        <v>46</v>
      </c>
      <c r="D1052" s="8" t="s">
        <v>366</v>
      </c>
      <c r="E1052" s="8">
        <v>2090.0</v>
      </c>
      <c r="F1052" s="8" t="s">
        <v>41</v>
      </c>
      <c r="G1052" s="8" t="s">
        <v>42</v>
      </c>
      <c r="H1052" s="8" t="s">
        <v>367</v>
      </c>
      <c r="I1052" s="8">
        <v>0.8</v>
      </c>
      <c r="J1052" s="8">
        <v>3.0</v>
      </c>
      <c r="K1052" s="8">
        <v>17.0</v>
      </c>
      <c r="L1052" s="8">
        <v>0.176470588</v>
      </c>
      <c r="M1052" s="8">
        <v>17.0</v>
      </c>
      <c r="N1052" s="8">
        <v>-1.540445041</v>
      </c>
      <c r="O1052" s="8">
        <v>3.25</v>
      </c>
      <c r="P1052" s="8" t="s">
        <v>368</v>
      </c>
    </row>
    <row r="1053">
      <c r="A1053" s="8" t="s">
        <v>472</v>
      </c>
      <c r="B1053" s="8">
        <v>2013.0</v>
      </c>
      <c r="C1053" s="8" t="s">
        <v>46</v>
      </c>
      <c r="D1053" s="8" t="s">
        <v>366</v>
      </c>
      <c r="E1053" s="8">
        <v>2090.0</v>
      </c>
      <c r="F1053" s="8" t="s">
        <v>41</v>
      </c>
      <c r="G1053" s="8" t="s">
        <v>42</v>
      </c>
      <c r="H1053" s="8" t="s">
        <v>367</v>
      </c>
      <c r="I1053" s="8">
        <v>0.95</v>
      </c>
      <c r="J1053" s="8">
        <v>1.0</v>
      </c>
      <c r="K1053" s="8">
        <v>17.0</v>
      </c>
      <c r="L1053" s="8">
        <v>0.058823529</v>
      </c>
      <c r="M1053" s="8">
        <v>17.0</v>
      </c>
      <c r="N1053" s="8">
        <v>-2.772588722</v>
      </c>
      <c r="O1053" s="8">
        <v>3.25</v>
      </c>
      <c r="P1053" s="8" t="s">
        <v>368</v>
      </c>
    </row>
    <row r="1054">
      <c r="A1054" s="8" t="s">
        <v>472</v>
      </c>
      <c r="B1054" s="8">
        <v>2013.0</v>
      </c>
      <c r="C1054" s="8" t="s">
        <v>46</v>
      </c>
      <c r="D1054" s="8" t="s">
        <v>366</v>
      </c>
      <c r="E1054" s="8">
        <v>2090.0</v>
      </c>
      <c r="F1054" s="8" t="s">
        <v>41</v>
      </c>
      <c r="G1054" s="8" t="s">
        <v>42</v>
      </c>
      <c r="H1054" s="8" t="s">
        <v>367</v>
      </c>
      <c r="I1054" s="8">
        <v>1.0</v>
      </c>
      <c r="J1054" s="8">
        <v>1.0</v>
      </c>
      <c r="K1054" s="8">
        <v>17.0</v>
      </c>
      <c r="L1054" s="8">
        <v>0.058823529</v>
      </c>
      <c r="M1054" s="8">
        <v>17.0</v>
      </c>
      <c r="N1054" s="8">
        <v>-2.772588722</v>
      </c>
      <c r="O1054" s="8">
        <v>3.25</v>
      </c>
      <c r="P1054" s="8" t="s">
        <v>368</v>
      </c>
    </row>
    <row r="1055">
      <c r="A1055" s="8" t="s">
        <v>472</v>
      </c>
      <c r="B1055" s="8">
        <v>2013.0</v>
      </c>
      <c r="C1055" s="8" t="s">
        <v>46</v>
      </c>
      <c r="D1055" s="8" t="s">
        <v>366</v>
      </c>
      <c r="E1055" s="8">
        <v>2090.0</v>
      </c>
      <c r="F1055" s="8" t="s">
        <v>41</v>
      </c>
      <c r="G1055" s="8" t="s">
        <v>42</v>
      </c>
      <c r="H1055" s="8" t="s">
        <v>374</v>
      </c>
      <c r="I1055" s="8">
        <v>0.8</v>
      </c>
      <c r="J1055" s="8">
        <v>1.0</v>
      </c>
      <c r="K1055" s="8">
        <v>17.0</v>
      </c>
      <c r="L1055" s="8">
        <v>0.058823529</v>
      </c>
      <c r="M1055" s="8">
        <v>17.0</v>
      </c>
      <c r="N1055" s="8">
        <v>-2.772588722</v>
      </c>
      <c r="O1055" s="8">
        <v>3.25</v>
      </c>
      <c r="P1055" s="8" t="s">
        <v>368</v>
      </c>
    </row>
    <row r="1056">
      <c r="A1056" s="8" t="s">
        <v>472</v>
      </c>
      <c r="B1056" s="8">
        <v>2013.0</v>
      </c>
      <c r="C1056" s="8" t="s">
        <v>46</v>
      </c>
      <c r="D1056" s="8" t="s">
        <v>366</v>
      </c>
      <c r="E1056" s="8">
        <v>2090.0</v>
      </c>
      <c r="F1056" s="8" t="s">
        <v>41</v>
      </c>
      <c r="G1056" s="8" t="s">
        <v>42</v>
      </c>
      <c r="H1056" s="8" t="s">
        <v>374</v>
      </c>
      <c r="I1056" s="8">
        <v>0.95</v>
      </c>
      <c r="J1056" s="8">
        <v>1.0</v>
      </c>
      <c r="K1056" s="8">
        <v>17.0</v>
      </c>
      <c r="L1056" s="8">
        <v>0.058823529</v>
      </c>
      <c r="M1056" s="8">
        <v>17.0</v>
      </c>
      <c r="N1056" s="8">
        <v>-2.772588722</v>
      </c>
      <c r="O1056" s="8">
        <v>3.25</v>
      </c>
      <c r="P1056" s="8" t="s">
        <v>368</v>
      </c>
    </row>
    <row r="1057">
      <c r="A1057" s="8" t="s">
        <v>472</v>
      </c>
      <c r="B1057" s="8">
        <v>2013.0</v>
      </c>
      <c r="C1057" s="8" t="s">
        <v>46</v>
      </c>
      <c r="D1057" s="8" t="s">
        <v>366</v>
      </c>
      <c r="E1057" s="8">
        <v>2090.0</v>
      </c>
      <c r="F1057" s="8" t="s">
        <v>41</v>
      </c>
      <c r="G1057" s="8" t="s">
        <v>42</v>
      </c>
      <c r="H1057" s="8" t="s">
        <v>374</v>
      </c>
      <c r="I1057" s="8">
        <v>1.0</v>
      </c>
      <c r="J1057" s="8">
        <v>1.0</v>
      </c>
      <c r="K1057" s="8">
        <v>17.0</v>
      </c>
      <c r="L1057" s="8">
        <v>0.058823529</v>
      </c>
      <c r="M1057" s="8">
        <v>17.0</v>
      </c>
      <c r="N1057" s="8">
        <v>-2.772588722</v>
      </c>
      <c r="O1057" s="8">
        <v>3.25</v>
      </c>
      <c r="P1057" s="8" t="s">
        <v>368</v>
      </c>
    </row>
    <row r="1058">
      <c r="A1058" s="8" t="s">
        <v>472</v>
      </c>
      <c r="B1058" s="8">
        <v>2013.0</v>
      </c>
      <c r="C1058" s="8" t="s">
        <v>46</v>
      </c>
      <c r="D1058" s="8" t="s">
        <v>375</v>
      </c>
      <c r="E1058" s="8">
        <v>2090.0</v>
      </c>
      <c r="F1058" s="8" t="s">
        <v>41</v>
      </c>
      <c r="G1058" s="8" t="s">
        <v>42</v>
      </c>
      <c r="H1058" s="8" t="s">
        <v>367</v>
      </c>
      <c r="I1058" s="8">
        <v>0.8</v>
      </c>
      <c r="J1058" s="8">
        <v>4.0</v>
      </c>
      <c r="K1058" s="8">
        <v>23.0</v>
      </c>
      <c r="L1058" s="8">
        <v>0.173913043</v>
      </c>
      <c r="M1058" s="8">
        <v>23.0</v>
      </c>
      <c r="N1058" s="8">
        <v>-1.558144618</v>
      </c>
      <c r="O1058" s="8">
        <v>3.25</v>
      </c>
      <c r="P1058" s="8" t="s">
        <v>368</v>
      </c>
    </row>
    <row r="1059">
      <c r="A1059" s="8" t="s">
        <v>472</v>
      </c>
      <c r="B1059" s="8">
        <v>2013.0</v>
      </c>
      <c r="C1059" s="8" t="s">
        <v>46</v>
      </c>
      <c r="D1059" s="8" t="s">
        <v>375</v>
      </c>
      <c r="E1059" s="8">
        <v>2090.0</v>
      </c>
      <c r="F1059" s="8" t="s">
        <v>41</v>
      </c>
      <c r="G1059" s="8" t="s">
        <v>42</v>
      </c>
      <c r="H1059" s="8" t="s">
        <v>367</v>
      </c>
      <c r="I1059" s="8">
        <v>0.95</v>
      </c>
      <c r="J1059" s="8">
        <v>2.0</v>
      </c>
      <c r="K1059" s="8">
        <v>23.0</v>
      </c>
      <c r="L1059" s="8">
        <v>0.086956522</v>
      </c>
      <c r="M1059" s="8">
        <v>23.0</v>
      </c>
      <c r="N1059" s="8">
        <v>-2.351375257</v>
      </c>
      <c r="O1059" s="8">
        <v>3.25</v>
      </c>
      <c r="P1059" s="8" t="s">
        <v>368</v>
      </c>
    </row>
    <row r="1060">
      <c r="A1060" s="8" t="s">
        <v>472</v>
      </c>
      <c r="B1060" s="8">
        <v>2013.0</v>
      </c>
      <c r="C1060" s="8" t="s">
        <v>46</v>
      </c>
      <c r="D1060" s="8" t="s">
        <v>375</v>
      </c>
      <c r="E1060" s="8">
        <v>2090.0</v>
      </c>
      <c r="F1060" s="8" t="s">
        <v>41</v>
      </c>
      <c r="G1060" s="8" t="s">
        <v>42</v>
      </c>
      <c r="H1060" s="8" t="s">
        <v>367</v>
      </c>
      <c r="I1060" s="8">
        <v>1.0</v>
      </c>
      <c r="J1060" s="8">
        <v>0.0</v>
      </c>
      <c r="K1060" s="8">
        <v>23.0</v>
      </c>
      <c r="L1060" s="8">
        <v>0.0</v>
      </c>
      <c r="M1060" s="8">
        <v>23.0</v>
      </c>
      <c r="N1060" s="8">
        <v>-3.850147602</v>
      </c>
      <c r="O1060" s="8">
        <v>3.25</v>
      </c>
      <c r="P1060" s="8" t="s">
        <v>368</v>
      </c>
    </row>
    <row r="1061">
      <c r="A1061" s="8" t="s">
        <v>472</v>
      </c>
      <c r="B1061" s="8">
        <v>2013.0</v>
      </c>
      <c r="C1061" s="8" t="s">
        <v>46</v>
      </c>
      <c r="D1061" s="8" t="s">
        <v>375</v>
      </c>
      <c r="E1061" s="8">
        <v>2090.0</v>
      </c>
      <c r="F1061" s="8" t="s">
        <v>41</v>
      </c>
      <c r="G1061" s="8" t="s">
        <v>42</v>
      </c>
      <c r="H1061" s="8" t="s">
        <v>374</v>
      </c>
      <c r="I1061" s="8">
        <v>0.8</v>
      </c>
      <c r="J1061" s="8">
        <v>0.0</v>
      </c>
      <c r="K1061" s="8">
        <v>23.0</v>
      </c>
      <c r="L1061" s="8">
        <v>0.0</v>
      </c>
      <c r="M1061" s="8">
        <v>23.0</v>
      </c>
      <c r="N1061" s="8">
        <v>-3.850147602</v>
      </c>
      <c r="O1061" s="8">
        <v>3.25</v>
      </c>
      <c r="P1061" s="8" t="s">
        <v>368</v>
      </c>
    </row>
    <row r="1062">
      <c r="A1062" s="8" t="s">
        <v>472</v>
      </c>
      <c r="B1062" s="8">
        <v>2013.0</v>
      </c>
      <c r="C1062" s="8" t="s">
        <v>46</v>
      </c>
      <c r="D1062" s="8" t="s">
        <v>375</v>
      </c>
      <c r="E1062" s="8">
        <v>2090.0</v>
      </c>
      <c r="F1062" s="8" t="s">
        <v>41</v>
      </c>
      <c r="G1062" s="8" t="s">
        <v>42</v>
      </c>
      <c r="H1062" s="8" t="s">
        <v>374</v>
      </c>
      <c r="I1062" s="8">
        <v>0.95</v>
      </c>
      <c r="J1062" s="8">
        <v>0.0</v>
      </c>
      <c r="K1062" s="8">
        <v>23.0</v>
      </c>
      <c r="L1062" s="8">
        <v>0.0</v>
      </c>
      <c r="M1062" s="8">
        <v>23.0</v>
      </c>
      <c r="N1062" s="8">
        <v>-3.850147602</v>
      </c>
      <c r="O1062" s="8">
        <v>3.25</v>
      </c>
      <c r="P1062" s="8" t="s">
        <v>368</v>
      </c>
    </row>
    <row r="1063">
      <c r="A1063" s="8" t="s">
        <v>472</v>
      </c>
      <c r="B1063" s="8">
        <v>2013.0</v>
      </c>
      <c r="C1063" s="8" t="s">
        <v>46</v>
      </c>
      <c r="D1063" s="8" t="s">
        <v>375</v>
      </c>
      <c r="E1063" s="8">
        <v>2090.0</v>
      </c>
      <c r="F1063" s="8" t="s">
        <v>41</v>
      </c>
      <c r="G1063" s="8" t="s">
        <v>42</v>
      </c>
      <c r="H1063" s="8" t="s">
        <v>374</v>
      </c>
      <c r="I1063" s="8">
        <v>1.0</v>
      </c>
      <c r="J1063" s="8">
        <v>0.0</v>
      </c>
      <c r="K1063" s="8">
        <v>23.0</v>
      </c>
      <c r="L1063" s="8">
        <v>0.0</v>
      </c>
      <c r="M1063" s="8">
        <v>23.0</v>
      </c>
      <c r="N1063" s="8">
        <v>-3.850147602</v>
      </c>
      <c r="O1063" s="8">
        <v>3.25</v>
      </c>
      <c r="P1063" s="8" t="s">
        <v>368</v>
      </c>
    </row>
    <row r="1064">
      <c r="A1064" s="8" t="s">
        <v>472</v>
      </c>
      <c r="B1064" s="8">
        <v>2013.0</v>
      </c>
      <c r="C1064" s="8" t="s">
        <v>46</v>
      </c>
      <c r="D1064" s="8" t="s">
        <v>371</v>
      </c>
      <c r="E1064" s="8">
        <v>2090.0</v>
      </c>
      <c r="F1064" s="8" t="s">
        <v>41</v>
      </c>
      <c r="G1064" s="8" t="s">
        <v>42</v>
      </c>
      <c r="H1064" s="8" t="s">
        <v>367</v>
      </c>
      <c r="I1064" s="8">
        <v>0.8</v>
      </c>
      <c r="J1064" s="8">
        <v>18.0</v>
      </c>
      <c r="K1064" s="8">
        <v>24.0</v>
      </c>
      <c r="L1064" s="8">
        <v>0.75</v>
      </c>
      <c r="M1064" s="8">
        <v>24.0</v>
      </c>
      <c r="N1064" s="8">
        <v>1.098612289</v>
      </c>
      <c r="O1064" s="8">
        <v>3.25</v>
      </c>
      <c r="P1064" s="8" t="s">
        <v>368</v>
      </c>
    </row>
    <row r="1065">
      <c r="A1065" s="8" t="s">
        <v>472</v>
      </c>
      <c r="B1065" s="8">
        <v>2013.0</v>
      </c>
      <c r="C1065" s="8" t="s">
        <v>46</v>
      </c>
      <c r="D1065" s="8" t="s">
        <v>371</v>
      </c>
      <c r="E1065" s="8">
        <v>2090.0</v>
      </c>
      <c r="F1065" s="8" t="s">
        <v>41</v>
      </c>
      <c r="G1065" s="8" t="s">
        <v>42</v>
      </c>
      <c r="H1065" s="8" t="s">
        <v>367</v>
      </c>
      <c r="I1065" s="8">
        <v>0.95</v>
      </c>
      <c r="J1065" s="8">
        <v>8.0</v>
      </c>
      <c r="K1065" s="8">
        <v>24.0</v>
      </c>
      <c r="L1065" s="8">
        <v>0.333333333</v>
      </c>
      <c r="M1065" s="8">
        <v>24.0</v>
      </c>
      <c r="N1065" s="8">
        <v>-0.693147181</v>
      </c>
      <c r="O1065" s="8">
        <v>3.25</v>
      </c>
      <c r="P1065" s="8" t="s">
        <v>368</v>
      </c>
    </row>
    <row r="1066">
      <c r="A1066" s="8" t="s">
        <v>472</v>
      </c>
      <c r="B1066" s="8">
        <v>2013.0</v>
      </c>
      <c r="C1066" s="8" t="s">
        <v>46</v>
      </c>
      <c r="D1066" s="8" t="s">
        <v>371</v>
      </c>
      <c r="E1066" s="8">
        <v>2090.0</v>
      </c>
      <c r="F1066" s="8" t="s">
        <v>41</v>
      </c>
      <c r="G1066" s="8" t="s">
        <v>42</v>
      </c>
      <c r="H1066" s="8" t="s">
        <v>367</v>
      </c>
      <c r="I1066" s="8">
        <v>1.0</v>
      </c>
      <c r="J1066" s="8">
        <v>1.0</v>
      </c>
      <c r="K1066" s="8">
        <v>24.0</v>
      </c>
      <c r="L1066" s="8">
        <v>0.041666667</v>
      </c>
      <c r="M1066" s="8">
        <v>24.0</v>
      </c>
      <c r="N1066" s="8">
        <v>-3.135494216</v>
      </c>
      <c r="O1066" s="8">
        <v>3.25</v>
      </c>
      <c r="P1066" s="8" t="s">
        <v>368</v>
      </c>
    </row>
    <row r="1067">
      <c r="A1067" s="8" t="s">
        <v>472</v>
      </c>
      <c r="B1067" s="8">
        <v>2013.0</v>
      </c>
      <c r="C1067" s="8" t="s">
        <v>46</v>
      </c>
      <c r="D1067" s="8" t="s">
        <v>371</v>
      </c>
      <c r="E1067" s="8">
        <v>2090.0</v>
      </c>
      <c r="F1067" s="8" t="s">
        <v>41</v>
      </c>
      <c r="G1067" s="8" t="s">
        <v>42</v>
      </c>
      <c r="H1067" s="8" t="s">
        <v>374</v>
      </c>
      <c r="I1067" s="8">
        <v>0.8</v>
      </c>
      <c r="J1067" s="8">
        <v>4.0</v>
      </c>
      <c r="K1067" s="8">
        <v>24.0</v>
      </c>
      <c r="L1067" s="8">
        <v>0.166666667</v>
      </c>
      <c r="M1067" s="8">
        <v>24.0</v>
      </c>
      <c r="N1067" s="8">
        <v>-1.609437912</v>
      </c>
      <c r="O1067" s="8">
        <v>3.25</v>
      </c>
      <c r="P1067" s="8" t="s">
        <v>368</v>
      </c>
    </row>
    <row r="1068">
      <c r="A1068" s="8" t="s">
        <v>472</v>
      </c>
      <c r="B1068" s="8">
        <v>2013.0</v>
      </c>
      <c r="C1068" s="8" t="s">
        <v>46</v>
      </c>
      <c r="D1068" s="8" t="s">
        <v>371</v>
      </c>
      <c r="E1068" s="8">
        <v>2090.0</v>
      </c>
      <c r="F1068" s="8" t="s">
        <v>41</v>
      </c>
      <c r="G1068" s="8" t="s">
        <v>42</v>
      </c>
      <c r="H1068" s="8" t="s">
        <v>374</v>
      </c>
      <c r="I1068" s="8">
        <v>0.95</v>
      </c>
      <c r="J1068" s="8">
        <v>1.0</v>
      </c>
      <c r="K1068" s="8">
        <v>24.0</v>
      </c>
      <c r="L1068" s="8">
        <v>0.041666667</v>
      </c>
      <c r="M1068" s="8">
        <v>24.0</v>
      </c>
      <c r="N1068" s="8">
        <v>-3.135494216</v>
      </c>
      <c r="O1068" s="8">
        <v>3.25</v>
      </c>
      <c r="P1068" s="8" t="s">
        <v>368</v>
      </c>
    </row>
    <row r="1069">
      <c r="A1069" s="8" t="s">
        <v>472</v>
      </c>
      <c r="B1069" s="8">
        <v>2013.0</v>
      </c>
      <c r="C1069" s="8" t="s">
        <v>46</v>
      </c>
      <c r="D1069" s="8" t="s">
        <v>371</v>
      </c>
      <c r="E1069" s="8">
        <v>2090.0</v>
      </c>
      <c r="F1069" s="8" t="s">
        <v>41</v>
      </c>
      <c r="G1069" s="8" t="s">
        <v>42</v>
      </c>
      <c r="H1069" s="8" t="s">
        <v>374</v>
      </c>
      <c r="I1069" s="8">
        <v>1.0</v>
      </c>
      <c r="J1069" s="8">
        <v>0.0</v>
      </c>
      <c r="K1069" s="8">
        <v>24.0</v>
      </c>
      <c r="L1069" s="8">
        <v>0.0</v>
      </c>
      <c r="M1069" s="8">
        <v>24.0</v>
      </c>
      <c r="N1069" s="8">
        <v>-3.891820298</v>
      </c>
      <c r="O1069" s="8">
        <v>3.25</v>
      </c>
      <c r="P1069" s="8" t="s">
        <v>368</v>
      </c>
    </row>
    <row r="1070">
      <c r="A1070" s="8" t="s">
        <v>472</v>
      </c>
      <c r="B1070" s="8">
        <v>2013.0</v>
      </c>
      <c r="C1070" s="8" t="s">
        <v>46</v>
      </c>
      <c r="D1070" s="8" t="s">
        <v>376</v>
      </c>
      <c r="E1070" s="8">
        <v>2090.0</v>
      </c>
      <c r="F1070" s="8" t="s">
        <v>41</v>
      </c>
      <c r="G1070" s="8" t="s">
        <v>42</v>
      </c>
      <c r="H1070" s="8" t="s">
        <v>367</v>
      </c>
      <c r="I1070" s="8">
        <v>0.8</v>
      </c>
      <c r="J1070" s="8">
        <v>4.0</v>
      </c>
      <c r="K1070" s="8">
        <v>14.0</v>
      </c>
      <c r="L1070" s="8">
        <v>0.285714286</v>
      </c>
      <c r="M1070" s="8">
        <v>14.0</v>
      </c>
      <c r="N1070" s="8">
        <v>-0.916290732</v>
      </c>
      <c r="O1070" s="8">
        <v>3.25</v>
      </c>
      <c r="P1070" s="8" t="s">
        <v>368</v>
      </c>
    </row>
    <row r="1071">
      <c r="A1071" s="8" t="s">
        <v>472</v>
      </c>
      <c r="B1071" s="8">
        <v>2013.0</v>
      </c>
      <c r="C1071" s="8" t="s">
        <v>46</v>
      </c>
      <c r="D1071" s="8" t="s">
        <v>376</v>
      </c>
      <c r="E1071" s="8">
        <v>2090.0</v>
      </c>
      <c r="F1071" s="8" t="s">
        <v>41</v>
      </c>
      <c r="G1071" s="8" t="s">
        <v>42</v>
      </c>
      <c r="H1071" s="8" t="s">
        <v>367</v>
      </c>
      <c r="I1071" s="8">
        <v>0.95</v>
      </c>
      <c r="J1071" s="8">
        <v>3.0</v>
      </c>
      <c r="K1071" s="8">
        <v>14.0</v>
      </c>
      <c r="L1071" s="8">
        <v>0.214285714</v>
      </c>
      <c r="M1071" s="8">
        <v>14.0</v>
      </c>
      <c r="N1071" s="8">
        <v>-1.299282984</v>
      </c>
      <c r="O1071" s="8">
        <v>3.25</v>
      </c>
      <c r="P1071" s="8" t="s">
        <v>368</v>
      </c>
    </row>
    <row r="1072">
      <c r="A1072" s="8" t="s">
        <v>472</v>
      </c>
      <c r="B1072" s="8">
        <v>2013.0</v>
      </c>
      <c r="C1072" s="8" t="s">
        <v>46</v>
      </c>
      <c r="D1072" s="8" t="s">
        <v>376</v>
      </c>
      <c r="E1072" s="8">
        <v>2090.0</v>
      </c>
      <c r="F1072" s="8" t="s">
        <v>41</v>
      </c>
      <c r="G1072" s="8" t="s">
        <v>42</v>
      </c>
      <c r="H1072" s="8" t="s">
        <v>367</v>
      </c>
      <c r="I1072" s="8">
        <v>1.0</v>
      </c>
      <c r="J1072" s="8">
        <v>3.0</v>
      </c>
      <c r="K1072" s="8">
        <v>14.0</v>
      </c>
      <c r="L1072" s="8">
        <v>0.214285714</v>
      </c>
      <c r="M1072" s="8">
        <v>14.0</v>
      </c>
      <c r="N1072" s="8">
        <v>-1.299282984</v>
      </c>
      <c r="O1072" s="8">
        <v>3.25</v>
      </c>
      <c r="P1072" s="8" t="s">
        <v>368</v>
      </c>
    </row>
    <row r="1073">
      <c r="A1073" s="8" t="s">
        <v>472</v>
      </c>
      <c r="B1073" s="8">
        <v>2013.0</v>
      </c>
      <c r="C1073" s="8" t="s">
        <v>46</v>
      </c>
      <c r="D1073" s="8" t="s">
        <v>376</v>
      </c>
      <c r="E1073" s="8">
        <v>2090.0</v>
      </c>
      <c r="F1073" s="8" t="s">
        <v>41</v>
      </c>
      <c r="G1073" s="8" t="s">
        <v>42</v>
      </c>
      <c r="H1073" s="8" t="s">
        <v>374</v>
      </c>
      <c r="I1073" s="8">
        <v>0.8</v>
      </c>
      <c r="J1073" s="8">
        <v>3.0</v>
      </c>
      <c r="K1073" s="8">
        <v>14.0</v>
      </c>
      <c r="L1073" s="8">
        <v>0.214285714</v>
      </c>
      <c r="M1073" s="8">
        <v>14.0</v>
      </c>
      <c r="N1073" s="8">
        <v>-1.299282984</v>
      </c>
      <c r="O1073" s="8">
        <v>3.25</v>
      </c>
      <c r="P1073" s="8" t="s">
        <v>368</v>
      </c>
    </row>
    <row r="1074">
      <c r="A1074" s="8" t="s">
        <v>472</v>
      </c>
      <c r="B1074" s="8">
        <v>2013.0</v>
      </c>
      <c r="C1074" s="8" t="s">
        <v>46</v>
      </c>
      <c r="D1074" s="8" t="s">
        <v>376</v>
      </c>
      <c r="E1074" s="8">
        <v>2090.0</v>
      </c>
      <c r="F1074" s="8" t="s">
        <v>41</v>
      </c>
      <c r="G1074" s="8" t="s">
        <v>42</v>
      </c>
      <c r="H1074" s="8" t="s">
        <v>374</v>
      </c>
      <c r="I1074" s="8">
        <v>0.95</v>
      </c>
      <c r="J1074" s="8">
        <v>1.0</v>
      </c>
      <c r="K1074" s="8">
        <v>14.0</v>
      </c>
      <c r="L1074" s="8">
        <v>0.071428571</v>
      </c>
      <c r="M1074" s="8">
        <v>14.0</v>
      </c>
      <c r="N1074" s="8">
        <v>-2.564949357</v>
      </c>
      <c r="O1074" s="8">
        <v>3.25</v>
      </c>
      <c r="P1074" s="8" t="s">
        <v>368</v>
      </c>
    </row>
    <row r="1075">
      <c r="A1075" s="8" t="s">
        <v>472</v>
      </c>
      <c r="B1075" s="8">
        <v>2013.0</v>
      </c>
      <c r="C1075" s="8" t="s">
        <v>46</v>
      </c>
      <c r="D1075" s="8" t="s">
        <v>376</v>
      </c>
      <c r="E1075" s="8">
        <v>2090.0</v>
      </c>
      <c r="F1075" s="8" t="s">
        <v>41</v>
      </c>
      <c r="G1075" s="8" t="s">
        <v>42</v>
      </c>
      <c r="H1075" s="8" t="s">
        <v>374</v>
      </c>
      <c r="I1075" s="8">
        <v>1.0</v>
      </c>
      <c r="J1075" s="8">
        <v>1.0</v>
      </c>
      <c r="K1075" s="8">
        <v>14.0</v>
      </c>
      <c r="L1075" s="8">
        <v>0.071428571</v>
      </c>
      <c r="M1075" s="8">
        <v>14.0</v>
      </c>
      <c r="N1075" s="8">
        <v>-2.564949357</v>
      </c>
      <c r="O1075" s="8">
        <v>3.25</v>
      </c>
      <c r="P1075" s="8" t="s">
        <v>368</v>
      </c>
    </row>
    <row r="1076">
      <c r="A1076" s="8" t="s">
        <v>492</v>
      </c>
      <c r="B1076" s="8">
        <v>2013.0</v>
      </c>
      <c r="C1076" s="8" t="s">
        <v>365</v>
      </c>
      <c r="D1076" s="8" t="s">
        <v>381</v>
      </c>
      <c r="E1076" s="8">
        <v>2100.0</v>
      </c>
      <c r="F1076" s="8" t="s">
        <v>34</v>
      </c>
      <c r="G1076" s="8" t="s">
        <v>460</v>
      </c>
      <c r="H1076" s="8" t="s">
        <v>416</v>
      </c>
      <c r="I1076" s="8" t="s">
        <v>36</v>
      </c>
      <c r="J1076" s="8">
        <v>37.0</v>
      </c>
      <c r="K1076" s="8">
        <v>121.0</v>
      </c>
      <c r="L1076" s="8">
        <v>0.305785124</v>
      </c>
      <c r="M1076" s="8">
        <v>121.0</v>
      </c>
      <c r="N1076" s="8">
        <v>-0.819898886</v>
      </c>
      <c r="O1076" s="8" t="s">
        <v>36</v>
      </c>
      <c r="P1076" s="8" t="s">
        <v>36</v>
      </c>
    </row>
    <row r="1077">
      <c r="A1077" s="8" t="s">
        <v>493</v>
      </c>
      <c r="B1077" s="8">
        <v>2013.0</v>
      </c>
      <c r="C1077" s="8" t="s">
        <v>32</v>
      </c>
      <c r="D1077" s="8" t="s">
        <v>370</v>
      </c>
      <c r="E1077" s="8">
        <v>2050.0</v>
      </c>
      <c r="F1077" s="8" t="s">
        <v>41</v>
      </c>
      <c r="G1077" s="8" t="s">
        <v>42</v>
      </c>
      <c r="H1077" s="8" t="s">
        <v>374</v>
      </c>
      <c r="I1077" s="8">
        <v>0.8</v>
      </c>
      <c r="J1077" s="8">
        <v>0.0</v>
      </c>
      <c r="K1077" s="8">
        <v>2.0</v>
      </c>
      <c r="L1077" s="8">
        <v>0.0</v>
      </c>
      <c r="M1077" s="8">
        <v>2.0</v>
      </c>
      <c r="N1077" s="8">
        <v>-1.609437912</v>
      </c>
      <c r="O1077" s="8">
        <v>2.3</v>
      </c>
      <c r="P1077" s="8" t="s">
        <v>368</v>
      </c>
    </row>
    <row r="1078">
      <c r="A1078" s="8" t="s">
        <v>493</v>
      </c>
      <c r="B1078" s="8">
        <v>2013.0</v>
      </c>
      <c r="C1078" s="8" t="s">
        <v>32</v>
      </c>
      <c r="D1078" s="8" t="s">
        <v>370</v>
      </c>
      <c r="E1078" s="8">
        <v>2050.0</v>
      </c>
      <c r="F1078" s="8" t="s">
        <v>41</v>
      </c>
      <c r="G1078" s="8" t="s">
        <v>42</v>
      </c>
      <c r="H1078" s="8" t="s">
        <v>374</v>
      </c>
      <c r="I1078" s="8">
        <v>0.95</v>
      </c>
      <c r="J1078" s="8">
        <v>0.0</v>
      </c>
      <c r="K1078" s="8">
        <v>2.0</v>
      </c>
      <c r="L1078" s="8">
        <v>0.0</v>
      </c>
      <c r="M1078" s="8">
        <v>2.0</v>
      </c>
      <c r="N1078" s="8">
        <v>-1.609437912</v>
      </c>
      <c r="O1078" s="8">
        <v>2.3</v>
      </c>
      <c r="P1078" s="8" t="s">
        <v>368</v>
      </c>
    </row>
    <row r="1079">
      <c r="A1079" s="8" t="s">
        <v>493</v>
      </c>
      <c r="B1079" s="8">
        <v>2013.0</v>
      </c>
      <c r="C1079" s="8" t="s">
        <v>32</v>
      </c>
      <c r="D1079" s="8" t="s">
        <v>370</v>
      </c>
      <c r="E1079" s="8">
        <v>2050.0</v>
      </c>
      <c r="F1079" s="8" t="s">
        <v>41</v>
      </c>
      <c r="G1079" s="8" t="s">
        <v>42</v>
      </c>
      <c r="H1079" s="8" t="s">
        <v>374</v>
      </c>
      <c r="I1079" s="8">
        <v>1.0</v>
      </c>
      <c r="J1079" s="8">
        <v>0.0</v>
      </c>
      <c r="K1079" s="8">
        <v>2.0</v>
      </c>
      <c r="L1079" s="8">
        <v>0.0</v>
      </c>
      <c r="M1079" s="8">
        <v>2.0</v>
      </c>
      <c r="N1079" s="8">
        <v>-1.609437912</v>
      </c>
      <c r="O1079" s="8">
        <v>2.3</v>
      </c>
      <c r="P1079" s="8" t="s">
        <v>368</v>
      </c>
    </row>
    <row r="1080">
      <c r="A1080" s="8" t="s">
        <v>493</v>
      </c>
      <c r="B1080" s="8">
        <v>2013.0</v>
      </c>
      <c r="C1080" s="8" t="s">
        <v>32</v>
      </c>
      <c r="D1080" s="8" t="s">
        <v>370</v>
      </c>
      <c r="E1080" s="8">
        <v>2050.0</v>
      </c>
      <c r="F1080" s="8" t="s">
        <v>41</v>
      </c>
      <c r="G1080" s="8" t="s">
        <v>42</v>
      </c>
      <c r="H1080" s="8" t="s">
        <v>374</v>
      </c>
      <c r="I1080" s="8">
        <v>0.8</v>
      </c>
      <c r="J1080" s="8">
        <v>0.0</v>
      </c>
      <c r="K1080" s="8">
        <v>2.0</v>
      </c>
      <c r="L1080" s="8">
        <v>0.0</v>
      </c>
      <c r="M1080" s="8">
        <v>2.0</v>
      </c>
      <c r="N1080" s="8">
        <v>-1.609437912</v>
      </c>
      <c r="O1080" s="8">
        <v>2.2</v>
      </c>
      <c r="P1080" s="8" t="s">
        <v>368</v>
      </c>
    </row>
    <row r="1081">
      <c r="A1081" s="8" t="s">
        <v>493</v>
      </c>
      <c r="B1081" s="8">
        <v>2013.0</v>
      </c>
      <c r="C1081" s="8" t="s">
        <v>32</v>
      </c>
      <c r="D1081" s="8" t="s">
        <v>370</v>
      </c>
      <c r="E1081" s="8">
        <v>2050.0</v>
      </c>
      <c r="F1081" s="8" t="s">
        <v>41</v>
      </c>
      <c r="G1081" s="8" t="s">
        <v>42</v>
      </c>
      <c r="H1081" s="8" t="s">
        <v>374</v>
      </c>
      <c r="I1081" s="8">
        <v>0.95</v>
      </c>
      <c r="J1081" s="8">
        <v>0.0</v>
      </c>
      <c r="K1081" s="8">
        <v>2.0</v>
      </c>
      <c r="L1081" s="8">
        <v>0.0</v>
      </c>
      <c r="M1081" s="8">
        <v>2.0</v>
      </c>
      <c r="N1081" s="8">
        <v>-1.609437912</v>
      </c>
      <c r="O1081" s="8">
        <v>2.2</v>
      </c>
      <c r="P1081" s="8" t="s">
        <v>368</v>
      </c>
    </row>
    <row r="1082">
      <c r="A1082" s="8" t="s">
        <v>493</v>
      </c>
      <c r="B1082" s="8">
        <v>2013.0</v>
      </c>
      <c r="C1082" s="8" t="s">
        <v>32</v>
      </c>
      <c r="D1082" s="8" t="s">
        <v>370</v>
      </c>
      <c r="E1082" s="8">
        <v>2050.0</v>
      </c>
      <c r="F1082" s="8" t="s">
        <v>41</v>
      </c>
      <c r="G1082" s="8" t="s">
        <v>42</v>
      </c>
      <c r="H1082" s="8" t="s">
        <v>374</v>
      </c>
      <c r="I1082" s="8">
        <v>1.0</v>
      </c>
      <c r="J1082" s="8">
        <v>0.0</v>
      </c>
      <c r="K1082" s="8">
        <v>2.0</v>
      </c>
      <c r="L1082" s="8">
        <v>0.0</v>
      </c>
      <c r="M1082" s="8">
        <v>2.0</v>
      </c>
      <c r="N1082" s="8">
        <v>-1.609437912</v>
      </c>
      <c r="O1082" s="8">
        <v>2.2</v>
      </c>
      <c r="P1082" s="8" t="s">
        <v>368</v>
      </c>
    </row>
    <row r="1083">
      <c r="A1083" s="8" t="s">
        <v>494</v>
      </c>
      <c r="B1083" s="8">
        <v>2013.0</v>
      </c>
      <c r="C1083" s="8" t="s">
        <v>39</v>
      </c>
      <c r="D1083" s="8" t="s">
        <v>371</v>
      </c>
      <c r="E1083" s="8">
        <v>2050.0</v>
      </c>
      <c r="F1083" s="8" t="s">
        <v>41</v>
      </c>
      <c r="G1083" s="8" t="s">
        <v>382</v>
      </c>
      <c r="H1083" s="8" t="s">
        <v>416</v>
      </c>
      <c r="I1083" s="8">
        <v>0.8</v>
      </c>
      <c r="J1083" s="8">
        <v>2.0</v>
      </c>
      <c r="K1083" s="8">
        <v>8.0</v>
      </c>
      <c r="L1083" s="8">
        <v>0.25</v>
      </c>
      <c r="M1083" s="8">
        <v>8.0</v>
      </c>
      <c r="N1083" s="8">
        <v>-1.098612289</v>
      </c>
      <c r="O1083" s="8">
        <v>1.86</v>
      </c>
      <c r="P1083" s="8" t="s">
        <v>368</v>
      </c>
    </row>
    <row r="1084">
      <c r="A1084" s="8" t="s">
        <v>494</v>
      </c>
      <c r="B1084" s="8">
        <v>2013.0</v>
      </c>
      <c r="C1084" s="8" t="s">
        <v>39</v>
      </c>
      <c r="D1084" s="8" t="s">
        <v>371</v>
      </c>
      <c r="E1084" s="8">
        <v>2050.0</v>
      </c>
      <c r="F1084" s="8" t="s">
        <v>41</v>
      </c>
      <c r="G1084" s="8" t="s">
        <v>382</v>
      </c>
      <c r="H1084" s="8" t="s">
        <v>416</v>
      </c>
      <c r="I1084" s="8">
        <v>0.95</v>
      </c>
      <c r="J1084" s="8">
        <v>1.0</v>
      </c>
      <c r="K1084" s="8">
        <v>8.0</v>
      </c>
      <c r="L1084" s="8">
        <v>0.125</v>
      </c>
      <c r="M1084" s="8">
        <v>8.0</v>
      </c>
      <c r="N1084" s="8">
        <v>-1.945910149</v>
      </c>
      <c r="O1084" s="8">
        <v>1.86</v>
      </c>
      <c r="P1084" s="8" t="s">
        <v>368</v>
      </c>
    </row>
    <row r="1085">
      <c r="A1085" s="8" t="s">
        <v>494</v>
      </c>
      <c r="B1085" s="8">
        <v>2013.0</v>
      </c>
      <c r="C1085" s="8" t="s">
        <v>39</v>
      </c>
      <c r="D1085" s="8" t="s">
        <v>371</v>
      </c>
      <c r="E1085" s="8">
        <v>2050.0</v>
      </c>
      <c r="F1085" s="8" t="s">
        <v>41</v>
      </c>
      <c r="G1085" s="8" t="s">
        <v>382</v>
      </c>
      <c r="H1085" s="8" t="s">
        <v>416</v>
      </c>
      <c r="I1085" s="8">
        <v>1.0</v>
      </c>
      <c r="J1085" s="8">
        <v>0.0</v>
      </c>
      <c r="K1085" s="8">
        <v>8.0</v>
      </c>
      <c r="L1085" s="8">
        <v>0.0</v>
      </c>
      <c r="M1085" s="8">
        <v>8.0</v>
      </c>
      <c r="N1085" s="8">
        <v>-2.833213344</v>
      </c>
      <c r="O1085" s="8">
        <v>1.86</v>
      </c>
      <c r="P1085" s="8" t="s">
        <v>368</v>
      </c>
    </row>
    <row r="1086">
      <c r="A1086" s="8" t="s">
        <v>494</v>
      </c>
      <c r="B1086" s="8">
        <v>2013.0</v>
      </c>
      <c r="C1086" s="8" t="s">
        <v>39</v>
      </c>
      <c r="D1086" s="8" t="s">
        <v>371</v>
      </c>
      <c r="E1086" s="8">
        <v>2050.0</v>
      </c>
      <c r="F1086" s="8" t="s">
        <v>41</v>
      </c>
      <c r="G1086" s="8" t="s">
        <v>382</v>
      </c>
      <c r="H1086" s="8" t="s">
        <v>416</v>
      </c>
      <c r="I1086" s="8">
        <v>0.8</v>
      </c>
      <c r="J1086" s="8">
        <v>2.0</v>
      </c>
      <c r="K1086" s="8">
        <v>8.0</v>
      </c>
      <c r="L1086" s="8">
        <v>0.25</v>
      </c>
      <c r="M1086" s="8">
        <v>8.0</v>
      </c>
      <c r="N1086" s="8">
        <v>-1.098612289</v>
      </c>
      <c r="O1086" s="8">
        <v>1.86</v>
      </c>
      <c r="P1086" s="8" t="s">
        <v>368</v>
      </c>
    </row>
    <row r="1087">
      <c r="A1087" s="8" t="s">
        <v>494</v>
      </c>
      <c r="B1087" s="8">
        <v>2013.0</v>
      </c>
      <c r="C1087" s="8" t="s">
        <v>39</v>
      </c>
      <c r="D1087" s="8" t="s">
        <v>371</v>
      </c>
      <c r="E1087" s="8">
        <v>2050.0</v>
      </c>
      <c r="F1087" s="8" t="s">
        <v>41</v>
      </c>
      <c r="G1087" s="8" t="s">
        <v>382</v>
      </c>
      <c r="H1087" s="8" t="s">
        <v>416</v>
      </c>
      <c r="I1087" s="8">
        <v>0.95</v>
      </c>
      <c r="J1087" s="8">
        <v>1.0</v>
      </c>
      <c r="K1087" s="8">
        <v>8.0</v>
      </c>
      <c r="L1087" s="8">
        <v>0.125</v>
      </c>
      <c r="M1087" s="8">
        <v>8.0</v>
      </c>
      <c r="N1087" s="8">
        <v>-1.945910149</v>
      </c>
      <c r="O1087" s="8">
        <v>1.86</v>
      </c>
      <c r="P1087" s="8" t="s">
        <v>368</v>
      </c>
    </row>
    <row r="1088">
      <c r="A1088" s="8" t="s">
        <v>494</v>
      </c>
      <c r="B1088" s="8">
        <v>2013.0</v>
      </c>
      <c r="C1088" s="8" t="s">
        <v>39</v>
      </c>
      <c r="D1088" s="8" t="s">
        <v>371</v>
      </c>
      <c r="E1088" s="8">
        <v>2050.0</v>
      </c>
      <c r="F1088" s="8" t="s">
        <v>41</v>
      </c>
      <c r="G1088" s="8" t="s">
        <v>382</v>
      </c>
      <c r="H1088" s="8" t="s">
        <v>416</v>
      </c>
      <c r="I1088" s="8">
        <v>1.0</v>
      </c>
      <c r="J1088" s="8">
        <v>0.0</v>
      </c>
      <c r="K1088" s="8">
        <v>8.0</v>
      </c>
      <c r="L1088" s="8">
        <v>0.0</v>
      </c>
      <c r="M1088" s="8">
        <v>8.0</v>
      </c>
      <c r="N1088" s="8">
        <v>-2.833213344</v>
      </c>
      <c r="O1088" s="8">
        <v>1.86</v>
      </c>
      <c r="P1088" s="8" t="s">
        <v>368</v>
      </c>
    </row>
    <row r="1089">
      <c r="A1089" s="8" t="s">
        <v>495</v>
      </c>
      <c r="B1089" s="8">
        <v>2013.0</v>
      </c>
      <c r="C1089" s="8" t="s">
        <v>420</v>
      </c>
      <c r="D1089" s="8" t="s">
        <v>381</v>
      </c>
      <c r="E1089" s="8">
        <v>2090.0</v>
      </c>
      <c r="F1089" s="8" t="s">
        <v>41</v>
      </c>
      <c r="G1089" s="8" t="s">
        <v>42</v>
      </c>
      <c r="H1089" s="8" t="s">
        <v>374</v>
      </c>
      <c r="I1089" s="8">
        <v>1.0</v>
      </c>
      <c r="J1089" s="8">
        <v>24.0</v>
      </c>
      <c r="K1089" s="8">
        <v>59.0</v>
      </c>
      <c r="L1089" s="8">
        <v>0.406779661</v>
      </c>
      <c r="M1089" s="8">
        <v>59.0</v>
      </c>
      <c r="N1089" s="8">
        <v>-0.377294231</v>
      </c>
      <c r="O1089" s="8">
        <v>3.7</v>
      </c>
      <c r="P1089" s="8" t="s">
        <v>368</v>
      </c>
    </row>
    <row r="1090">
      <c r="A1090" s="8" t="s">
        <v>478</v>
      </c>
      <c r="B1090" s="8">
        <v>2013.0</v>
      </c>
      <c r="C1090" s="8" t="s">
        <v>32</v>
      </c>
      <c r="D1090" s="8" t="s">
        <v>370</v>
      </c>
      <c r="E1090" s="8">
        <v>2080.0</v>
      </c>
      <c r="F1090" s="8" t="s">
        <v>34</v>
      </c>
      <c r="G1090" s="8" t="s">
        <v>42</v>
      </c>
      <c r="H1090" s="8" t="s">
        <v>374</v>
      </c>
      <c r="I1090" s="8">
        <v>0.8</v>
      </c>
      <c r="J1090" s="8">
        <v>19.0</v>
      </c>
      <c r="K1090" s="8">
        <v>191.0</v>
      </c>
      <c r="L1090" s="8">
        <v>0.09947644</v>
      </c>
      <c r="M1090" s="8">
        <v>191.0</v>
      </c>
      <c r="N1090" s="8">
        <v>-2.203055498</v>
      </c>
      <c r="O1090" s="8">
        <v>3.3</v>
      </c>
      <c r="P1090" s="8" t="s">
        <v>368</v>
      </c>
    </row>
    <row r="1091">
      <c r="A1091" s="8" t="s">
        <v>478</v>
      </c>
      <c r="B1091" s="8">
        <v>2013.0</v>
      </c>
      <c r="C1091" s="8" t="s">
        <v>32</v>
      </c>
      <c r="D1091" s="8" t="s">
        <v>370</v>
      </c>
      <c r="E1091" s="8">
        <v>2080.0</v>
      </c>
      <c r="F1091" s="8" t="s">
        <v>34</v>
      </c>
      <c r="G1091" s="8" t="s">
        <v>42</v>
      </c>
      <c r="H1091" s="8" t="s">
        <v>374</v>
      </c>
      <c r="I1091" s="8">
        <v>0.95</v>
      </c>
      <c r="J1091" s="8">
        <v>6.0</v>
      </c>
      <c r="K1091" s="8">
        <v>191.0</v>
      </c>
      <c r="L1091" s="8">
        <v>0.031413613</v>
      </c>
      <c r="M1091" s="8">
        <v>191.0</v>
      </c>
      <c r="N1091" s="8">
        <v>-3.428596356</v>
      </c>
      <c r="O1091" s="8">
        <v>3.3</v>
      </c>
      <c r="P1091" s="8" t="s">
        <v>368</v>
      </c>
    </row>
    <row r="1092">
      <c r="A1092" s="8" t="s">
        <v>478</v>
      </c>
      <c r="B1092" s="8">
        <v>2013.0</v>
      </c>
      <c r="C1092" s="8" t="s">
        <v>32</v>
      </c>
      <c r="D1092" s="8" t="s">
        <v>370</v>
      </c>
      <c r="E1092" s="8">
        <v>2080.0</v>
      </c>
      <c r="F1092" s="8" t="s">
        <v>34</v>
      </c>
      <c r="G1092" s="8" t="s">
        <v>42</v>
      </c>
      <c r="H1092" s="8" t="s">
        <v>374</v>
      </c>
      <c r="I1092" s="8">
        <v>1.0</v>
      </c>
      <c r="J1092" s="8">
        <v>2.0</v>
      </c>
      <c r="K1092" s="8">
        <v>191.0</v>
      </c>
      <c r="L1092" s="8">
        <v>0.010471204</v>
      </c>
      <c r="M1092" s="8">
        <v>191.0</v>
      </c>
      <c r="N1092" s="8">
        <v>-4.548599834</v>
      </c>
      <c r="O1092" s="8">
        <v>3.3</v>
      </c>
      <c r="P1092" s="8" t="s">
        <v>368</v>
      </c>
    </row>
    <row r="1093">
      <c r="A1093" s="8" t="s">
        <v>478</v>
      </c>
      <c r="B1093" s="8">
        <v>2013.0</v>
      </c>
      <c r="C1093" s="8" t="s">
        <v>32</v>
      </c>
      <c r="D1093" s="8" t="s">
        <v>370</v>
      </c>
      <c r="E1093" s="8">
        <v>2080.0</v>
      </c>
      <c r="F1093" s="8" t="s">
        <v>34</v>
      </c>
      <c r="G1093" s="8" t="s">
        <v>42</v>
      </c>
      <c r="H1093" s="8" t="s">
        <v>374</v>
      </c>
      <c r="I1093" s="8">
        <v>0.8</v>
      </c>
      <c r="J1093" s="8">
        <v>11.0</v>
      </c>
      <c r="K1093" s="8">
        <v>191.0</v>
      </c>
      <c r="L1093" s="8">
        <v>0.057591623</v>
      </c>
      <c r="M1093" s="8">
        <v>191.0</v>
      </c>
      <c r="N1093" s="8">
        <v>-2.795061578</v>
      </c>
      <c r="O1093" s="8">
        <v>2.66</v>
      </c>
      <c r="P1093" s="8" t="s">
        <v>368</v>
      </c>
    </row>
    <row r="1094">
      <c r="A1094" s="8" t="s">
        <v>478</v>
      </c>
      <c r="B1094" s="8">
        <v>2013.0</v>
      </c>
      <c r="C1094" s="8" t="s">
        <v>32</v>
      </c>
      <c r="D1094" s="8" t="s">
        <v>370</v>
      </c>
      <c r="E1094" s="8">
        <v>2080.0</v>
      </c>
      <c r="F1094" s="8" t="s">
        <v>34</v>
      </c>
      <c r="G1094" s="8" t="s">
        <v>42</v>
      </c>
      <c r="H1094" s="8" t="s">
        <v>374</v>
      </c>
      <c r="I1094" s="8">
        <v>0.95</v>
      </c>
      <c r="J1094" s="8">
        <v>2.0</v>
      </c>
      <c r="K1094" s="8">
        <v>191.0</v>
      </c>
      <c r="L1094" s="8">
        <v>0.010471204</v>
      </c>
      <c r="M1094" s="8">
        <v>191.0</v>
      </c>
      <c r="N1094" s="8">
        <v>-4.548599834</v>
      </c>
      <c r="O1094" s="8">
        <v>2.66</v>
      </c>
      <c r="P1094" s="8" t="s">
        <v>368</v>
      </c>
    </row>
    <row r="1095">
      <c r="A1095" s="8" t="s">
        <v>478</v>
      </c>
      <c r="B1095" s="8">
        <v>2013.0</v>
      </c>
      <c r="C1095" s="8" t="s">
        <v>32</v>
      </c>
      <c r="D1095" s="8" t="s">
        <v>370</v>
      </c>
      <c r="E1095" s="8">
        <v>2080.0</v>
      </c>
      <c r="F1095" s="8" t="s">
        <v>34</v>
      </c>
      <c r="G1095" s="8" t="s">
        <v>42</v>
      </c>
      <c r="H1095" s="8" t="s">
        <v>374</v>
      </c>
      <c r="I1095" s="8">
        <v>1.0</v>
      </c>
      <c r="J1095" s="8">
        <v>1.0</v>
      </c>
      <c r="K1095" s="8">
        <v>191.0</v>
      </c>
      <c r="L1095" s="8">
        <v>0.005235602</v>
      </c>
      <c r="M1095" s="8">
        <v>191.0</v>
      </c>
      <c r="N1095" s="8">
        <v>-5.247024072</v>
      </c>
      <c r="O1095" s="8">
        <v>2.66</v>
      </c>
      <c r="P1095" s="8" t="s">
        <v>368</v>
      </c>
    </row>
    <row r="1096">
      <c r="A1096" s="8" t="s">
        <v>496</v>
      </c>
      <c r="B1096" s="8">
        <v>2013.0</v>
      </c>
      <c r="C1096" s="8" t="s">
        <v>77</v>
      </c>
      <c r="D1096" s="8" t="s">
        <v>398</v>
      </c>
      <c r="E1096" s="8">
        <v>2085.0</v>
      </c>
      <c r="F1096" s="8" t="s">
        <v>41</v>
      </c>
      <c r="G1096" s="8" t="s">
        <v>42</v>
      </c>
      <c r="H1096" s="8" t="s">
        <v>367</v>
      </c>
      <c r="I1096" s="8">
        <v>0.9</v>
      </c>
      <c r="J1096" s="8">
        <v>323.0</v>
      </c>
      <c r="K1096" s="8">
        <v>5382.0</v>
      </c>
      <c r="L1096" s="8">
        <v>0.060014864</v>
      </c>
      <c r="M1096" s="8">
        <v>5382.0</v>
      </c>
      <c r="N1096" s="8">
        <v>-2.751271791</v>
      </c>
      <c r="O1096" s="8">
        <v>4.0</v>
      </c>
      <c r="P1096" s="8" t="s">
        <v>368</v>
      </c>
    </row>
    <row r="1097">
      <c r="A1097" s="8" t="s">
        <v>496</v>
      </c>
      <c r="B1097" s="8">
        <v>2013.0</v>
      </c>
      <c r="C1097" s="8" t="s">
        <v>77</v>
      </c>
      <c r="D1097" s="8" t="s">
        <v>398</v>
      </c>
      <c r="E1097" s="8">
        <v>2085.0</v>
      </c>
      <c r="F1097" s="8" t="s">
        <v>41</v>
      </c>
      <c r="G1097" s="8" t="s">
        <v>42</v>
      </c>
      <c r="H1097" s="8" t="s">
        <v>416</v>
      </c>
      <c r="I1097" s="8">
        <v>0.9</v>
      </c>
      <c r="J1097" s="8">
        <v>215.0</v>
      </c>
      <c r="K1097" s="8">
        <v>5382.0</v>
      </c>
      <c r="L1097" s="8">
        <v>0.039947975</v>
      </c>
      <c r="M1097" s="8">
        <v>5382.0</v>
      </c>
      <c r="N1097" s="8">
        <v>-3.1794095</v>
      </c>
      <c r="O1097" s="8">
        <v>4.0</v>
      </c>
      <c r="P1097" s="8" t="s">
        <v>368</v>
      </c>
    </row>
    <row r="1098">
      <c r="A1098" s="8" t="s">
        <v>496</v>
      </c>
      <c r="B1098" s="8">
        <v>2013.0</v>
      </c>
      <c r="C1098" s="8" t="s">
        <v>77</v>
      </c>
      <c r="D1098" s="8" t="s">
        <v>398</v>
      </c>
      <c r="E1098" s="8">
        <v>2085.0</v>
      </c>
      <c r="F1098" s="8" t="s">
        <v>41</v>
      </c>
      <c r="G1098" s="8" t="s">
        <v>42</v>
      </c>
      <c r="H1098" s="8" t="s">
        <v>374</v>
      </c>
      <c r="I1098" s="8">
        <v>0.9</v>
      </c>
      <c r="J1098" s="8">
        <v>215.0</v>
      </c>
      <c r="K1098" s="8">
        <v>5382.0</v>
      </c>
      <c r="L1098" s="8">
        <v>0.039947975</v>
      </c>
      <c r="M1098" s="8">
        <v>5382.0</v>
      </c>
      <c r="N1098" s="8">
        <v>-3.1794095</v>
      </c>
      <c r="O1098" s="8">
        <v>4.0</v>
      </c>
      <c r="P1098" s="8" t="s">
        <v>368</v>
      </c>
    </row>
    <row r="1099">
      <c r="A1099" s="8" t="s">
        <v>496</v>
      </c>
      <c r="B1099" s="8">
        <v>2013.0</v>
      </c>
      <c r="C1099" s="8" t="s">
        <v>77</v>
      </c>
      <c r="D1099" s="8" t="s">
        <v>371</v>
      </c>
      <c r="E1099" s="8">
        <v>2085.0</v>
      </c>
      <c r="F1099" s="8" t="s">
        <v>41</v>
      </c>
      <c r="G1099" s="8" t="s">
        <v>42</v>
      </c>
      <c r="H1099" s="8" t="s">
        <v>367</v>
      </c>
      <c r="I1099" s="8">
        <v>0.9</v>
      </c>
      <c r="J1099" s="8">
        <v>11766.0</v>
      </c>
      <c r="K1099" s="8">
        <v>43578.0</v>
      </c>
      <c r="L1099" s="8">
        <v>0.269998623</v>
      </c>
      <c r="M1099" s="8">
        <v>43578.0</v>
      </c>
      <c r="N1099" s="8">
        <v>-0.994629561</v>
      </c>
      <c r="O1099" s="8">
        <v>4.0</v>
      </c>
      <c r="P1099" s="8" t="s">
        <v>368</v>
      </c>
    </row>
    <row r="1100">
      <c r="A1100" s="8" t="s">
        <v>496</v>
      </c>
      <c r="B1100" s="8">
        <v>2013.0</v>
      </c>
      <c r="C1100" s="8" t="s">
        <v>77</v>
      </c>
      <c r="D1100" s="8" t="s">
        <v>371</v>
      </c>
      <c r="E1100" s="8">
        <v>2085.0</v>
      </c>
      <c r="F1100" s="8" t="s">
        <v>41</v>
      </c>
      <c r="G1100" s="8" t="s">
        <v>42</v>
      </c>
      <c r="H1100" s="8" t="s">
        <v>416</v>
      </c>
      <c r="I1100" s="8">
        <v>0.9</v>
      </c>
      <c r="J1100" s="8">
        <v>4358.0</v>
      </c>
      <c r="K1100" s="8">
        <v>43578.0</v>
      </c>
      <c r="L1100" s="8">
        <v>0.100004589</v>
      </c>
      <c r="M1100" s="8">
        <v>43578.0</v>
      </c>
      <c r="N1100" s="8">
        <v>-2.197173584</v>
      </c>
      <c r="O1100" s="8">
        <v>4.0</v>
      </c>
      <c r="P1100" s="8" t="s">
        <v>368</v>
      </c>
    </row>
    <row r="1101">
      <c r="A1101" s="8" t="s">
        <v>496</v>
      </c>
      <c r="B1101" s="8">
        <v>2013.0</v>
      </c>
      <c r="C1101" s="8" t="s">
        <v>77</v>
      </c>
      <c r="D1101" s="8" t="s">
        <v>371</v>
      </c>
      <c r="E1101" s="8">
        <v>2085.0</v>
      </c>
      <c r="F1101" s="8" t="s">
        <v>41</v>
      </c>
      <c r="G1101" s="8" t="s">
        <v>42</v>
      </c>
      <c r="H1101" s="8" t="s">
        <v>374</v>
      </c>
      <c r="I1101" s="8">
        <v>0.9</v>
      </c>
      <c r="J1101" s="8">
        <v>4358.0</v>
      </c>
      <c r="K1101" s="8">
        <v>43578.0</v>
      </c>
      <c r="L1101" s="8">
        <v>0.100004589</v>
      </c>
      <c r="M1101" s="8">
        <v>43578.0</v>
      </c>
      <c r="N1101" s="8">
        <v>-2.197173584</v>
      </c>
      <c r="O1101" s="8">
        <v>4.0</v>
      </c>
      <c r="P1101" s="8" t="s">
        <v>368</v>
      </c>
    </row>
    <row r="1102">
      <c r="A1102" s="8" t="s">
        <v>496</v>
      </c>
      <c r="B1102" s="8">
        <v>2013.0</v>
      </c>
      <c r="C1102" s="8" t="s">
        <v>77</v>
      </c>
      <c r="D1102" s="8" t="s">
        <v>398</v>
      </c>
      <c r="E1102" s="8">
        <v>2085.0</v>
      </c>
      <c r="F1102" s="8" t="s">
        <v>41</v>
      </c>
      <c r="G1102" s="8" t="s">
        <v>42</v>
      </c>
      <c r="H1102" s="8" t="s">
        <v>367</v>
      </c>
      <c r="I1102" s="8">
        <v>0.9</v>
      </c>
      <c r="J1102" s="8">
        <v>108.0</v>
      </c>
      <c r="K1102" s="8">
        <v>5382.0</v>
      </c>
      <c r="L1102" s="8">
        <v>0.02006689</v>
      </c>
      <c r="M1102" s="8">
        <v>5382.0</v>
      </c>
      <c r="N1102" s="8">
        <v>-3.88841314</v>
      </c>
      <c r="O1102" s="8">
        <v>2.8</v>
      </c>
      <c r="P1102" s="8" t="s">
        <v>368</v>
      </c>
    </row>
    <row r="1103">
      <c r="A1103" s="8" t="s">
        <v>496</v>
      </c>
      <c r="B1103" s="8">
        <v>2013.0</v>
      </c>
      <c r="C1103" s="8" t="s">
        <v>77</v>
      </c>
      <c r="D1103" s="8" t="s">
        <v>398</v>
      </c>
      <c r="E1103" s="8">
        <v>2085.0</v>
      </c>
      <c r="F1103" s="8" t="s">
        <v>41</v>
      </c>
      <c r="G1103" s="8" t="s">
        <v>42</v>
      </c>
      <c r="H1103" s="8" t="s">
        <v>416</v>
      </c>
      <c r="I1103" s="8">
        <v>0.9</v>
      </c>
      <c r="J1103" s="8">
        <v>54.0</v>
      </c>
      <c r="K1103" s="8">
        <v>5382.0</v>
      </c>
      <c r="L1103" s="8">
        <v>0.010033445</v>
      </c>
      <c r="M1103" s="8">
        <v>5382.0</v>
      </c>
      <c r="N1103" s="8">
        <v>-4.591747166</v>
      </c>
      <c r="O1103" s="8">
        <v>2.8</v>
      </c>
      <c r="P1103" s="8" t="s">
        <v>368</v>
      </c>
    </row>
    <row r="1104">
      <c r="A1104" s="8" t="s">
        <v>496</v>
      </c>
      <c r="B1104" s="8">
        <v>2013.0</v>
      </c>
      <c r="C1104" s="8" t="s">
        <v>77</v>
      </c>
      <c r="D1104" s="8" t="s">
        <v>398</v>
      </c>
      <c r="E1104" s="8">
        <v>2085.0</v>
      </c>
      <c r="F1104" s="8" t="s">
        <v>41</v>
      </c>
      <c r="G1104" s="8" t="s">
        <v>42</v>
      </c>
      <c r="H1104" s="8" t="s">
        <v>374</v>
      </c>
      <c r="I1104" s="8">
        <v>0.9</v>
      </c>
      <c r="J1104" s="8">
        <v>54.0</v>
      </c>
      <c r="K1104" s="8">
        <v>5382.0</v>
      </c>
      <c r="L1104" s="8">
        <v>0.010033445</v>
      </c>
      <c r="M1104" s="8">
        <v>5382.0</v>
      </c>
      <c r="N1104" s="8">
        <v>-4.591747166</v>
      </c>
      <c r="O1104" s="8">
        <v>2.8</v>
      </c>
      <c r="P1104" s="8" t="s">
        <v>368</v>
      </c>
    </row>
    <row r="1105">
      <c r="A1105" s="8" t="s">
        <v>496</v>
      </c>
      <c r="B1105" s="8">
        <v>2013.0</v>
      </c>
      <c r="C1105" s="8" t="s">
        <v>77</v>
      </c>
      <c r="D1105" s="8" t="s">
        <v>371</v>
      </c>
      <c r="E1105" s="8">
        <v>2085.0</v>
      </c>
      <c r="F1105" s="8" t="s">
        <v>41</v>
      </c>
      <c r="G1105" s="8" t="s">
        <v>42</v>
      </c>
      <c r="H1105" s="8" t="s">
        <v>367</v>
      </c>
      <c r="I1105" s="8">
        <v>0.9</v>
      </c>
      <c r="J1105" s="8">
        <v>436.0</v>
      </c>
      <c r="K1105" s="8">
        <v>43578.0</v>
      </c>
      <c r="L1105" s="8">
        <v>0.010005048</v>
      </c>
      <c r="M1105" s="8">
        <v>43578.0</v>
      </c>
      <c r="N1105" s="8">
        <v>-4.594610036</v>
      </c>
      <c r="O1105" s="8">
        <v>2.8</v>
      </c>
      <c r="P1105" s="8" t="s">
        <v>368</v>
      </c>
    </row>
    <row r="1106">
      <c r="A1106" s="8" t="s">
        <v>496</v>
      </c>
      <c r="B1106" s="8">
        <v>2013.0</v>
      </c>
      <c r="C1106" s="8" t="s">
        <v>77</v>
      </c>
      <c r="D1106" s="8" t="s">
        <v>371</v>
      </c>
      <c r="E1106" s="8">
        <v>2085.0</v>
      </c>
      <c r="F1106" s="8" t="s">
        <v>41</v>
      </c>
      <c r="G1106" s="8" t="s">
        <v>42</v>
      </c>
      <c r="H1106" s="8" t="s">
        <v>416</v>
      </c>
      <c r="I1106" s="8">
        <v>0.9</v>
      </c>
      <c r="J1106" s="8">
        <v>1308.0</v>
      </c>
      <c r="K1106" s="8">
        <v>43578.0</v>
      </c>
      <c r="L1106" s="8">
        <v>0.030015145</v>
      </c>
      <c r="M1106" s="8">
        <v>43578.0</v>
      </c>
      <c r="N1106" s="8">
        <v>-3.475578362</v>
      </c>
      <c r="O1106" s="8">
        <v>2.8</v>
      </c>
      <c r="P1106" s="8" t="s">
        <v>368</v>
      </c>
    </row>
    <row r="1107">
      <c r="A1107" s="8" t="s">
        <v>496</v>
      </c>
      <c r="B1107" s="8">
        <v>2013.0</v>
      </c>
      <c r="C1107" s="8" t="s">
        <v>77</v>
      </c>
      <c r="D1107" s="8" t="s">
        <v>371</v>
      </c>
      <c r="E1107" s="8">
        <v>2085.0</v>
      </c>
      <c r="F1107" s="8" t="s">
        <v>41</v>
      </c>
      <c r="G1107" s="8" t="s">
        <v>42</v>
      </c>
      <c r="H1107" s="8" t="s">
        <v>374</v>
      </c>
      <c r="I1107" s="8">
        <v>0.9</v>
      </c>
      <c r="J1107" s="8">
        <v>1308.0</v>
      </c>
      <c r="K1107" s="8">
        <v>43578.0</v>
      </c>
      <c r="L1107" s="8">
        <v>0.030015145</v>
      </c>
      <c r="M1107" s="8">
        <v>43578.0</v>
      </c>
      <c r="N1107" s="8">
        <v>-3.475578362</v>
      </c>
      <c r="O1107" s="8">
        <v>2.8</v>
      </c>
      <c r="P1107" s="8" t="s">
        <v>368</v>
      </c>
    </row>
    <row r="1108">
      <c r="A1108" s="8" t="s">
        <v>496</v>
      </c>
      <c r="B1108" s="8">
        <v>2013.0</v>
      </c>
      <c r="C1108" s="8" t="s">
        <v>77</v>
      </c>
      <c r="D1108" s="8" t="s">
        <v>398</v>
      </c>
      <c r="E1108" s="8">
        <v>2085.0</v>
      </c>
      <c r="F1108" s="8" t="s">
        <v>41</v>
      </c>
      <c r="G1108" s="8" t="s">
        <v>42</v>
      </c>
      <c r="H1108" s="8" t="s">
        <v>367</v>
      </c>
      <c r="I1108" s="8">
        <v>0.9</v>
      </c>
      <c r="J1108" s="8">
        <v>54.0</v>
      </c>
      <c r="K1108" s="8">
        <v>5382.0</v>
      </c>
      <c r="L1108" s="8">
        <v>0.010033445</v>
      </c>
      <c r="M1108" s="8">
        <v>5382.0</v>
      </c>
      <c r="N1108" s="8">
        <v>-4.591747166</v>
      </c>
      <c r="O1108" s="8">
        <v>2.5</v>
      </c>
      <c r="P1108" s="8" t="s">
        <v>368</v>
      </c>
    </row>
    <row r="1109">
      <c r="A1109" s="8" t="s">
        <v>496</v>
      </c>
      <c r="B1109" s="8">
        <v>2013.0</v>
      </c>
      <c r="C1109" s="8" t="s">
        <v>77</v>
      </c>
      <c r="D1109" s="8" t="s">
        <v>398</v>
      </c>
      <c r="E1109" s="8">
        <v>2085.0</v>
      </c>
      <c r="F1109" s="8" t="s">
        <v>41</v>
      </c>
      <c r="G1109" s="8" t="s">
        <v>42</v>
      </c>
      <c r="H1109" s="8" t="s">
        <v>416</v>
      </c>
      <c r="I1109" s="8">
        <v>0.9</v>
      </c>
      <c r="J1109" s="8">
        <v>54.0</v>
      </c>
      <c r="K1109" s="8">
        <v>5382.0</v>
      </c>
      <c r="L1109" s="8">
        <v>0.010033445</v>
      </c>
      <c r="M1109" s="8">
        <v>5382.0</v>
      </c>
      <c r="N1109" s="8">
        <v>-4.591747166</v>
      </c>
      <c r="O1109" s="8">
        <v>2.5</v>
      </c>
      <c r="P1109" s="8" t="s">
        <v>368</v>
      </c>
    </row>
    <row r="1110">
      <c r="A1110" s="8" t="s">
        <v>496</v>
      </c>
      <c r="B1110" s="8">
        <v>2013.0</v>
      </c>
      <c r="C1110" s="8" t="s">
        <v>77</v>
      </c>
      <c r="D1110" s="8" t="s">
        <v>398</v>
      </c>
      <c r="E1110" s="8">
        <v>2085.0</v>
      </c>
      <c r="F1110" s="8" t="s">
        <v>41</v>
      </c>
      <c r="G1110" s="8" t="s">
        <v>42</v>
      </c>
      <c r="H1110" s="8" t="s">
        <v>374</v>
      </c>
      <c r="I1110" s="8">
        <v>0.9</v>
      </c>
      <c r="J1110" s="8">
        <v>54.0</v>
      </c>
      <c r="K1110" s="8">
        <v>5382.0</v>
      </c>
      <c r="L1110" s="8">
        <v>0.010033445</v>
      </c>
      <c r="M1110" s="8">
        <v>5382.0</v>
      </c>
      <c r="N1110" s="8">
        <v>-4.591747166</v>
      </c>
      <c r="O1110" s="8">
        <v>2.5</v>
      </c>
      <c r="P1110" s="8" t="s">
        <v>368</v>
      </c>
    </row>
    <row r="1111">
      <c r="A1111" s="8" t="s">
        <v>496</v>
      </c>
      <c r="B1111" s="8">
        <v>2013.0</v>
      </c>
      <c r="C1111" s="8" t="s">
        <v>77</v>
      </c>
      <c r="D1111" s="8" t="s">
        <v>371</v>
      </c>
      <c r="E1111" s="8">
        <v>2085.0</v>
      </c>
      <c r="F1111" s="8" t="s">
        <v>41</v>
      </c>
      <c r="G1111" s="8" t="s">
        <v>42</v>
      </c>
      <c r="H1111" s="8" t="s">
        <v>367</v>
      </c>
      <c r="I1111" s="8">
        <v>0.9</v>
      </c>
      <c r="J1111" s="8">
        <v>436.0</v>
      </c>
      <c r="K1111" s="8">
        <v>43578.0</v>
      </c>
      <c r="L1111" s="8">
        <v>0.010005048</v>
      </c>
      <c r="M1111" s="8">
        <v>43578.0</v>
      </c>
      <c r="N1111" s="8">
        <v>-4.594610036</v>
      </c>
      <c r="O1111" s="8">
        <v>2.5</v>
      </c>
      <c r="P1111" s="8" t="s">
        <v>368</v>
      </c>
    </row>
    <row r="1112">
      <c r="A1112" s="8" t="s">
        <v>496</v>
      </c>
      <c r="B1112" s="8">
        <v>2013.0</v>
      </c>
      <c r="C1112" s="8" t="s">
        <v>77</v>
      </c>
      <c r="D1112" s="8" t="s">
        <v>371</v>
      </c>
      <c r="E1112" s="8">
        <v>2085.0</v>
      </c>
      <c r="F1112" s="8" t="s">
        <v>41</v>
      </c>
      <c r="G1112" s="8" t="s">
        <v>42</v>
      </c>
      <c r="H1112" s="8" t="s">
        <v>416</v>
      </c>
      <c r="I1112" s="8">
        <v>0.9</v>
      </c>
      <c r="J1112" s="8">
        <v>872.0</v>
      </c>
      <c r="K1112" s="8">
        <v>43578.0</v>
      </c>
      <c r="L1112" s="8">
        <v>0.020010097</v>
      </c>
      <c r="M1112" s="8">
        <v>43578.0</v>
      </c>
      <c r="N1112" s="8">
        <v>-3.891305281</v>
      </c>
      <c r="O1112" s="8">
        <v>2.5</v>
      </c>
      <c r="P1112" s="8" t="s">
        <v>368</v>
      </c>
    </row>
    <row r="1113">
      <c r="A1113" s="8" t="s">
        <v>496</v>
      </c>
      <c r="B1113" s="8">
        <v>2013.0</v>
      </c>
      <c r="C1113" s="8" t="s">
        <v>77</v>
      </c>
      <c r="D1113" s="8" t="s">
        <v>371</v>
      </c>
      <c r="E1113" s="8">
        <v>2085.0</v>
      </c>
      <c r="F1113" s="8" t="s">
        <v>41</v>
      </c>
      <c r="G1113" s="8" t="s">
        <v>42</v>
      </c>
      <c r="H1113" s="8" t="s">
        <v>374</v>
      </c>
      <c r="I1113" s="8">
        <v>0.9</v>
      </c>
      <c r="J1113" s="8">
        <v>872.0</v>
      </c>
      <c r="K1113" s="8">
        <v>43578.0</v>
      </c>
      <c r="L1113" s="8">
        <v>0.020010097</v>
      </c>
      <c r="M1113" s="8">
        <v>43578.0</v>
      </c>
      <c r="N1113" s="8">
        <v>-3.891305281</v>
      </c>
      <c r="O1113" s="8">
        <v>2.5</v>
      </c>
      <c r="P1113" s="8" t="s">
        <v>368</v>
      </c>
    </row>
    <row r="1114">
      <c r="A1114" s="8" t="s">
        <v>496</v>
      </c>
      <c r="B1114" s="8">
        <v>2013.0</v>
      </c>
      <c r="C1114" s="8" t="s">
        <v>77</v>
      </c>
      <c r="D1114" s="8" t="s">
        <v>398</v>
      </c>
      <c r="E1114" s="8">
        <v>2085.0</v>
      </c>
      <c r="F1114" s="8" t="s">
        <v>41</v>
      </c>
      <c r="G1114" s="8" t="s">
        <v>42</v>
      </c>
      <c r="H1114" s="8" t="s">
        <v>367</v>
      </c>
      <c r="I1114" s="8">
        <v>0.9</v>
      </c>
      <c r="J1114" s="8">
        <v>54.0</v>
      </c>
      <c r="K1114" s="8">
        <v>5382.0</v>
      </c>
      <c r="L1114" s="8">
        <v>0.010033445</v>
      </c>
      <c r="M1114" s="8">
        <v>5382.0</v>
      </c>
      <c r="N1114" s="8">
        <v>-4.591747166</v>
      </c>
      <c r="O1114" s="8">
        <v>2.2</v>
      </c>
      <c r="P1114" s="8" t="s">
        <v>368</v>
      </c>
    </row>
    <row r="1115">
      <c r="A1115" s="8" t="s">
        <v>496</v>
      </c>
      <c r="B1115" s="8">
        <v>2013.0</v>
      </c>
      <c r="C1115" s="8" t="s">
        <v>77</v>
      </c>
      <c r="D1115" s="8" t="s">
        <v>398</v>
      </c>
      <c r="E1115" s="8">
        <v>2085.0</v>
      </c>
      <c r="F1115" s="8" t="s">
        <v>41</v>
      </c>
      <c r="G1115" s="8" t="s">
        <v>42</v>
      </c>
      <c r="H1115" s="8" t="s">
        <v>416</v>
      </c>
      <c r="I1115" s="8">
        <v>0.9</v>
      </c>
      <c r="J1115" s="8">
        <v>32.0</v>
      </c>
      <c r="K1115" s="8">
        <v>5382.0</v>
      </c>
      <c r="L1115" s="8">
        <v>0.005945745</v>
      </c>
      <c r="M1115" s="8">
        <v>5382.0</v>
      </c>
      <c r="N1115" s="8">
        <v>-5.119115937</v>
      </c>
      <c r="O1115" s="8">
        <v>2.2</v>
      </c>
      <c r="P1115" s="8" t="s">
        <v>368</v>
      </c>
    </row>
    <row r="1116">
      <c r="A1116" s="8" t="s">
        <v>496</v>
      </c>
      <c r="B1116" s="8">
        <v>2013.0</v>
      </c>
      <c r="C1116" s="8" t="s">
        <v>77</v>
      </c>
      <c r="D1116" s="8" t="s">
        <v>398</v>
      </c>
      <c r="E1116" s="8">
        <v>2085.0</v>
      </c>
      <c r="F1116" s="8" t="s">
        <v>41</v>
      </c>
      <c r="G1116" s="8" t="s">
        <v>42</v>
      </c>
      <c r="H1116" s="8" t="s">
        <v>374</v>
      </c>
      <c r="I1116" s="8">
        <v>0.9</v>
      </c>
      <c r="J1116" s="8">
        <v>32.0</v>
      </c>
      <c r="K1116" s="8">
        <v>5382.0</v>
      </c>
      <c r="L1116" s="8">
        <v>0.005945745</v>
      </c>
      <c r="M1116" s="8">
        <v>5382.0</v>
      </c>
      <c r="N1116" s="8">
        <v>-5.119115937</v>
      </c>
      <c r="O1116" s="8">
        <v>2.2</v>
      </c>
      <c r="P1116" s="8" t="s">
        <v>368</v>
      </c>
    </row>
    <row r="1117">
      <c r="A1117" s="8" t="s">
        <v>496</v>
      </c>
      <c r="B1117" s="8">
        <v>2013.0</v>
      </c>
      <c r="C1117" s="8" t="s">
        <v>77</v>
      </c>
      <c r="D1117" s="8" t="s">
        <v>371</v>
      </c>
      <c r="E1117" s="8">
        <v>2085.0</v>
      </c>
      <c r="F1117" s="8" t="s">
        <v>41</v>
      </c>
      <c r="G1117" s="8" t="s">
        <v>42</v>
      </c>
      <c r="H1117" s="8" t="s">
        <v>367</v>
      </c>
      <c r="I1117" s="8">
        <v>0.9</v>
      </c>
      <c r="J1117" s="8">
        <v>436.0</v>
      </c>
      <c r="K1117" s="8">
        <v>43578.0</v>
      </c>
      <c r="L1117" s="8">
        <v>0.010005048</v>
      </c>
      <c r="M1117" s="8">
        <v>43578.0</v>
      </c>
      <c r="N1117" s="8">
        <v>-4.594610036</v>
      </c>
      <c r="O1117" s="8">
        <v>2.2</v>
      </c>
      <c r="P1117" s="8" t="s">
        <v>368</v>
      </c>
    </row>
    <row r="1118">
      <c r="A1118" s="8" t="s">
        <v>496</v>
      </c>
      <c r="B1118" s="8">
        <v>2013.0</v>
      </c>
      <c r="C1118" s="8" t="s">
        <v>77</v>
      </c>
      <c r="D1118" s="8" t="s">
        <v>371</v>
      </c>
      <c r="E1118" s="8">
        <v>2085.0</v>
      </c>
      <c r="F1118" s="8" t="s">
        <v>41</v>
      </c>
      <c r="G1118" s="8" t="s">
        <v>42</v>
      </c>
      <c r="H1118" s="8" t="s">
        <v>416</v>
      </c>
      <c r="I1118" s="8">
        <v>0.9</v>
      </c>
      <c r="J1118" s="8">
        <v>436.0</v>
      </c>
      <c r="K1118" s="8">
        <v>43578.0</v>
      </c>
      <c r="L1118" s="8">
        <v>0.010005048</v>
      </c>
      <c r="M1118" s="8">
        <v>43578.0</v>
      </c>
      <c r="N1118" s="8">
        <v>-4.594610036</v>
      </c>
      <c r="O1118" s="8">
        <v>2.2</v>
      </c>
      <c r="P1118" s="8" t="s">
        <v>368</v>
      </c>
    </row>
    <row r="1119">
      <c r="A1119" s="8" t="s">
        <v>496</v>
      </c>
      <c r="B1119" s="8">
        <v>2013.0</v>
      </c>
      <c r="C1119" s="8" t="s">
        <v>77</v>
      </c>
      <c r="D1119" s="8" t="s">
        <v>371</v>
      </c>
      <c r="E1119" s="8">
        <v>2085.0</v>
      </c>
      <c r="F1119" s="8" t="s">
        <v>41</v>
      </c>
      <c r="G1119" s="8" t="s">
        <v>42</v>
      </c>
      <c r="H1119" s="8" t="s">
        <v>374</v>
      </c>
      <c r="I1119" s="8">
        <v>0.9</v>
      </c>
      <c r="J1119" s="8">
        <v>436.0</v>
      </c>
      <c r="K1119" s="8">
        <v>43578.0</v>
      </c>
      <c r="L1119" s="8">
        <v>0.010005048</v>
      </c>
      <c r="M1119" s="8">
        <v>43578.0</v>
      </c>
      <c r="N1119" s="8">
        <v>-4.594610036</v>
      </c>
      <c r="O1119" s="8">
        <v>2.2</v>
      </c>
      <c r="P1119" s="8" t="s">
        <v>368</v>
      </c>
    </row>
    <row r="1120">
      <c r="A1120" s="8" t="s">
        <v>496</v>
      </c>
      <c r="B1120" s="8">
        <v>2013.0</v>
      </c>
      <c r="C1120" s="8" t="s">
        <v>77</v>
      </c>
      <c r="D1120" s="8" t="s">
        <v>398</v>
      </c>
      <c r="E1120" s="8">
        <v>2085.0</v>
      </c>
      <c r="F1120" s="8" t="s">
        <v>41</v>
      </c>
      <c r="G1120" s="8" t="s">
        <v>42</v>
      </c>
      <c r="H1120" s="8" t="s">
        <v>367</v>
      </c>
      <c r="I1120" s="8">
        <v>0.9</v>
      </c>
      <c r="J1120" s="8">
        <v>54.0</v>
      </c>
      <c r="K1120" s="8">
        <v>5382.0</v>
      </c>
      <c r="L1120" s="8">
        <v>0.010033445</v>
      </c>
      <c r="M1120" s="8">
        <v>5382.0</v>
      </c>
      <c r="N1120" s="8">
        <v>-4.591747166</v>
      </c>
      <c r="O1120" s="8">
        <v>2.0</v>
      </c>
      <c r="P1120" s="8" t="s">
        <v>368</v>
      </c>
    </row>
    <row r="1121">
      <c r="A1121" s="8" t="s">
        <v>496</v>
      </c>
      <c r="B1121" s="8">
        <v>2013.0</v>
      </c>
      <c r="C1121" s="8" t="s">
        <v>77</v>
      </c>
      <c r="D1121" s="8" t="s">
        <v>398</v>
      </c>
      <c r="E1121" s="8">
        <v>2085.0</v>
      </c>
      <c r="F1121" s="8" t="s">
        <v>41</v>
      </c>
      <c r="G1121" s="8" t="s">
        <v>42</v>
      </c>
      <c r="H1121" s="8" t="s">
        <v>416</v>
      </c>
      <c r="I1121" s="8">
        <v>0.9</v>
      </c>
      <c r="J1121" s="8">
        <v>27.0</v>
      </c>
      <c r="K1121" s="8">
        <v>5382.0</v>
      </c>
      <c r="L1121" s="8">
        <v>0.005016722</v>
      </c>
      <c r="M1121" s="8">
        <v>5382.0</v>
      </c>
      <c r="N1121" s="8">
        <v>-5.289949117</v>
      </c>
      <c r="O1121" s="8">
        <v>2.0</v>
      </c>
      <c r="P1121" s="8" t="s">
        <v>368</v>
      </c>
    </row>
    <row r="1122">
      <c r="A1122" s="8" t="s">
        <v>496</v>
      </c>
      <c r="B1122" s="8">
        <v>2013.0</v>
      </c>
      <c r="C1122" s="8" t="s">
        <v>77</v>
      </c>
      <c r="D1122" s="8" t="s">
        <v>398</v>
      </c>
      <c r="E1122" s="8">
        <v>2085.0</v>
      </c>
      <c r="F1122" s="8" t="s">
        <v>41</v>
      </c>
      <c r="G1122" s="8" t="s">
        <v>42</v>
      </c>
      <c r="H1122" s="8" t="s">
        <v>374</v>
      </c>
      <c r="I1122" s="8">
        <v>0.9</v>
      </c>
      <c r="J1122" s="8">
        <v>24.0</v>
      </c>
      <c r="K1122" s="8">
        <v>5382.0</v>
      </c>
      <c r="L1122" s="8">
        <v>0.004459309</v>
      </c>
      <c r="M1122" s="8">
        <v>5382.0</v>
      </c>
      <c r="N1122" s="8">
        <v>-5.40829222</v>
      </c>
      <c r="O1122" s="8">
        <v>2.0</v>
      </c>
      <c r="P1122" s="8" t="s">
        <v>368</v>
      </c>
    </row>
    <row r="1123">
      <c r="A1123" s="8" t="s">
        <v>496</v>
      </c>
      <c r="B1123" s="8">
        <v>2013.0</v>
      </c>
      <c r="C1123" s="8" t="s">
        <v>77</v>
      </c>
      <c r="D1123" s="8" t="s">
        <v>371</v>
      </c>
      <c r="E1123" s="8">
        <v>2085.0</v>
      </c>
      <c r="F1123" s="8" t="s">
        <v>41</v>
      </c>
      <c r="G1123" s="8" t="s">
        <v>42</v>
      </c>
      <c r="H1123" s="8" t="s">
        <v>367</v>
      </c>
      <c r="I1123" s="8">
        <v>0.9</v>
      </c>
      <c r="J1123" s="8">
        <v>436.0</v>
      </c>
      <c r="K1123" s="8">
        <v>43578.0</v>
      </c>
      <c r="L1123" s="8">
        <v>0.010005048</v>
      </c>
      <c r="M1123" s="8">
        <v>43578.0</v>
      </c>
      <c r="N1123" s="8">
        <v>-4.594610036</v>
      </c>
      <c r="O1123" s="8">
        <v>2.0</v>
      </c>
      <c r="P1123" s="8" t="s">
        <v>368</v>
      </c>
    </row>
    <row r="1124">
      <c r="A1124" s="8" t="s">
        <v>496</v>
      </c>
      <c r="B1124" s="8">
        <v>2013.0</v>
      </c>
      <c r="C1124" s="8" t="s">
        <v>77</v>
      </c>
      <c r="D1124" s="8" t="s">
        <v>371</v>
      </c>
      <c r="E1124" s="8">
        <v>2085.0</v>
      </c>
      <c r="F1124" s="8" t="s">
        <v>41</v>
      </c>
      <c r="G1124" s="8" t="s">
        <v>42</v>
      </c>
      <c r="H1124" s="8" t="s">
        <v>416</v>
      </c>
      <c r="I1124" s="8">
        <v>0.9</v>
      </c>
      <c r="J1124" s="8">
        <v>436.0</v>
      </c>
      <c r="K1124" s="8">
        <v>43578.0</v>
      </c>
      <c r="L1124" s="8">
        <v>0.010005048</v>
      </c>
      <c r="M1124" s="8">
        <v>43578.0</v>
      </c>
      <c r="N1124" s="8">
        <v>-4.594610036</v>
      </c>
      <c r="O1124" s="8">
        <v>2.0</v>
      </c>
      <c r="P1124" s="8" t="s">
        <v>368</v>
      </c>
    </row>
    <row r="1125">
      <c r="A1125" s="8" t="s">
        <v>496</v>
      </c>
      <c r="B1125" s="8">
        <v>2013.0</v>
      </c>
      <c r="C1125" s="8" t="s">
        <v>77</v>
      </c>
      <c r="D1125" s="8" t="s">
        <v>371</v>
      </c>
      <c r="E1125" s="8">
        <v>2085.0</v>
      </c>
      <c r="F1125" s="8" t="s">
        <v>41</v>
      </c>
      <c r="G1125" s="8" t="s">
        <v>42</v>
      </c>
      <c r="H1125" s="8" t="s">
        <v>374</v>
      </c>
      <c r="I1125" s="8">
        <v>0.9</v>
      </c>
      <c r="J1125" s="8">
        <v>436.0</v>
      </c>
      <c r="K1125" s="8">
        <v>43578.0</v>
      </c>
      <c r="L1125" s="8">
        <v>0.010005048</v>
      </c>
      <c r="M1125" s="8">
        <v>43578.0</v>
      </c>
      <c r="N1125" s="8">
        <v>-4.594610036</v>
      </c>
      <c r="O1125" s="8">
        <v>2.0</v>
      </c>
      <c r="P1125" s="8" t="s">
        <v>368</v>
      </c>
    </row>
    <row r="1126">
      <c r="A1126" s="8" t="s">
        <v>496</v>
      </c>
      <c r="B1126" s="8">
        <v>2013.0</v>
      </c>
      <c r="C1126" s="8" t="s">
        <v>77</v>
      </c>
      <c r="D1126" s="8" t="s">
        <v>398</v>
      </c>
      <c r="E1126" s="8">
        <v>2085.0</v>
      </c>
      <c r="F1126" s="8" t="s">
        <v>41</v>
      </c>
      <c r="G1126" s="8" t="s">
        <v>42</v>
      </c>
      <c r="H1126" s="8" t="s">
        <v>367</v>
      </c>
      <c r="I1126" s="8">
        <v>0.99</v>
      </c>
      <c r="J1126" s="8">
        <v>538.0</v>
      </c>
      <c r="K1126" s="8">
        <v>5382.0</v>
      </c>
      <c r="L1126" s="8">
        <v>0.099962839</v>
      </c>
      <c r="M1126" s="8">
        <v>5382.0</v>
      </c>
      <c r="N1126" s="8">
        <v>-2.197637545</v>
      </c>
      <c r="O1126" s="8">
        <v>4.0</v>
      </c>
      <c r="P1126" s="8" t="s">
        <v>368</v>
      </c>
    </row>
    <row r="1127">
      <c r="A1127" s="8" t="s">
        <v>496</v>
      </c>
      <c r="B1127" s="8">
        <v>2013.0</v>
      </c>
      <c r="C1127" s="8" t="s">
        <v>77</v>
      </c>
      <c r="D1127" s="8" t="s">
        <v>398</v>
      </c>
      <c r="E1127" s="8">
        <v>2085.0</v>
      </c>
      <c r="F1127" s="8" t="s">
        <v>41</v>
      </c>
      <c r="G1127" s="8" t="s">
        <v>42</v>
      </c>
      <c r="H1127" s="8" t="s">
        <v>416</v>
      </c>
      <c r="I1127" s="8">
        <v>0.99</v>
      </c>
      <c r="J1127" s="8">
        <v>43.0</v>
      </c>
      <c r="K1127" s="8">
        <v>5382.0</v>
      </c>
      <c r="L1127" s="8">
        <v>0.007989595</v>
      </c>
      <c r="M1127" s="8">
        <v>5382.0</v>
      </c>
      <c r="N1127" s="8">
        <v>-4.821593533</v>
      </c>
      <c r="O1127" s="8">
        <v>4.0</v>
      </c>
      <c r="P1127" s="8" t="s">
        <v>368</v>
      </c>
    </row>
    <row r="1128">
      <c r="A1128" s="8" t="s">
        <v>496</v>
      </c>
      <c r="B1128" s="8">
        <v>2013.0</v>
      </c>
      <c r="C1128" s="8" t="s">
        <v>77</v>
      </c>
      <c r="D1128" s="8" t="s">
        <v>398</v>
      </c>
      <c r="E1128" s="8">
        <v>2085.0</v>
      </c>
      <c r="F1128" s="8" t="s">
        <v>41</v>
      </c>
      <c r="G1128" s="8" t="s">
        <v>42</v>
      </c>
      <c r="H1128" s="8" t="s">
        <v>374</v>
      </c>
      <c r="I1128" s="8">
        <v>0.99</v>
      </c>
      <c r="J1128" s="8">
        <v>43.0</v>
      </c>
      <c r="K1128" s="8">
        <v>5382.0</v>
      </c>
      <c r="L1128" s="8">
        <v>0.007989595</v>
      </c>
      <c r="M1128" s="8">
        <v>5382.0</v>
      </c>
      <c r="N1128" s="8">
        <v>-4.821593533</v>
      </c>
      <c r="O1128" s="8">
        <v>4.0</v>
      </c>
      <c r="P1128" s="8" t="s">
        <v>368</v>
      </c>
    </row>
    <row r="1129">
      <c r="A1129" s="8" t="s">
        <v>496</v>
      </c>
      <c r="B1129" s="8">
        <v>2013.0</v>
      </c>
      <c r="C1129" s="8" t="s">
        <v>77</v>
      </c>
      <c r="D1129" s="8" t="s">
        <v>371</v>
      </c>
      <c r="E1129" s="8">
        <v>2085.0</v>
      </c>
      <c r="F1129" s="8" t="s">
        <v>41</v>
      </c>
      <c r="G1129" s="8" t="s">
        <v>42</v>
      </c>
      <c r="H1129" s="8" t="s">
        <v>367</v>
      </c>
      <c r="I1129" s="8">
        <v>0.99</v>
      </c>
      <c r="J1129" s="8">
        <v>872.0</v>
      </c>
      <c r="K1129" s="8">
        <v>43578.0</v>
      </c>
      <c r="L1129" s="8">
        <v>0.020010097</v>
      </c>
      <c r="M1129" s="8">
        <v>43578.0</v>
      </c>
      <c r="N1129" s="8">
        <v>-3.891305281</v>
      </c>
      <c r="O1129" s="8">
        <v>4.0</v>
      </c>
      <c r="P1129" s="8" t="s">
        <v>368</v>
      </c>
    </row>
    <row r="1130">
      <c r="A1130" s="8" t="s">
        <v>496</v>
      </c>
      <c r="B1130" s="8">
        <v>2013.0</v>
      </c>
      <c r="C1130" s="8" t="s">
        <v>77</v>
      </c>
      <c r="D1130" s="8" t="s">
        <v>371</v>
      </c>
      <c r="E1130" s="8">
        <v>2085.0</v>
      </c>
      <c r="F1130" s="8" t="s">
        <v>41</v>
      </c>
      <c r="G1130" s="8" t="s">
        <v>42</v>
      </c>
      <c r="H1130" s="8" t="s">
        <v>416</v>
      </c>
      <c r="I1130" s="8">
        <v>0.99</v>
      </c>
      <c r="J1130" s="8">
        <v>872.0</v>
      </c>
      <c r="K1130" s="8">
        <v>43578.0</v>
      </c>
      <c r="L1130" s="8">
        <v>0.020010097</v>
      </c>
      <c r="M1130" s="8">
        <v>43578.0</v>
      </c>
      <c r="N1130" s="8">
        <v>-3.891305281</v>
      </c>
      <c r="O1130" s="8">
        <v>4.0</v>
      </c>
      <c r="P1130" s="8" t="s">
        <v>368</v>
      </c>
    </row>
    <row r="1131">
      <c r="A1131" s="8" t="s">
        <v>496</v>
      </c>
      <c r="B1131" s="8">
        <v>2013.0</v>
      </c>
      <c r="C1131" s="8" t="s">
        <v>77</v>
      </c>
      <c r="D1131" s="8" t="s">
        <v>371</v>
      </c>
      <c r="E1131" s="8">
        <v>2085.0</v>
      </c>
      <c r="F1131" s="8" t="s">
        <v>41</v>
      </c>
      <c r="G1131" s="8" t="s">
        <v>42</v>
      </c>
      <c r="H1131" s="8" t="s">
        <v>374</v>
      </c>
      <c r="I1131" s="8">
        <v>0.99</v>
      </c>
      <c r="J1131" s="8">
        <v>872.0</v>
      </c>
      <c r="K1131" s="8">
        <v>43578.0</v>
      </c>
      <c r="L1131" s="8">
        <v>0.020010097</v>
      </c>
      <c r="M1131" s="8">
        <v>43578.0</v>
      </c>
      <c r="N1131" s="8">
        <v>-3.891305281</v>
      </c>
      <c r="O1131" s="8">
        <v>4.0</v>
      </c>
      <c r="P1131" s="8" t="s">
        <v>368</v>
      </c>
    </row>
    <row r="1132">
      <c r="A1132" s="8" t="s">
        <v>496</v>
      </c>
      <c r="B1132" s="8">
        <v>2013.0</v>
      </c>
      <c r="C1132" s="8" t="s">
        <v>77</v>
      </c>
      <c r="D1132" s="8" t="s">
        <v>398</v>
      </c>
      <c r="E1132" s="8">
        <v>2085.0</v>
      </c>
      <c r="F1132" s="8" t="s">
        <v>41</v>
      </c>
      <c r="G1132" s="8" t="s">
        <v>42</v>
      </c>
      <c r="H1132" s="8" t="s">
        <v>367</v>
      </c>
      <c r="I1132" s="8">
        <v>0.99</v>
      </c>
      <c r="J1132" s="8">
        <v>22.0</v>
      </c>
      <c r="K1132" s="8">
        <v>5382.0</v>
      </c>
      <c r="L1132" s="8">
        <v>0.0040877</v>
      </c>
      <c r="M1132" s="8">
        <v>5382.0</v>
      </c>
      <c r="N1132" s="8">
        <v>-5.495676801</v>
      </c>
      <c r="O1132" s="8">
        <v>2.8</v>
      </c>
      <c r="P1132" s="8" t="s">
        <v>368</v>
      </c>
    </row>
    <row r="1133">
      <c r="A1133" s="8" t="s">
        <v>496</v>
      </c>
      <c r="B1133" s="8">
        <v>2013.0</v>
      </c>
      <c r="C1133" s="8" t="s">
        <v>77</v>
      </c>
      <c r="D1133" s="8" t="s">
        <v>398</v>
      </c>
      <c r="E1133" s="8">
        <v>2085.0</v>
      </c>
      <c r="F1133" s="8" t="s">
        <v>41</v>
      </c>
      <c r="G1133" s="8" t="s">
        <v>42</v>
      </c>
      <c r="H1133" s="8" t="s">
        <v>416</v>
      </c>
      <c r="I1133" s="8">
        <v>0.99</v>
      </c>
      <c r="J1133" s="8">
        <v>22.0</v>
      </c>
      <c r="K1133" s="8">
        <v>5382.0</v>
      </c>
      <c r="L1133" s="8">
        <v>0.0040877</v>
      </c>
      <c r="M1133" s="8">
        <v>5382.0</v>
      </c>
      <c r="N1133" s="8">
        <v>-5.495676801</v>
      </c>
      <c r="O1133" s="8">
        <v>2.8</v>
      </c>
      <c r="P1133" s="8" t="s">
        <v>368</v>
      </c>
    </row>
    <row r="1134">
      <c r="A1134" s="8" t="s">
        <v>496</v>
      </c>
      <c r="B1134" s="8">
        <v>2013.0</v>
      </c>
      <c r="C1134" s="8" t="s">
        <v>77</v>
      </c>
      <c r="D1134" s="8" t="s">
        <v>398</v>
      </c>
      <c r="E1134" s="8">
        <v>2085.0</v>
      </c>
      <c r="F1134" s="8" t="s">
        <v>41</v>
      </c>
      <c r="G1134" s="8" t="s">
        <v>42</v>
      </c>
      <c r="H1134" s="8" t="s">
        <v>374</v>
      </c>
      <c r="I1134" s="8">
        <v>0.99</v>
      </c>
      <c r="J1134" s="8">
        <v>22.0</v>
      </c>
      <c r="K1134" s="8">
        <v>5382.0</v>
      </c>
      <c r="L1134" s="8">
        <v>0.0040877</v>
      </c>
      <c r="M1134" s="8">
        <v>5382.0</v>
      </c>
      <c r="N1134" s="8">
        <v>-5.495676801</v>
      </c>
      <c r="O1134" s="8">
        <v>2.8</v>
      </c>
      <c r="P1134" s="8" t="s">
        <v>368</v>
      </c>
    </row>
    <row r="1135">
      <c r="A1135" s="8" t="s">
        <v>496</v>
      </c>
      <c r="B1135" s="8">
        <v>2013.0</v>
      </c>
      <c r="C1135" s="8" t="s">
        <v>77</v>
      </c>
      <c r="D1135" s="8" t="s">
        <v>371</v>
      </c>
      <c r="E1135" s="8">
        <v>2085.0</v>
      </c>
      <c r="F1135" s="8" t="s">
        <v>41</v>
      </c>
      <c r="G1135" s="8" t="s">
        <v>42</v>
      </c>
      <c r="H1135" s="8" t="s">
        <v>367</v>
      </c>
      <c r="I1135" s="8">
        <v>0.99</v>
      </c>
      <c r="J1135" s="8">
        <v>261.0</v>
      </c>
      <c r="K1135" s="8">
        <v>43578.0</v>
      </c>
      <c r="L1135" s="8">
        <v>0.005989261</v>
      </c>
      <c r="M1135" s="8">
        <v>43578.0</v>
      </c>
      <c r="N1135" s="8">
        <v>-5.111780039</v>
      </c>
      <c r="O1135" s="8">
        <v>2.8</v>
      </c>
      <c r="P1135" s="8" t="s">
        <v>368</v>
      </c>
    </row>
    <row r="1136">
      <c r="A1136" s="8" t="s">
        <v>496</v>
      </c>
      <c r="B1136" s="8">
        <v>2013.0</v>
      </c>
      <c r="C1136" s="8" t="s">
        <v>77</v>
      </c>
      <c r="D1136" s="8" t="s">
        <v>371</v>
      </c>
      <c r="E1136" s="8">
        <v>2085.0</v>
      </c>
      <c r="F1136" s="8" t="s">
        <v>41</v>
      </c>
      <c r="G1136" s="8" t="s">
        <v>42</v>
      </c>
      <c r="H1136" s="8" t="s">
        <v>416</v>
      </c>
      <c r="I1136" s="8">
        <v>0.99</v>
      </c>
      <c r="J1136" s="8">
        <v>261.0</v>
      </c>
      <c r="K1136" s="8">
        <v>43578.0</v>
      </c>
      <c r="L1136" s="8">
        <v>0.005989261</v>
      </c>
      <c r="M1136" s="8">
        <v>43578.0</v>
      </c>
      <c r="N1136" s="8">
        <v>-5.111780039</v>
      </c>
      <c r="O1136" s="8">
        <v>2.8</v>
      </c>
      <c r="P1136" s="8" t="s">
        <v>368</v>
      </c>
    </row>
    <row r="1137">
      <c r="A1137" s="8" t="s">
        <v>496</v>
      </c>
      <c r="B1137" s="8">
        <v>2013.0</v>
      </c>
      <c r="C1137" s="8" t="s">
        <v>77</v>
      </c>
      <c r="D1137" s="8" t="s">
        <v>371</v>
      </c>
      <c r="E1137" s="8">
        <v>2085.0</v>
      </c>
      <c r="F1137" s="8" t="s">
        <v>41</v>
      </c>
      <c r="G1137" s="8" t="s">
        <v>42</v>
      </c>
      <c r="H1137" s="8" t="s">
        <v>374</v>
      </c>
      <c r="I1137" s="8">
        <v>0.99</v>
      </c>
      <c r="J1137" s="8">
        <v>261.0</v>
      </c>
      <c r="K1137" s="8">
        <v>43578.0</v>
      </c>
      <c r="L1137" s="8">
        <v>0.005989261</v>
      </c>
      <c r="M1137" s="8">
        <v>43578.0</v>
      </c>
      <c r="N1137" s="8">
        <v>-5.111780039</v>
      </c>
      <c r="O1137" s="8">
        <v>2.8</v>
      </c>
      <c r="P1137" s="8" t="s">
        <v>368</v>
      </c>
    </row>
    <row r="1138">
      <c r="A1138" s="8" t="s">
        <v>496</v>
      </c>
      <c r="B1138" s="8">
        <v>2013.0</v>
      </c>
      <c r="C1138" s="8" t="s">
        <v>77</v>
      </c>
      <c r="D1138" s="8" t="s">
        <v>398</v>
      </c>
      <c r="E1138" s="8">
        <v>2085.0</v>
      </c>
      <c r="F1138" s="8" t="s">
        <v>41</v>
      </c>
      <c r="G1138" s="8" t="s">
        <v>42</v>
      </c>
      <c r="H1138" s="8" t="s">
        <v>367</v>
      </c>
      <c r="I1138" s="8">
        <v>0.99</v>
      </c>
      <c r="J1138" s="8">
        <v>16.0</v>
      </c>
      <c r="K1138" s="8">
        <v>5382.0</v>
      </c>
      <c r="L1138" s="8">
        <v>0.002972873</v>
      </c>
      <c r="M1138" s="8">
        <v>5382.0</v>
      </c>
      <c r="N1138" s="8">
        <v>-5.815249309</v>
      </c>
      <c r="O1138" s="8">
        <v>2.5</v>
      </c>
      <c r="P1138" s="8" t="s">
        <v>368</v>
      </c>
    </row>
    <row r="1139">
      <c r="A1139" s="8" t="s">
        <v>496</v>
      </c>
      <c r="B1139" s="8">
        <v>2013.0</v>
      </c>
      <c r="C1139" s="8" t="s">
        <v>77</v>
      </c>
      <c r="D1139" s="8" t="s">
        <v>398</v>
      </c>
      <c r="E1139" s="8">
        <v>2085.0</v>
      </c>
      <c r="F1139" s="8" t="s">
        <v>41</v>
      </c>
      <c r="G1139" s="8" t="s">
        <v>42</v>
      </c>
      <c r="H1139" s="8" t="s">
        <v>416</v>
      </c>
      <c r="I1139" s="8">
        <v>0.99</v>
      </c>
      <c r="J1139" s="8">
        <v>16.0</v>
      </c>
      <c r="K1139" s="8">
        <v>5382.0</v>
      </c>
      <c r="L1139" s="8">
        <v>0.002972873</v>
      </c>
      <c r="M1139" s="8">
        <v>5382.0</v>
      </c>
      <c r="N1139" s="8">
        <v>-5.815249309</v>
      </c>
      <c r="O1139" s="8">
        <v>2.5</v>
      </c>
      <c r="P1139" s="8" t="s">
        <v>368</v>
      </c>
    </row>
    <row r="1140">
      <c r="A1140" s="8" t="s">
        <v>496</v>
      </c>
      <c r="B1140" s="8">
        <v>2013.0</v>
      </c>
      <c r="C1140" s="8" t="s">
        <v>77</v>
      </c>
      <c r="D1140" s="8" t="s">
        <v>398</v>
      </c>
      <c r="E1140" s="8">
        <v>2085.0</v>
      </c>
      <c r="F1140" s="8" t="s">
        <v>41</v>
      </c>
      <c r="G1140" s="8" t="s">
        <v>42</v>
      </c>
      <c r="H1140" s="8" t="s">
        <v>374</v>
      </c>
      <c r="I1140" s="8">
        <v>0.99</v>
      </c>
      <c r="J1140" s="8">
        <v>16.0</v>
      </c>
      <c r="K1140" s="8">
        <v>5382.0</v>
      </c>
      <c r="L1140" s="8">
        <v>0.002972873</v>
      </c>
      <c r="M1140" s="8">
        <v>5382.0</v>
      </c>
      <c r="N1140" s="8">
        <v>-5.815249309</v>
      </c>
      <c r="O1140" s="8">
        <v>2.5</v>
      </c>
      <c r="P1140" s="8" t="s">
        <v>368</v>
      </c>
    </row>
    <row r="1141">
      <c r="A1141" s="8" t="s">
        <v>496</v>
      </c>
      <c r="B1141" s="8">
        <v>2013.0</v>
      </c>
      <c r="C1141" s="8" t="s">
        <v>77</v>
      </c>
      <c r="D1141" s="8" t="s">
        <v>371</v>
      </c>
      <c r="E1141" s="8">
        <v>2085.0</v>
      </c>
      <c r="F1141" s="8" t="s">
        <v>41</v>
      </c>
      <c r="G1141" s="8" t="s">
        <v>42</v>
      </c>
      <c r="H1141" s="8" t="s">
        <v>367</v>
      </c>
      <c r="I1141" s="8">
        <v>0.99</v>
      </c>
      <c r="J1141" s="8">
        <v>218.0</v>
      </c>
      <c r="K1141" s="8">
        <v>43578.0</v>
      </c>
      <c r="L1141" s="8">
        <v>0.005002524</v>
      </c>
      <c r="M1141" s="8">
        <v>43578.0</v>
      </c>
      <c r="N1141" s="8">
        <v>-5.292797573</v>
      </c>
      <c r="O1141" s="8">
        <v>2.5</v>
      </c>
      <c r="P1141" s="8" t="s">
        <v>368</v>
      </c>
    </row>
    <row r="1142">
      <c r="A1142" s="8" t="s">
        <v>496</v>
      </c>
      <c r="B1142" s="8">
        <v>2013.0</v>
      </c>
      <c r="C1142" s="8" t="s">
        <v>77</v>
      </c>
      <c r="D1142" s="8" t="s">
        <v>371</v>
      </c>
      <c r="E1142" s="8">
        <v>2085.0</v>
      </c>
      <c r="F1142" s="8" t="s">
        <v>41</v>
      </c>
      <c r="G1142" s="8" t="s">
        <v>42</v>
      </c>
      <c r="H1142" s="8" t="s">
        <v>416</v>
      </c>
      <c r="I1142" s="8">
        <v>0.99</v>
      </c>
      <c r="J1142" s="8">
        <v>218.0</v>
      </c>
      <c r="K1142" s="8">
        <v>43578.0</v>
      </c>
      <c r="L1142" s="8">
        <v>0.005002524</v>
      </c>
      <c r="M1142" s="8">
        <v>43578.0</v>
      </c>
      <c r="N1142" s="8">
        <v>-5.292797573</v>
      </c>
      <c r="O1142" s="8">
        <v>2.5</v>
      </c>
      <c r="P1142" s="8" t="s">
        <v>368</v>
      </c>
    </row>
    <row r="1143">
      <c r="A1143" s="8" t="s">
        <v>496</v>
      </c>
      <c r="B1143" s="8">
        <v>2013.0</v>
      </c>
      <c r="C1143" s="8" t="s">
        <v>77</v>
      </c>
      <c r="D1143" s="8" t="s">
        <v>371</v>
      </c>
      <c r="E1143" s="8">
        <v>2085.0</v>
      </c>
      <c r="F1143" s="8" t="s">
        <v>41</v>
      </c>
      <c r="G1143" s="8" t="s">
        <v>42</v>
      </c>
      <c r="H1143" s="8" t="s">
        <v>374</v>
      </c>
      <c r="I1143" s="8">
        <v>0.99</v>
      </c>
      <c r="J1143" s="8">
        <v>218.0</v>
      </c>
      <c r="K1143" s="8">
        <v>43578.0</v>
      </c>
      <c r="L1143" s="8">
        <v>0.005002524</v>
      </c>
      <c r="M1143" s="8">
        <v>43578.0</v>
      </c>
      <c r="N1143" s="8">
        <v>-5.292797573</v>
      </c>
      <c r="O1143" s="8">
        <v>2.5</v>
      </c>
      <c r="P1143" s="8" t="s">
        <v>368</v>
      </c>
    </row>
    <row r="1144">
      <c r="A1144" s="8" t="s">
        <v>496</v>
      </c>
      <c r="B1144" s="8">
        <v>2013.0</v>
      </c>
      <c r="C1144" s="8" t="s">
        <v>77</v>
      </c>
      <c r="D1144" s="8" t="s">
        <v>398</v>
      </c>
      <c r="E1144" s="8">
        <v>2085.0</v>
      </c>
      <c r="F1144" s="8" t="s">
        <v>41</v>
      </c>
      <c r="G1144" s="8" t="s">
        <v>42</v>
      </c>
      <c r="H1144" s="8" t="s">
        <v>367</v>
      </c>
      <c r="I1144" s="8">
        <v>0.99</v>
      </c>
      <c r="J1144" s="8">
        <v>16.0</v>
      </c>
      <c r="K1144" s="8">
        <v>5382.0</v>
      </c>
      <c r="L1144" s="8">
        <v>0.002972873</v>
      </c>
      <c r="M1144" s="8">
        <v>5382.0</v>
      </c>
      <c r="N1144" s="8">
        <v>-5.815249309</v>
      </c>
      <c r="O1144" s="8">
        <v>2.2</v>
      </c>
      <c r="P1144" s="8" t="s">
        <v>368</v>
      </c>
    </row>
    <row r="1145">
      <c r="A1145" s="8" t="s">
        <v>496</v>
      </c>
      <c r="B1145" s="8">
        <v>2013.0</v>
      </c>
      <c r="C1145" s="8" t="s">
        <v>77</v>
      </c>
      <c r="D1145" s="8" t="s">
        <v>398</v>
      </c>
      <c r="E1145" s="8">
        <v>2085.0</v>
      </c>
      <c r="F1145" s="8" t="s">
        <v>41</v>
      </c>
      <c r="G1145" s="8" t="s">
        <v>42</v>
      </c>
      <c r="H1145" s="8" t="s">
        <v>416</v>
      </c>
      <c r="I1145" s="8">
        <v>0.99</v>
      </c>
      <c r="J1145" s="8">
        <v>11.0</v>
      </c>
      <c r="K1145" s="8">
        <v>5382.0</v>
      </c>
      <c r="L1145" s="8">
        <v>0.00204385</v>
      </c>
      <c r="M1145" s="8">
        <v>5382.0</v>
      </c>
      <c r="N1145" s="8">
        <v>-6.190874117</v>
      </c>
      <c r="O1145" s="8">
        <v>2.2</v>
      </c>
      <c r="P1145" s="8" t="s">
        <v>368</v>
      </c>
    </row>
    <row r="1146">
      <c r="A1146" s="8" t="s">
        <v>496</v>
      </c>
      <c r="B1146" s="8">
        <v>2013.0</v>
      </c>
      <c r="C1146" s="8" t="s">
        <v>77</v>
      </c>
      <c r="D1146" s="8" t="s">
        <v>398</v>
      </c>
      <c r="E1146" s="8">
        <v>2085.0</v>
      </c>
      <c r="F1146" s="8" t="s">
        <v>41</v>
      </c>
      <c r="G1146" s="8" t="s">
        <v>42</v>
      </c>
      <c r="H1146" s="8" t="s">
        <v>374</v>
      </c>
      <c r="I1146" s="8">
        <v>0.99</v>
      </c>
      <c r="J1146" s="8">
        <v>11.0</v>
      </c>
      <c r="K1146" s="8">
        <v>5382.0</v>
      </c>
      <c r="L1146" s="8">
        <v>0.00204385</v>
      </c>
      <c r="M1146" s="8">
        <v>5382.0</v>
      </c>
      <c r="N1146" s="8">
        <v>-6.190874117</v>
      </c>
      <c r="O1146" s="8">
        <v>2.2</v>
      </c>
      <c r="P1146" s="8" t="s">
        <v>368</v>
      </c>
    </row>
    <row r="1147">
      <c r="A1147" s="8" t="s">
        <v>496</v>
      </c>
      <c r="B1147" s="8">
        <v>2013.0</v>
      </c>
      <c r="C1147" s="8" t="s">
        <v>77</v>
      </c>
      <c r="D1147" s="8" t="s">
        <v>371</v>
      </c>
      <c r="E1147" s="8">
        <v>2085.0</v>
      </c>
      <c r="F1147" s="8" t="s">
        <v>41</v>
      </c>
      <c r="G1147" s="8" t="s">
        <v>42</v>
      </c>
      <c r="H1147" s="8" t="s">
        <v>367</v>
      </c>
      <c r="I1147" s="8">
        <v>0.99</v>
      </c>
      <c r="J1147" s="8">
        <v>174.0</v>
      </c>
      <c r="K1147" s="8">
        <v>43578.0</v>
      </c>
      <c r="L1147" s="8">
        <v>0.00399284</v>
      </c>
      <c r="M1147" s="8">
        <v>43578.0</v>
      </c>
      <c r="N1147" s="8">
        <v>-5.519251583</v>
      </c>
      <c r="O1147" s="8">
        <v>2.2</v>
      </c>
      <c r="P1147" s="8" t="s">
        <v>368</v>
      </c>
    </row>
    <row r="1148">
      <c r="A1148" s="8" t="s">
        <v>496</v>
      </c>
      <c r="B1148" s="8">
        <v>2013.0</v>
      </c>
      <c r="C1148" s="8" t="s">
        <v>77</v>
      </c>
      <c r="D1148" s="8" t="s">
        <v>371</v>
      </c>
      <c r="E1148" s="8">
        <v>2085.0</v>
      </c>
      <c r="F1148" s="8" t="s">
        <v>41</v>
      </c>
      <c r="G1148" s="8" t="s">
        <v>42</v>
      </c>
      <c r="H1148" s="8" t="s">
        <v>416</v>
      </c>
      <c r="I1148" s="8">
        <v>0.99</v>
      </c>
      <c r="J1148" s="8">
        <v>174.0</v>
      </c>
      <c r="K1148" s="8">
        <v>43578.0</v>
      </c>
      <c r="L1148" s="8">
        <v>0.00399284</v>
      </c>
      <c r="M1148" s="8">
        <v>43578.0</v>
      </c>
      <c r="N1148" s="8">
        <v>-5.519251583</v>
      </c>
      <c r="O1148" s="8">
        <v>2.2</v>
      </c>
      <c r="P1148" s="8" t="s">
        <v>368</v>
      </c>
    </row>
    <row r="1149">
      <c r="A1149" s="8" t="s">
        <v>496</v>
      </c>
      <c r="B1149" s="8">
        <v>2013.0</v>
      </c>
      <c r="C1149" s="8" t="s">
        <v>77</v>
      </c>
      <c r="D1149" s="8" t="s">
        <v>371</v>
      </c>
      <c r="E1149" s="8">
        <v>2085.0</v>
      </c>
      <c r="F1149" s="8" t="s">
        <v>41</v>
      </c>
      <c r="G1149" s="8" t="s">
        <v>42</v>
      </c>
      <c r="H1149" s="8" t="s">
        <v>374</v>
      </c>
      <c r="I1149" s="8">
        <v>0.99</v>
      </c>
      <c r="J1149" s="8">
        <v>131.0</v>
      </c>
      <c r="K1149" s="8">
        <v>43578.0</v>
      </c>
      <c r="L1149" s="8">
        <v>0.003006104</v>
      </c>
      <c r="M1149" s="8">
        <v>43578.0</v>
      </c>
      <c r="N1149" s="8">
        <v>-5.80409976</v>
      </c>
      <c r="O1149" s="8">
        <v>2.2</v>
      </c>
      <c r="P1149" s="8" t="s">
        <v>368</v>
      </c>
    </row>
    <row r="1150">
      <c r="A1150" s="8" t="s">
        <v>496</v>
      </c>
      <c r="B1150" s="8">
        <v>2013.0</v>
      </c>
      <c r="C1150" s="8" t="s">
        <v>77</v>
      </c>
      <c r="D1150" s="8" t="s">
        <v>398</v>
      </c>
      <c r="E1150" s="8">
        <v>2085.0</v>
      </c>
      <c r="F1150" s="8" t="s">
        <v>41</v>
      </c>
      <c r="G1150" s="8" t="s">
        <v>42</v>
      </c>
      <c r="H1150" s="8" t="s">
        <v>367</v>
      </c>
      <c r="I1150" s="8">
        <v>0.99</v>
      </c>
      <c r="J1150" s="8">
        <v>11.0</v>
      </c>
      <c r="K1150" s="8">
        <v>5382.0</v>
      </c>
      <c r="L1150" s="8">
        <v>0.00204385</v>
      </c>
      <c r="M1150" s="8">
        <v>5382.0</v>
      </c>
      <c r="N1150" s="8">
        <v>-6.190874117</v>
      </c>
      <c r="O1150" s="8">
        <v>2.0</v>
      </c>
      <c r="P1150" s="8" t="s">
        <v>368</v>
      </c>
    </row>
    <row r="1151">
      <c r="A1151" s="8" t="s">
        <v>496</v>
      </c>
      <c r="B1151" s="8">
        <v>2013.0</v>
      </c>
      <c r="C1151" s="8" t="s">
        <v>77</v>
      </c>
      <c r="D1151" s="8" t="s">
        <v>398</v>
      </c>
      <c r="E1151" s="8">
        <v>2085.0</v>
      </c>
      <c r="F1151" s="8" t="s">
        <v>41</v>
      </c>
      <c r="G1151" s="8" t="s">
        <v>42</v>
      </c>
      <c r="H1151" s="8" t="s">
        <v>416</v>
      </c>
      <c r="I1151" s="8">
        <v>0.99</v>
      </c>
      <c r="J1151" s="8">
        <v>11.0</v>
      </c>
      <c r="K1151" s="8">
        <v>5382.0</v>
      </c>
      <c r="L1151" s="8">
        <v>0.00204385</v>
      </c>
      <c r="M1151" s="8">
        <v>5382.0</v>
      </c>
      <c r="N1151" s="8">
        <v>-6.190874117</v>
      </c>
      <c r="O1151" s="8">
        <v>2.0</v>
      </c>
      <c r="P1151" s="8" t="s">
        <v>368</v>
      </c>
    </row>
    <row r="1152">
      <c r="A1152" s="8" t="s">
        <v>496</v>
      </c>
      <c r="B1152" s="8">
        <v>2013.0</v>
      </c>
      <c r="C1152" s="8" t="s">
        <v>77</v>
      </c>
      <c r="D1152" s="8" t="s">
        <v>398</v>
      </c>
      <c r="E1152" s="8">
        <v>2085.0</v>
      </c>
      <c r="F1152" s="8" t="s">
        <v>41</v>
      </c>
      <c r="G1152" s="8" t="s">
        <v>42</v>
      </c>
      <c r="H1152" s="8" t="s">
        <v>374</v>
      </c>
      <c r="I1152" s="8">
        <v>0.99</v>
      </c>
      <c r="J1152" s="8">
        <v>16.0</v>
      </c>
      <c r="K1152" s="8">
        <v>5382.0</v>
      </c>
      <c r="L1152" s="8">
        <v>0.002972873</v>
      </c>
      <c r="M1152" s="8">
        <v>5382.0</v>
      </c>
      <c r="N1152" s="8">
        <v>-5.815249309</v>
      </c>
      <c r="O1152" s="8">
        <v>2.0</v>
      </c>
      <c r="P1152" s="8" t="s">
        <v>368</v>
      </c>
    </row>
    <row r="1153">
      <c r="A1153" s="8" t="s">
        <v>496</v>
      </c>
      <c r="B1153" s="8">
        <v>2013.0</v>
      </c>
      <c r="C1153" s="8" t="s">
        <v>77</v>
      </c>
      <c r="D1153" s="8" t="s">
        <v>371</v>
      </c>
      <c r="E1153" s="8">
        <v>2085.0</v>
      </c>
      <c r="F1153" s="8" t="s">
        <v>41</v>
      </c>
      <c r="G1153" s="8" t="s">
        <v>42</v>
      </c>
      <c r="H1153" s="8" t="s">
        <v>367</v>
      </c>
      <c r="I1153" s="8">
        <v>0.99</v>
      </c>
      <c r="J1153" s="8">
        <v>131.0</v>
      </c>
      <c r="K1153" s="8">
        <v>43578.0</v>
      </c>
      <c r="L1153" s="8">
        <v>0.003006104</v>
      </c>
      <c r="M1153" s="8">
        <v>43578.0</v>
      </c>
      <c r="N1153" s="8">
        <v>-5.80409976</v>
      </c>
      <c r="O1153" s="8">
        <v>2.0</v>
      </c>
      <c r="P1153" s="8" t="s">
        <v>368</v>
      </c>
    </row>
    <row r="1154">
      <c r="A1154" s="8" t="s">
        <v>496</v>
      </c>
      <c r="B1154" s="8">
        <v>2013.0</v>
      </c>
      <c r="C1154" s="8" t="s">
        <v>77</v>
      </c>
      <c r="D1154" s="8" t="s">
        <v>371</v>
      </c>
      <c r="E1154" s="8">
        <v>2085.0</v>
      </c>
      <c r="F1154" s="8" t="s">
        <v>41</v>
      </c>
      <c r="G1154" s="8" t="s">
        <v>42</v>
      </c>
      <c r="H1154" s="8" t="s">
        <v>416</v>
      </c>
      <c r="I1154" s="8">
        <v>0.99</v>
      </c>
      <c r="J1154" s="8">
        <v>131.0</v>
      </c>
      <c r="K1154" s="8">
        <v>43578.0</v>
      </c>
      <c r="L1154" s="8">
        <v>0.003006104</v>
      </c>
      <c r="M1154" s="8">
        <v>43578.0</v>
      </c>
      <c r="N1154" s="8">
        <v>-5.80409976</v>
      </c>
      <c r="O1154" s="8">
        <v>2.0</v>
      </c>
      <c r="P1154" s="8" t="s">
        <v>368</v>
      </c>
    </row>
    <row r="1155">
      <c r="A1155" s="8" t="s">
        <v>496</v>
      </c>
      <c r="B1155" s="8">
        <v>2013.0</v>
      </c>
      <c r="C1155" s="8" t="s">
        <v>77</v>
      </c>
      <c r="D1155" s="8" t="s">
        <v>371</v>
      </c>
      <c r="E1155" s="8">
        <v>2085.0</v>
      </c>
      <c r="F1155" s="8" t="s">
        <v>41</v>
      </c>
      <c r="G1155" s="8" t="s">
        <v>42</v>
      </c>
      <c r="H1155" s="8" t="s">
        <v>374</v>
      </c>
      <c r="I1155" s="8">
        <v>0.99</v>
      </c>
      <c r="J1155" s="8">
        <v>131.0</v>
      </c>
      <c r="K1155" s="8">
        <v>43578.0</v>
      </c>
      <c r="L1155" s="8">
        <v>0.003006104</v>
      </c>
      <c r="M1155" s="8">
        <v>43578.0</v>
      </c>
      <c r="N1155" s="8">
        <v>-5.80409976</v>
      </c>
      <c r="O1155" s="8">
        <v>2.0</v>
      </c>
      <c r="P1155" s="8" t="s">
        <v>368</v>
      </c>
    </row>
    <row r="1156">
      <c r="A1156" s="8" t="s">
        <v>497</v>
      </c>
      <c r="B1156" s="8">
        <v>2013.0</v>
      </c>
      <c r="C1156" s="8" t="s">
        <v>77</v>
      </c>
      <c r="D1156" s="8" t="s">
        <v>375</v>
      </c>
      <c r="E1156" s="8">
        <v>2050.0</v>
      </c>
      <c r="F1156" s="8" t="s">
        <v>41</v>
      </c>
      <c r="G1156" s="8" t="s">
        <v>460</v>
      </c>
      <c r="H1156" s="8" t="s">
        <v>416</v>
      </c>
      <c r="I1156" s="8" t="s">
        <v>36</v>
      </c>
      <c r="J1156" s="8">
        <v>3607.0</v>
      </c>
      <c r="K1156" s="8">
        <v>9856.0</v>
      </c>
      <c r="L1156" s="8">
        <v>0.365969968</v>
      </c>
      <c r="M1156" s="8">
        <v>9856.0</v>
      </c>
      <c r="N1156" s="8">
        <v>-0.549545049</v>
      </c>
      <c r="O1156" s="8">
        <v>2.35</v>
      </c>
      <c r="P1156" s="8" t="s">
        <v>368</v>
      </c>
    </row>
    <row r="1157">
      <c r="A1157" s="8" t="s">
        <v>497</v>
      </c>
      <c r="B1157" s="8">
        <v>2013.0</v>
      </c>
      <c r="C1157" s="8" t="s">
        <v>77</v>
      </c>
      <c r="D1157" s="8" t="s">
        <v>375</v>
      </c>
      <c r="E1157" s="8">
        <v>2050.0</v>
      </c>
      <c r="F1157" s="8" t="s">
        <v>41</v>
      </c>
      <c r="G1157" s="8" t="s">
        <v>460</v>
      </c>
      <c r="H1157" s="8" t="s">
        <v>416</v>
      </c>
      <c r="I1157" s="8" t="s">
        <v>36</v>
      </c>
      <c r="J1157" s="8">
        <v>3469.0</v>
      </c>
      <c r="K1157" s="8">
        <v>9856.0</v>
      </c>
      <c r="L1157" s="8">
        <v>0.351968344</v>
      </c>
      <c r="M1157" s="8">
        <v>9856.0</v>
      </c>
      <c r="N1157" s="8">
        <v>-0.610398307</v>
      </c>
      <c r="O1157" s="8">
        <v>1.89</v>
      </c>
      <c r="P1157" s="8" t="s">
        <v>368</v>
      </c>
    </row>
    <row r="1158">
      <c r="A1158" s="8" t="s">
        <v>497</v>
      </c>
      <c r="B1158" s="8">
        <v>2013.0</v>
      </c>
      <c r="C1158" s="8" t="s">
        <v>77</v>
      </c>
      <c r="D1158" s="8" t="s">
        <v>375</v>
      </c>
      <c r="E1158" s="8">
        <v>2050.0</v>
      </c>
      <c r="F1158" s="8" t="s">
        <v>41</v>
      </c>
      <c r="G1158" s="8" t="s">
        <v>460</v>
      </c>
      <c r="H1158" s="8" t="s">
        <v>416</v>
      </c>
      <c r="I1158" s="8" t="s">
        <v>36</v>
      </c>
      <c r="J1158" s="8">
        <v>3538.0</v>
      </c>
      <c r="K1158" s="8">
        <v>9856.0</v>
      </c>
      <c r="L1158" s="8">
        <v>0.358969156</v>
      </c>
      <c r="M1158" s="8">
        <v>9856.0</v>
      </c>
      <c r="N1158" s="8">
        <v>-0.579841107</v>
      </c>
      <c r="O1158" s="8">
        <v>2.25</v>
      </c>
      <c r="P1158" s="8" t="s">
        <v>368</v>
      </c>
    </row>
    <row r="1159">
      <c r="A1159" s="8" t="s">
        <v>497</v>
      </c>
      <c r="B1159" s="8">
        <v>2013.0</v>
      </c>
      <c r="C1159" s="8" t="s">
        <v>77</v>
      </c>
      <c r="D1159" s="8" t="s">
        <v>375</v>
      </c>
      <c r="E1159" s="8">
        <v>2090.0</v>
      </c>
      <c r="F1159" s="8" t="s">
        <v>41</v>
      </c>
      <c r="G1159" s="8" t="s">
        <v>460</v>
      </c>
      <c r="H1159" s="8" t="s">
        <v>416</v>
      </c>
      <c r="I1159" s="8" t="s">
        <v>36</v>
      </c>
      <c r="J1159" s="8">
        <v>4488.0</v>
      </c>
      <c r="K1159" s="8">
        <v>9856.0</v>
      </c>
      <c r="L1159" s="8">
        <v>0.455357143</v>
      </c>
      <c r="M1159" s="8">
        <v>9856.0</v>
      </c>
      <c r="N1159" s="8">
        <v>-0.179048231</v>
      </c>
      <c r="O1159" s="8">
        <v>3.25</v>
      </c>
      <c r="P1159" s="8" t="s">
        <v>368</v>
      </c>
    </row>
    <row r="1160">
      <c r="A1160" s="8" t="s">
        <v>497</v>
      </c>
      <c r="B1160" s="8">
        <v>2013.0</v>
      </c>
      <c r="C1160" s="8" t="s">
        <v>77</v>
      </c>
      <c r="D1160" s="8" t="s">
        <v>375</v>
      </c>
      <c r="E1160" s="8">
        <v>2090.0</v>
      </c>
      <c r="F1160" s="8" t="s">
        <v>41</v>
      </c>
      <c r="G1160" s="8" t="s">
        <v>460</v>
      </c>
      <c r="H1160" s="8" t="s">
        <v>416</v>
      </c>
      <c r="I1160" s="8" t="s">
        <v>36</v>
      </c>
      <c r="J1160" s="8">
        <v>3745.0</v>
      </c>
      <c r="K1160" s="8">
        <v>9856.0</v>
      </c>
      <c r="L1160" s="8">
        <v>0.379971591</v>
      </c>
      <c r="M1160" s="8">
        <v>9856.0</v>
      </c>
      <c r="N1160" s="8">
        <v>-0.489668809</v>
      </c>
      <c r="O1160" s="8">
        <v>2.39</v>
      </c>
      <c r="P1160" s="8" t="s">
        <v>368</v>
      </c>
    </row>
    <row r="1161">
      <c r="A1161" s="8" t="s">
        <v>497</v>
      </c>
      <c r="B1161" s="8">
        <v>2013.0</v>
      </c>
      <c r="C1161" s="8" t="s">
        <v>77</v>
      </c>
      <c r="D1161" s="8" t="s">
        <v>375</v>
      </c>
      <c r="E1161" s="8">
        <v>2090.0</v>
      </c>
      <c r="F1161" s="8" t="s">
        <v>41</v>
      </c>
      <c r="G1161" s="8" t="s">
        <v>460</v>
      </c>
      <c r="H1161" s="8" t="s">
        <v>416</v>
      </c>
      <c r="I1161" s="8" t="s">
        <v>36</v>
      </c>
      <c r="J1161" s="8">
        <v>4582.0</v>
      </c>
      <c r="K1161" s="8">
        <v>9856.0</v>
      </c>
      <c r="L1161" s="8">
        <v>0.464894481</v>
      </c>
      <c r="M1161" s="8">
        <v>9856.0</v>
      </c>
      <c r="N1161" s="8">
        <v>-0.140653504</v>
      </c>
      <c r="O1161" s="8">
        <v>3.73</v>
      </c>
      <c r="P1161" s="8" t="s">
        <v>368</v>
      </c>
    </row>
    <row r="1162">
      <c r="A1162" s="8" t="s">
        <v>497</v>
      </c>
      <c r="B1162" s="8">
        <v>2013.0</v>
      </c>
      <c r="C1162" s="8" t="s">
        <v>77</v>
      </c>
      <c r="D1162" s="8" t="s">
        <v>377</v>
      </c>
      <c r="E1162" s="8">
        <v>2050.0</v>
      </c>
      <c r="F1162" s="8" t="s">
        <v>41</v>
      </c>
      <c r="G1162" s="8" t="s">
        <v>460</v>
      </c>
      <c r="H1162" s="8" t="s">
        <v>416</v>
      </c>
      <c r="I1162" s="8" t="s">
        <v>36</v>
      </c>
      <c r="J1162" s="8">
        <v>2054.0</v>
      </c>
      <c r="K1162" s="8">
        <v>6204.0</v>
      </c>
      <c r="L1162" s="8">
        <v>0.331076725</v>
      </c>
      <c r="M1162" s="8">
        <v>6204.0</v>
      </c>
      <c r="N1162" s="8">
        <v>-0.703319223</v>
      </c>
      <c r="O1162" s="8">
        <v>2.35</v>
      </c>
      <c r="P1162" s="8" t="s">
        <v>368</v>
      </c>
    </row>
    <row r="1163">
      <c r="A1163" s="8" t="s">
        <v>497</v>
      </c>
      <c r="B1163" s="8">
        <v>2013.0</v>
      </c>
      <c r="C1163" s="8" t="s">
        <v>77</v>
      </c>
      <c r="D1163" s="8" t="s">
        <v>377</v>
      </c>
      <c r="E1163" s="8">
        <v>2050.0</v>
      </c>
      <c r="F1163" s="8" t="s">
        <v>41</v>
      </c>
      <c r="G1163" s="8" t="s">
        <v>460</v>
      </c>
      <c r="H1163" s="8" t="s">
        <v>416</v>
      </c>
      <c r="I1163" s="8" t="s">
        <v>36</v>
      </c>
      <c r="J1163" s="8">
        <v>2054.0</v>
      </c>
      <c r="K1163" s="8">
        <v>6204.0</v>
      </c>
      <c r="L1163" s="8">
        <v>0.331076725</v>
      </c>
      <c r="M1163" s="8">
        <v>6204.0</v>
      </c>
      <c r="N1163" s="8">
        <v>-0.703319223</v>
      </c>
      <c r="O1163" s="8">
        <v>1.89</v>
      </c>
      <c r="P1163" s="8" t="s">
        <v>368</v>
      </c>
    </row>
    <row r="1164">
      <c r="A1164" s="8" t="s">
        <v>497</v>
      </c>
      <c r="B1164" s="8">
        <v>2013.0</v>
      </c>
      <c r="C1164" s="8" t="s">
        <v>77</v>
      </c>
      <c r="D1164" s="8" t="s">
        <v>377</v>
      </c>
      <c r="E1164" s="8">
        <v>2050.0</v>
      </c>
      <c r="F1164" s="8" t="s">
        <v>41</v>
      </c>
      <c r="G1164" s="8" t="s">
        <v>460</v>
      </c>
      <c r="H1164" s="8" t="s">
        <v>416</v>
      </c>
      <c r="I1164" s="8" t="s">
        <v>36</v>
      </c>
      <c r="J1164" s="8">
        <v>2054.0</v>
      </c>
      <c r="K1164" s="8">
        <v>6204.0</v>
      </c>
      <c r="L1164" s="8">
        <v>0.331076725</v>
      </c>
      <c r="M1164" s="8">
        <v>6204.0</v>
      </c>
      <c r="N1164" s="8">
        <v>-0.703319223</v>
      </c>
      <c r="O1164" s="8">
        <v>2.25</v>
      </c>
      <c r="P1164" s="8" t="s">
        <v>368</v>
      </c>
    </row>
    <row r="1165">
      <c r="A1165" s="8" t="s">
        <v>497</v>
      </c>
      <c r="B1165" s="8">
        <v>2013.0</v>
      </c>
      <c r="C1165" s="8" t="s">
        <v>77</v>
      </c>
      <c r="D1165" s="8" t="s">
        <v>377</v>
      </c>
      <c r="E1165" s="8">
        <v>2090.0</v>
      </c>
      <c r="F1165" s="8" t="s">
        <v>41</v>
      </c>
      <c r="G1165" s="8" t="s">
        <v>460</v>
      </c>
      <c r="H1165" s="8" t="s">
        <v>416</v>
      </c>
      <c r="I1165" s="8" t="s">
        <v>36</v>
      </c>
      <c r="J1165" s="8">
        <v>2387.0</v>
      </c>
      <c r="K1165" s="8">
        <v>6204.0</v>
      </c>
      <c r="L1165" s="8">
        <v>0.384751773</v>
      </c>
      <c r="M1165" s="8">
        <v>6204.0</v>
      </c>
      <c r="N1165" s="8">
        <v>-0.469427426</v>
      </c>
      <c r="O1165" s="8">
        <v>3.25</v>
      </c>
      <c r="P1165" s="8" t="s">
        <v>368</v>
      </c>
    </row>
    <row r="1166">
      <c r="A1166" s="8" t="s">
        <v>497</v>
      </c>
      <c r="B1166" s="8">
        <v>2013.0</v>
      </c>
      <c r="C1166" s="8" t="s">
        <v>77</v>
      </c>
      <c r="D1166" s="8" t="s">
        <v>377</v>
      </c>
      <c r="E1166" s="8">
        <v>2090.0</v>
      </c>
      <c r="F1166" s="8" t="s">
        <v>41</v>
      </c>
      <c r="G1166" s="8" t="s">
        <v>460</v>
      </c>
      <c r="H1166" s="8" t="s">
        <v>416</v>
      </c>
      <c r="I1166" s="8" t="s">
        <v>36</v>
      </c>
      <c r="J1166" s="8">
        <v>2090.0</v>
      </c>
      <c r="K1166" s="8">
        <v>6204.0</v>
      </c>
      <c r="L1166" s="8">
        <v>0.336879433</v>
      </c>
      <c r="M1166" s="8">
        <v>6204.0</v>
      </c>
      <c r="N1166" s="8">
        <v>-0.677231725</v>
      </c>
      <c r="O1166" s="8">
        <v>2.39</v>
      </c>
      <c r="P1166" s="8" t="s">
        <v>368</v>
      </c>
    </row>
    <row r="1167">
      <c r="A1167" s="8" t="s">
        <v>497</v>
      </c>
      <c r="B1167" s="8">
        <v>2013.0</v>
      </c>
      <c r="C1167" s="8" t="s">
        <v>77</v>
      </c>
      <c r="D1167" s="8" t="s">
        <v>377</v>
      </c>
      <c r="E1167" s="8">
        <v>2090.0</v>
      </c>
      <c r="F1167" s="8" t="s">
        <v>41</v>
      </c>
      <c r="G1167" s="8" t="s">
        <v>460</v>
      </c>
      <c r="H1167" s="8" t="s">
        <v>416</v>
      </c>
      <c r="I1167" s="8" t="s">
        <v>36</v>
      </c>
      <c r="J1167" s="8">
        <v>2482.0</v>
      </c>
      <c r="K1167" s="8">
        <v>6204.0</v>
      </c>
      <c r="L1167" s="8">
        <v>0.400064475</v>
      </c>
      <c r="M1167" s="8">
        <v>6204.0</v>
      </c>
      <c r="N1167" s="8">
        <v>-0.405196471</v>
      </c>
      <c r="O1167" s="8">
        <v>3.73</v>
      </c>
      <c r="P1167" s="8" t="s">
        <v>368</v>
      </c>
    </row>
    <row r="1168">
      <c r="A1168" s="8" t="s">
        <v>497</v>
      </c>
      <c r="B1168" s="8">
        <v>2013.0</v>
      </c>
      <c r="C1168" s="8" t="s">
        <v>77</v>
      </c>
      <c r="D1168" s="8" t="s">
        <v>370</v>
      </c>
      <c r="E1168" s="8">
        <v>2050.0</v>
      </c>
      <c r="F1168" s="8" t="s">
        <v>41</v>
      </c>
      <c r="G1168" s="8" t="s">
        <v>460</v>
      </c>
      <c r="H1168" s="8" t="s">
        <v>416</v>
      </c>
      <c r="I1168" s="8" t="s">
        <v>36</v>
      </c>
      <c r="J1168" s="8">
        <v>187.0</v>
      </c>
      <c r="K1168" s="8">
        <v>797.0</v>
      </c>
      <c r="L1168" s="8">
        <v>0.234629862</v>
      </c>
      <c r="M1168" s="8">
        <v>797.0</v>
      </c>
      <c r="N1168" s="8">
        <v>-1.18235034</v>
      </c>
      <c r="O1168" s="8">
        <v>2.35</v>
      </c>
      <c r="P1168" s="8" t="s">
        <v>368</v>
      </c>
    </row>
    <row r="1169">
      <c r="A1169" s="8" t="s">
        <v>497</v>
      </c>
      <c r="B1169" s="8">
        <v>2013.0</v>
      </c>
      <c r="C1169" s="8" t="s">
        <v>77</v>
      </c>
      <c r="D1169" s="8" t="s">
        <v>370</v>
      </c>
      <c r="E1169" s="8">
        <v>2050.0</v>
      </c>
      <c r="F1169" s="8" t="s">
        <v>41</v>
      </c>
      <c r="G1169" s="8" t="s">
        <v>460</v>
      </c>
      <c r="H1169" s="8" t="s">
        <v>416</v>
      </c>
      <c r="I1169" s="8" t="s">
        <v>36</v>
      </c>
      <c r="J1169" s="8">
        <v>64.0</v>
      </c>
      <c r="K1169" s="8">
        <v>797.0</v>
      </c>
      <c r="L1169" s="8">
        <v>0.080301129</v>
      </c>
      <c r="M1169" s="8">
        <v>797.0</v>
      </c>
      <c r="N1169" s="8">
        <v>-2.438262619</v>
      </c>
      <c r="O1169" s="8">
        <v>1.89</v>
      </c>
      <c r="P1169" s="8" t="s">
        <v>368</v>
      </c>
    </row>
    <row r="1170">
      <c r="A1170" s="8" t="s">
        <v>497</v>
      </c>
      <c r="B1170" s="8">
        <v>2013.0</v>
      </c>
      <c r="C1170" s="8" t="s">
        <v>77</v>
      </c>
      <c r="D1170" s="8" t="s">
        <v>370</v>
      </c>
      <c r="E1170" s="8">
        <v>2050.0</v>
      </c>
      <c r="F1170" s="8" t="s">
        <v>41</v>
      </c>
      <c r="G1170" s="8" t="s">
        <v>460</v>
      </c>
      <c r="H1170" s="8" t="s">
        <v>416</v>
      </c>
      <c r="I1170" s="8" t="s">
        <v>36</v>
      </c>
      <c r="J1170" s="8">
        <v>132.0</v>
      </c>
      <c r="K1170" s="8">
        <v>797.0</v>
      </c>
      <c r="L1170" s="8">
        <v>0.165621079</v>
      </c>
      <c r="M1170" s="8">
        <v>797.0</v>
      </c>
      <c r="N1170" s="8">
        <v>-1.616985118</v>
      </c>
      <c r="O1170" s="8">
        <v>2.25</v>
      </c>
      <c r="P1170" s="8" t="s">
        <v>368</v>
      </c>
    </row>
    <row r="1171">
      <c r="A1171" s="8" t="s">
        <v>497</v>
      </c>
      <c r="B1171" s="8">
        <v>2013.0</v>
      </c>
      <c r="C1171" s="8" t="s">
        <v>77</v>
      </c>
      <c r="D1171" s="8" t="s">
        <v>370</v>
      </c>
      <c r="E1171" s="8">
        <v>2090.0</v>
      </c>
      <c r="F1171" s="8" t="s">
        <v>41</v>
      </c>
      <c r="G1171" s="8" t="s">
        <v>460</v>
      </c>
      <c r="H1171" s="8" t="s">
        <v>416</v>
      </c>
      <c r="I1171" s="8" t="s">
        <v>36</v>
      </c>
      <c r="J1171" s="8">
        <v>428.0</v>
      </c>
      <c r="K1171" s="8">
        <v>797.0</v>
      </c>
      <c r="L1171" s="8">
        <v>0.537013802</v>
      </c>
      <c r="M1171" s="8">
        <v>797.0</v>
      </c>
      <c r="N1171" s="8">
        <v>0.148326552</v>
      </c>
      <c r="O1171" s="8">
        <v>3.25</v>
      </c>
      <c r="P1171" s="8" t="s">
        <v>368</v>
      </c>
    </row>
    <row r="1172">
      <c r="A1172" s="8" t="s">
        <v>497</v>
      </c>
      <c r="B1172" s="8">
        <v>2013.0</v>
      </c>
      <c r="C1172" s="8" t="s">
        <v>77</v>
      </c>
      <c r="D1172" s="8" t="s">
        <v>370</v>
      </c>
      <c r="E1172" s="8">
        <v>2090.0</v>
      </c>
      <c r="F1172" s="8" t="s">
        <v>41</v>
      </c>
      <c r="G1172" s="8" t="s">
        <v>460</v>
      </c>
      <c r="H1172" s="8" t="s">
        <v>416</v>
      </c>
      <c r="I1172" s="8" t="s">
        <v>36</v>
      </c>
      <c r="J1172" s="8">
        <v>220.0</v>
      </c>
      <c r="K1172" s="8">
        <v>797.0</v>
      </c>
      <c r="L1172" s="8">
        <v>0.276035132</v>
      </c>
      <c r="M1172" s="8">
        <v>797.0</v>
      </c>
      <c r="N1172" s="8">
        <v>-0.96421472</v>
      </c>
      <c r="O1172" s="8">
        <v>2.39</v>
      </c>
      <c r="P1172" s="8" t="s">
        <v>368</v>
      </c>
    </row>
    <row r="1173">
      <c r="A1173" s="8" t="s">
        <v>497</v>
      </c>
      <c r="B1173" s="8">
        <v>2013.0</v>
      </c>
      <c r="C1173" s="8" t="s">
        <v>77</v>
      </c>
      <c r="D1173" s="8" t="s">
        <v>370</v>
      </c>
      <c r="E1173" s="8">
        <v>2090.0</v>
      </c>
      <c r="F1173" s="8" t="s">
        <v>41</v>
      </c>
      <c r="G1173" s="8" t="s">
        <v>460</v>
      </c>
      <c r="H1173" s="8" t="s">
        <v>416</v>
      </c>
      <c r="I1173" s="8" t="s">
        <v>36</v>
      </c>
      <c r="J1173" s="8">
        <v>430.0</v>
      </c>
      <c r="K1173" s="8">
        <v>797.0</v>
      </c>
      <c r="L1173" s="8">
        <v>0.539523212</v>
      </c>
      <c r="M1173" s="8">
        <v>797.0</v>
      </c>
      <c r="N1173" s="8">
        <v>0.158423361</v>
      </c>
      <c r="O1173" s="8">
        <v>3.73</v>
      </c>
      <c r="P1173" s="8" t="s">
        <v>368</v>
      </c>
    </row>
    <row r="1174">
      <c r="A1174" s="8" t="s">
        <v>498</v>
      </c>
      <c r="B1174" s="8">
        <v>2013.0</v>
      </c>
      <c r="C1174" s="8" t="s">
        <v>403</v>
      </c>
      <c r="D1174" s="8" t="s">
        <v>371</v>
      </c>
      <c r="E1174" s="8">
        <v>2085.0</v>
      </c>
      <c r="F1174" s="8" t="s">
        <v>34</v>
      </c>
      <c r="G1174" s="8" t="s">
        <v>42</v>
      </c>
      <c r="H1174" s="8" t="s">
        <v>374</v>
      </c>
      <c r="I1174" s="8">
        <v>1.0</v>
      </c>
      <c r="J1174" s="8">
        <v>0.0</v>
      </c>
      <c r="K1174" s="8">
        <v>14.0</v>
      </c>
      <c r="L1174" s="8">
        <v>0.0</v>
      </c>
      <c r="M1174" s="8">
        <v>14.0</v>
      </c>
      <c r="N1174" s="8">
        <v>-3.36729583</v>
      </c>
      <c r="O1174" s="8">
        <v>2.68</v>
      </c>
      <c r="P1174" s="8" t="s">
        <v>368</v>
      </c>
    </row>
    <row r="1175">
      <c r="A1175" s="8" t="s">
        <v>498</v>
      </c>
      <c r="B1175" s="8">
        <v>2013.0</v>
      </c>
      <c r="C1175" s="8" t="s">
        <v>403</v>
      </c>
      <c r="D1175" s="8" t="s">
        <v>371</v>
      </c>
      <c r="E1175" s="8">
        <v>2085.0</v>
      </c>
      <c r="F1175" s="8" t="s">
        <v>34</v>
      </c>
      <c r="G1175" s="8" t="s">
        <v>42</v>
      </c>
      <c r="H1175" s="8" t="s">
        <v>374</v>
      </c>
      <c r="I1175" s="8">
        <v>0.95</v>
      </c>
      <c r="J1175" s="8">
        <v>1.0</v>
      </c>
      <c r="K1175" s="8">
        <v>14.0</v>
      </c>
      <c r="L1175" s="8">
        <v>0.071428571</v>
      </c>
      <c r="M1175" s="8">
        <v>14.0</v>
      </c>
      <c r="N1175" s="8">
        <v>-2.564949357</v>
      </c>
      <c r="O1175" s="8">
        <v>2.68</v>
      </c>
      <c r="P1175" s="8" t="s">
        <v>368</v>
      </c>
    </row>
    <row r="1176">
      <c r="A1176" s="8" t="s">
        <v>498</v>
      </c>
      <c r="B1176" s="8">
        <v>2013.0</v>
      </c>
      <c r="C1176" s="8" t="s">
        <v>403</v>
      </c>
      <c r="D1176" s="8" t="s">
        <v>371</v>
      </c>
      <c r="E1176" s="8">
        <v>2085.0</v>
      </c>
      <c r="F1176" s="8" t="s">
        <v>34</v>
      </c>
      <c r="G1176" s="8" t="s">
        <v>42</v>
      </c>
      <c r="H1176" s="8" t="s">
        <v>374</v>
      </c>
      <c r="I1176" s="8">
        <v>0.8</v>
      </c>
      <c r="J1176" s="8">
        <v>6.0</v>
      </c>
      <c r="K1176" s="8">
        <v>14.0</v>
      </c>
      <c r="L1176" s="8">
        <v>0.428571429</v>
      </c>
      <c r="M1176" s="8">
        <v>14.0</v>
      </c>
      <c r="N1176" s="8">
        <v>-0.287682072</v>
      </c>
      <c r="O1176" s="8">
        <v>2.68</v>
      </c>
      <c r="P1176" s="8" t="s">
        <v>368</v>
      </c>
    </row>
    <row r="1177">
      <c r="A1177" s="8" t="s">
        <v>498</v>
      </c>
      <c r="B1177" s="8">
        <v>2013.0</v>
      </c>
      <c r="C1177" s="8" t="s">
        <v>403</v>
      </c>
      <c r="D1177" s="8" t="s">
        <v>371</v>
      </c>
      <c r="E1177" s="8">
        <v>2085.0</v>
      </c>
      <c r="F1177" s="8" t="s">
        <v>34</v>
      </c>
      <c r="G1177" s="8" t="s">
        <v>42</v>
      </c>
      <c r="H1177" s="8" t="s">
        <v>367</v>
      </c>
      <c r="I1177" s="8">
        <v>1.0</v>
      </c>
      <c r="J1177" s="8">
        <v>1.0</v>
      </c>
      <c r="K1177" s="8">
        <v>14.0</v>
      </c>
      <c r="L1177" s="8">
        <v>0.071428571</v>
      </c>
      <c r="M1177" s="8">
        <v>14.0</v>
      </c>
      <c r="N1177" s="8">
        <v>-2.564949357</v>
      </c>
      <c r="O1177" s="8">
        <v>2.68</v>
      </c>
      <c r="P1177" s="8" t="s">
        <v>368</v>
      </c>
    </row>
    <row r="1178">
      <c r="A1178" s="8" t="s">
        <v>498</v>
      </c>
      <c r="B1178" s="8">
        <v>2013.0</v>
      </c>
      <c r="C1178" s="8" t="s">
        <v>403</v>
      </c>
      <c r="D1178" s="8" t="s">
        <v>371</v>
      </c>
      <c r="E1178" s="8">
        <v>2085.0</v>
      </c>
      <c r="F1178" s="8" t="s">
        <v>34</v>
      </c>
      <c r="G1178" s="8" t="s">
        <v>42</v>
      </c>
      <c r="H1178" s="8" t="s">
        <v>367</v>
      </c>
      <c r="I1178" s="8">
        <v>0.95</v>
      </c>
      <c r="J1178" s="8">
        <v>4.0</v>
      </c>
      <c r="K1178" s="8">
        <v>14.0</v>
      </c>
      <c r="L1178" s="8">
        <v>0.285714286</v>
      </c>
      <c r="M1178" s="8">
        <v>14.0</v>
      </c>
      <c r="N1178" s="8">
        <v>-0.916290732</v>
      </c>
      <c r="O1178" s="8">
        <v>2.68</v>
      </c>
      <c r="P1178" s="8" t="s">
        <v>368</v>
      </c>
    </row>
    <row r="1179">
      <c r="A1179" s="8" t="s">
        <v>498</v>
      </c>
      <c r="B1179" s="8">
        <v>2013.0</v>
      </c>
      <c r="C1179" s="8" t="s">
        <v>403</v>
      </c>
      <c r="D1179" s="8" t="s">
        <v>371</v>
      </c>
      <c r="E1179" s="8">
        <v>2085.0</v>
      </c>
      <c r="F1179" s="8" t="s">
        <v>34</v>
      </c>
      <c r="G1179" s="8" t="s">
        <v>42</v>
      </c>
      <c r="H1179" s="8" t="s">
        <v>367</v>
      </c>
      <c r="I1179" s="8">
        <v>0.8</v>
      </c>
      <c r="J1179" s="8">
        <v>8.0</v>
      </c>
      <c r="K1179" s="8">
        <v>14.0</v>
      </c>
      <c r="L1179" s="8">
        <v>0.571428571</v>
      </c>
      <c r="M1179" s="8">
        <v>14.0</v>
      </c>
      <c r="N1179" s="8">
        <v>0.287682072</v>
      </c>
      <c r="O1179" s="8">
        <v>2.68</v>
      </c>
      <c r="P1179" s="8" t="s">
        <v>368</v>
      </c>
    </row>
    <row r="1180">
      <c r="A1180" s="8" t="s">
        <v>498</v>
      </c>
      <c r="B1180" s="8">
        <v>2013.0</v>
      </c>
      <c r="C1180" s="8" t="s">
        <v>403</v>
      </c>
      <c r="D1180" s="8" t="s">
        <v>371</v>
      </c>
      <c r="E1180" s="8">
        <v>2085.0</v>
      </c>
      <c r="F1180" s="8" t="s">
        <v>34</v>
      </c>
      <c r="G1180" s="8" t="s">
        <v>42</v>
      </c>
      <c r="H1180" s="8" t="s">
        <v>374</v>
      </c>
      <c r="I1180" s="8">
        <v>1.0</v>
      </c>
      <c r="J1180" s="8">
        <v>1.0</v>
      </c>
      <c r="K1180" s="8">
        <v>14.0</v>
      </c>
      <c r="L1180" s="8">
        <v>0.071428571</v>
      </c>
      <c r="M1180" s="8">
        <v>14.0</v>
      </c>
      <c r="N1180" s="8">
        <v>-2.564949357</v>
      </c>
      <c r="O1180" s="8">
        <v>3.57</v>
      </c>
      <c r="P1180" s="8" t="s">
        <v>368</v>
      </c>
    </row>
    <row r="1181">
      <c r="A1181" s="8" t="s">
        <v>498</v>
      </c>
      <c r="B1181" s="8">
        <v>2013.0</v>
      </c>
      <c r="C1181" s="8" t="s">
        <v>403</v>
      </c>
      <c r="D1181" s="8" t="s">
        <v>371</v>
      </c>
      <c r="E1181" s="8">
        <v>2085.0</v>
      </c>
      <c r="F1181" s="8" t="s">
        <v>34</v>
      </c>
      <c r="G1181" s="8" t="s">
        <v>42</v>
      </c>
      <c r="H1181" s="8" t="s">
        <v>374</v>
      </c>
      <c r="I1181" s="8">
        <v>0.95</v>
      </c>
      <c r="J1181" s="8">
        <v>1.0</v>
      </c>
      <c r="K1181" s="8">
        <v>14.0</v>
      </c>
      <c r="L1181" s="8">
        <v>0.071428571</v>
      </c>
      <c r="M1181" s="8">
        <v>14.0</v>
      </c>
      <c r="N1181" s="8">
        <v>-2.564949357</v>
      </c>
      <c r="O1181" s="8">
        <v>3.57</v>
      </c>
      <c r="P1181" s="8" t="s">
        <v>368</v>
      </c>
    </row>
    <row r="1182">
      <c r="A1182" s="8" t="s">
        <v>498</v>
      </c>
      <c r="B1182" s="8">
        <v>2013.0</v>
      </c>
      <c r="C1182" s="8" t="s">
        <v>403</v>
      </c>
      <c r="D1182" s="8" t="s">
        <v>371</v>
      </c>
      <c r="E1182" s="8">
        <v>2085.0</v>
      </c>
      <c r="F1182" s="8" t="s">
        <v>34</v>
      </c>
      <c r="G1182" s="8" t="s">
        <v>42</v>
      </c>
      <c r="H1182" s="8" t="s">
        <v>374</v>
      </c>
      <c r="I1182" s="8">
        <v>0.8</v>
      </c>
      <c r="J1182" s="8">
        <v>2.0</v>
      </c>
      <c r="K1182" s="8">
        <v>14.0</v>
      </c>
      <c r="L1182" s="8">
        <v>0.142857143</v>
      </c>
      <c r="M1182" s="8">
        <v>14.0</v>
      </c>
      <c r="N1182" s="8">
        <v>-1.791759469</v>
      </c>
      <c r="O1182" s="8">
        <v>3.57</v>
      </c>
      <c r="P1182" s="8" t="s">
        <v>368</v>
      </c>
    </row>
    <row r="1183">
      <c r="A1183" s="8" t="s">
        <v>498</v>
      </c>
      <c r="B1183" s="8">
        <v>2013.0</v>
      </c>
      <c r="C1183" s="8" t="s">
        <v>403</v>
      </c>
      <c r="D1183" s="8" t="s">
        <v>371</v>
      </c>
      <c r="E1183" s="8">
        <v>2085.0</v>
      </c>
      <c r="F1183" s="8" t="s">
        <v>34</v>
      </c>
      <c r="G1183" s="8" t="s">
        <v>42</v>
      </c>
      <c r="H1183" s="8" t="s">
        <v>367</v>
      </c>
      <c r="I1183" s="8">
        <v>1.0</v>
      </c>
      <c r="J1183" s="8">
        <v>1.0</v>
      </c>
      <c r="K1183" s="8">
        <v>14.0</v>
      </c>
      <c r="L1183" s="8">
        <v>0.071428571</v>
      </c>
      <c r="M1183" s="8">
        <v>14.0</v>
      </c>
      <c r="N1183" s="8">
        <v>-2.564949357</v>
      </c>
      <c r="O1183" s="8">
        <v>3.57</v>
      </c>
      <c r="P1183" s="8" t="s">
        <v>368</v>
      </c>
    </row>
    <row r="1184">
      <c r="A1184" s="8" t="s">
        <v>498</v>
      </c>
      <c r="B1184" s="8">
        <v>2013.0</v>
      </c>
      <c r="C1184" s="8" t="s">
        <v>403</v>
      </c>
      <c r="D1184" s="8" t="s">
        <v>371</v>
      </c>
      <c r="E1184" s="8">
        <v>2085.0</v>
      </c>
      <c r="F1184" s="8" t="s">
        <v>34</v>
      </c>
      <c r="G1184" s="8" t="s">
        <v>42</v>
      </c>
      <c r="H1184" s="8" t="s">
        <v>367</v>
      </c>
      <c r="I1184" s="8">
        <v>0.95</v>
      </c>
      <c r="J1184" s="8">
        <v>2.0</v>
      </c>
      <c r="K1184" s="8">
        <v>14.0</v>
      </c>
      <c r="L1184" s="8">
        <v>0.142857143</v>
      </c>
      <c r="M1184" s="8">
        <v>14.0</v>
      </c>
      <c r="N1184" s="8">
        <v>-1.791759469</v>
      </c>
      <c r="O1184" s="8">
        <v>3.57</v>
      </c>
      <c r="P1184" s="8" t="s">
        <v>368</v>
      </c>
    </row>
    <row r="1185">
      <c r="A1185" s="8" t="s">
        <v>498</v>
      </c>
      <c r="B1185" s="8">
        <v>2013.0</v>
      </c>
      <c r="C1185" s="8" t="s">
        <v>403</v>
      </c>
      <c r="D1185" s="8" t="s">
        <v>371</v>
      </c>
      <c r="E1185" s="8">
        <v>2085.0</v>
      </c>
      <c r="F1185" s="8" t="s">
        <v>34</v>
      </c>
      <c r="G1185" s="8" t="s">
        <v>42</v>
      </c>
      <c r="H1185" s="8" t="s">
        <v>367</v>
      </c>
      <c r="I1185" s="8">
        <v>0.8</v>
      </c>
      <c r="J1185" s="8">
        <v>7.0</v>
      </c>
      <c r="K1185" s="8">
        <v>14.0</v>
      </c>
      <c r="L1185" s="8">
        <v>0.5</v>
      </c>
      <c r="M1185" s="8">
        <v>14.0</v>
      </c>
      <c r="N1185" s="8">
        <v>0.0</v>
      </c>
      <c r="O1185" s="8">
        <v>3.57</v>
      </c>
      <c r="P1185" s="8" t="s">
        <v>368</v>
      </c>
    </row>
    <row r="1186">
      <c r="A1186" s="8" t="s">
        <v>487</v>
      </c>
      <c r="B1186" s="8">
        <v>2013.0</v>
      </c>
      <c r="C1186" s="8" t="s">
        <v>420</v>
      </c>
      <c r="D1186" s="8" t="s">
        <v>370</v>
      </c>
      <c r="E1186" s="8">
        <v>2100.0</v>
      </c>
      <c r="F1186" s="8" t="s">
        <v>34</v>
      </c>
      <c r="G1186" s="8" t="s">
        <v>382</v>
      </c>
      <c r="H1186" s="8" t="s">
        <v>374</v>
      </c>
      <c r="I1186" s="8">
        <v>1.0</v>
      </c>
      <c r="J1186" s="8">
        <v>0.0</v>
      </c>
      <c r="K1186" s="8">
        <v>2.0</v>
      </c>
      <c r="L1186" s="8">
        <v>0.0</v>
      </c>
      <c r="M1186" s="8">
        <v>2.0</v>
      </c>
      <c r="N1186" s="8">
        <v>-1.609437912</v>
      </c>
      <c r="O1186" s="8">
        <v>3.4</v>
      </c>
      <c r="P1186" s="8" t="s">
        <v>368</v>
      </c>
    </row>
    <row r="1187">
      <c r="A1187" s="8" t="s">
        <v>487</v>
      </c>
      <c r="B1187" s="8">
        <v>2013.0</v>
      </c>
      <c r="C1187" s="8" t="s">
        <v>420</v>
      </c>
      <c r="D1187" s="8" t="s">
        <v>370</v>
      </c>
      <c r="E1187" s="8">
        <v>2100.0</v>
      </c>
      <c r="F1187" s="8" t="s">
        <v>34</v>
      </c>
      <c r="G1187" s="8" t="s">
        <v>382</v>
      </c>
      <c r="H1187" s="8" t="s">
        <v>374</v>
      </c>
      <c r="I1187" s="8">
        <v>0.95</v>
      </c>
      <c r="J1187" s="8">
        <v>0.0</v>
      </c>
      <c r="K1187" s="8">
        <v>2.0</v>
      </c>
      <c r="L1187" s="8">
        <v>0.0</v>
      </c>
      <c r="M1187" s="8">
        <v>2.0</v>
      </c>
      <c r="N1187" s="8">
        <v>-1.609437912</v>
      </c>
      <c r="O1187" s="8">
        <v>3.4</v>
      </c>
      <c r="P1187" s="8" t="s">
        <v>368</v>
      </c>
    </row>
    <row r="1188">
      <c r="A1188" s="8" t="s">
        <v>487</v>
      </c>
      <c r="B1188" s="8">
        <v>2013.0</v>
      </c>
      <c r="C1188" s="8" t="s">
        <v>420</v>
      </c>
      <c r="D1188" s="8" t="s">
        <v>370</v>
      </c>
      <c r="E1188" s="8">
        <v>2100.0</v>
      </c>
      <c r="F1188" s="8" t="s">
        <v>34</v>
      </c>
      <c r="G1188" s="8" t="s">
        <v>382</v>
      </c>
      <c r="H1188" s="8" t="s">
        <v>374</v>
      </c>
      <c r="I1188" s="8">
        <v>0.8</v>
      </c>
      <c r="J1188" s="8">
        <v>0.0</v>
      </c>
      <c r="K1188" s="8">
        <v>2.0</v>
      </c>
      <c r="L1188" s="8">
        <v>0.0</v>
      </c>
      <c r="M1188" s="8">
        <v>2.0</v>
      </c>
      <c r="N1188" s="8">
        <v>-1.609437912</v>
      </c>
      <c r="O1188" s="8">
        <v>3.4</v>
      </c>
      <c r="P1188" s="8" t="s">
        <v>368</v>
      </c>
    </row>
    <row r="1189">
      <c r="A1189" s="8" t="s">
        <v>487</v>
      </c>
      <c r="B1189" s="8">
        <v>2013.0</v>
      </c>
      <c r="C1189" s="8" t="s">
        <v>420</v>
      </c>
      <c r="D1189" s="8" t="s">
        <v>370</v>
      </c>
      <c r="E1189" s="8">
        <v>2100.0</v>
      </c>
      <c r="F1189" s="8" t="s">
        <v>34</v>
      </c>
      <c r="G1189" s="8" t="s">
        <v>382</v>
      </c>
      <c r="H1189" s="8" t="s">
        <v>374</v>
      </c>
      <c r="I1189" s="8">
        <v>1.0</v>
      </c>
      <c r="J1189" s="8">
        <v>0.0</v>
      </c>
      <c r="K1189" s="8">
        <v>2.0</v>
      </c>
      <c r="L1189" s="8">
        <v>0.0</v>
      </c>
      <c r="M1189" s="8">
        <v>2.0</v>
      </c>
      <c r="N1189" s="8">
        <v>-1.609437912</v>
      </c>
      <c r="O1189" s="8">
        <v>2.0</v>
      </c>
      <c r="P1189" s="8" t="s">
        <v>368</v>
      </c>
    </row>
    <row r="1190">
      <c r="A1190" s="8" t="s">
        <v>487</v>
      </c>
      <c r="B1190" s="8">
        <v>2013.0</v>
      </c>
      <c r="C1190" s="8" t="s">
        <v>420</v>
      </c>
      <c r="D1190" s="8" t="s">
        <v>370</v>
      </c>
      <c r="E1190" s="8">
        <v>2100.0</v>
      </c>
      <c r="F1190" s="8" t="s">
        <v>34</v>
      </c>
      <c r="G1190" s="8" t="s">
        <v>382</v>
      </c>
      <c r="H1190" s="8" t="s">
        <v>374</v>
      </c>
      <c r="I1190" s="8">
        <v>0.95</v>
      </c>
      <c r="J1190" s="8">
        <v>0.0</v>
      </c>
      <c r="K1190" s="8">
        <v>2.0</v>
      </c>
      <c r="L1190" s="8">
        <v>0.0</v>
      </c>
      <c r="M1190" s="8">
        <v>2.0</v>
      </c>
      <c r="N1190" s="8">
        <v>-1.609437912</v>
      </c>
      <c r="O1190" s="8">
        <v>2.0</v>
      </c>
      <c r="P1190" s="8" t="s">
        <v>368</v>
      </c>
    </row>
    <row r="1191">
      <c r="A1191" s="8" t="s">
        <v>487</v>
      </c>
      <c r="B1191" s="8">
        <v>2013.0</v>
      </c>
      <c r="C1191" s="8" t="s">
        <v>420</v>
      </c>
      <c r="D1191" s="8" t="s">
        <v>370</v>
      </c>
      <c r="E1191" s="8">
        <v>2100.0</v>
      </c>
      <c r="F1191" s="8" t="s">
        <v>34</v>
      </c>
      <c r="G1191" s="8" t="s">
        <v>382</v>
      </c>
      <c r="H1191" s="8" t="s">
        <v>374</v>
      </c>
      <c r="I1191" s="8">
        <v>0.8</v>
      </c>
      <c r="J1191" s="8">
        <v>0.0</v>
      </c>
      <c r="K1191" s="8">
        <v>2.0</v>
      </c>
      <c r="L1191" s="8">
        <v>0.0</v>
      </c>
      <c r="M1191" s="8">
        <v>2.0</v>
      </c>
      <c r="N1191" s="8">
        <v>-1.609437912</v>
      </c>
      <c r="O1191" s="8">
        <v>2.0</v>
      </c>
      <c r="P1191" s="8" t="s">
        <v>368</v>
      </c>
    </row>
    <row r="1192">
      <c r="A1192" s="8" t="s">
        <v>487</v>
      </c>
      <c r="B1192" s="8">
        <v>2013.0</v>
      </c>
      <c r="C1192" s="8" t="s">
        <v>420</v>
      </c>
      <c r="D1192" s="8" t="s">
        <v>370</v>
      </c>
      <c r="E1192" s="8">
        <v>2100.0</v>
      </c>
      <c r="F1192" s="8" t="s">
        <v>34</v>
      </c>
      <c r="G1192" s="8" t="s">
        <v>42</v>
      </c>
      <c r="H1192" s="8" t="s">
        <v>374</v>
      </c>
      <c r="I1192" s="8">
        <v>1.0</v>
      </c>
      <c r="J1192" s="8">
        <v>0.0</v>
      </c>
      <c r="K1192" s="8">
        <v>2.0</v>
      </c>
      <c r="L1192" s="8">
        <v>0.0</v>
      </c>
      <c r="M1192" s="8">
        <v>2.0</v>
      </c>
      <c r="N1192" s="8">
        <v>-1.609437912</v>
      </c>
      <c r="O1192" s="8">
        <v>3.4</v>
      </c>
      <c r="P1192" s="8" t="s">
        <v>368</v>
      </c>
    </row>
    <row r="1193">
      <c r="A1193" s="8" t="s">
        <v>487</v>
      </c>
      <c r="B1193" s="8">
        <v>2013.0</v>
      </c>
      <c r="C1193" s="8" t="s">
        <v>420</v>
      </c>
      <c r="D1193" s="8" t="s">
        <v>370</v>
      </c>
      <c r="E1193" s="8">
        <v>2100.0</v>
      </c>
      <c r="F1193" s="8" t="s">
        <v>34</v>
      </c>
      <c r="G1193" s="8" t="s">
        <v>42</v>
      </c>
      <c r="H1193" s="8" t="s">
        <v>374</v>
      </c>
      <c r="I1193" s="8">
        <v>0.95</v>
      </c>
      <c r="J1193" s="8">
        <v>0.0</v>
      </c>
      <c r="K1193" s="8">
        <v>2.0</v>
      </c>
      <c r="L1193" s="8">
        <v>0.0</v>
      </c>
      <c r="M1193" s="8">
        <v>2.0</v>
      </c>
      <c r="N1193" s="8">
        <v>-1.609437912</v>
      </c>
      <c r="O1193" s="8">
        <v>3.4</v>
      </c>
      <c r="P1193" s="8" t="s">
        <v>368</v>
      </c>
    </row>
    <row r="1194">
      <c r="A1194" s="8" t="s">
        <v>487</v>
      </c>
      <c r="B1194" s="8">
        <v>2013.0</v>
      </c>
      <c r="C1194" s="8" t="s">
        <v>420</v>
      </c>
      <c r="D1194" s="8" t="s">
        <v>370</v>
      </c>
      <c r="E1194" s="8">
        <v>2100.0</v>
      </c>
      <c r="F1194" s="8" t="s">
        <v>34</v>
      </c>
      <c r="G1194" s="8" t="s">
        <v>42</v>
      </c>
      <c r="H1194" s="8" t="s">
        <v>374</v>
      </c>
      <c r="I1194" s="8">
        <v>0.8</v>
      </c>
      <c r="J1194" s="8">
        <v>0.0</v>
      </c>
      <c r="K1194" s="8">
        <v>2.0</v>
      </c>
      <c r="L1194" s="8">
        <v>0.0</v>
      </c>
      <c r="M1194" s="8">
        <v>2.0</v>
      </c>
      <c r="N1194" s="8">
        <v>-1.609437912</v>
      </c>
      <c r="O1194" s="8">
        <v>3.4</v>
      </c>
      <c r="P1194" s="8" t="s">
        <v>368</v>
      </c>
    </row>
    <row r="1195">
      <c r="A1195" s="8" t="s">
        <v>487</v>
      </c>
      <c r="B1195" s="8">
        <v>2013.0</v>
      </c>
      <c r="C1195" s="8" t="s">
        <v>420</v>
      </c>
      <c r="D1195" s="8" t="s">
        <v>370</v>
      </c>
      <c r="E1195" s="8">
        <v>2100.0</v>
      </c>
      <c r="F1195" s="8" t="s">
        <v>34</v>
      </c>
      <c r="G1195" s="8" t="s">
        <v>42</v>
      </c>
      <c r="H1195" s="8" t="s">
        <v>374</v>
      </c>
      <c r="I1195" s="8">
        <v>1.0</v>
      </c>
      <c r="J1195" s="8">
        <v>0.0</v>
      </c>
      <c r="K1195" s="8">
        <v>2.0</v>
      </c>
      <c r="L1195" s="8">
        <v>0.0</v>
      </c>
      <c r="M1195" s="8">
        <v>2.0</v>
      </c>
      <c r="N1195" s="8">
        <v>-1.609437912</v>
      </c>
      <c r="O1195" s="8">
        <v>2.0</v>
      </c>
      <c r="P1195" s="8" t="s">
        <v>368</v>
      </c>
    </row>
    <row r="1196">
      <c r="A1196" s="8" t="s">
        <v>487</v>
      </c>
      <c r="B1196" s="8">
        <v>2013.0</v>
      </c>
      <c r="C1196" s="8" t="s">
        <v>420</v>
      </c>
      <c r="D1196" s="8" t="s">
        <v>370</v>
      </c>
      <c r="E1196" s="8">
        <v>2100.0</v>
      </c>
      <c r="F1196" s="8" t="s">
        <v>34</v>
      </c>
      <c r="G1196" s="8" t="s">
        <v>42</v>
      </c>
      <c r="H1196" s="8" t="s">
        <v>374</v>
      </c>
      <c r="I1196" s="8">
        <v>0.95</v>
      </c>
      <c r="J1196" s="8">
        <v>0.0</v>
      </c>
      <c r="K1196" s="8">
        <v>2.0</v>
      </c>
      <c r="L1196" s="8">
        <v>0.0</v>
      </c>
      <c r="M1196" s="8">
        <v>2.0</v>
      </c>
      <c r="N1196" s="8">
        <v>-1.609437912</v>
      </c>
      <c r="O1196" s="8">
        <v>2.0</v>
      </c>
      <c r="P1196" s="8" t="s">
        <v>368</v>
      </c>
    </row>
    <row r="1197">
      <c r="A1197" s="8" t="s">
        <v>487</v>
      </c>
      <c r="B1197" s="8">
        <v>2013.0</v>
      </c>
      <c r="C1197" s="8" t="s">
        <v>420</v>
      </c>
      <c r="D1197" s="8" t="s">
        <v>370</v>
      </c>
      <c r="E1197" s="8">
        <v>2100.0</v>
      </c>
      <c r="F1197" s="8" t="s">
        <v>34</v>
      </c>
      <c r="G1197" s="8" t="s">
        <v>42</v>
      </c>
      <c r="H1197" s="8" t="s">
        <v>374</v>
      </c>
      <c r="I1197" s="8">
        <v>0.8</v>
      </c>
      <c r="J1197" s="8">
        <v>0.0</v>
      </c>
      <c r="K1197" s="8">
        <v>2.0</v>
      </c>
      <c r="L1197" s="8">
        <v>0.0</v>
      </c>
      <c r="M1197" s="8">
        <v>2.0</v>
      </c>
      <c r="N1197" s="8">
        <v>-1.609437912</v>
      </c>
      <c r="O1197" s="8">
        <v>2.0</v>
      </c>
      <c r="P1197" s="8" t="s">
        <v>368</v>
      </c>
    </row>
    <row r="1198">
      <c r="A1198" s="8" t="s">
        <v>487</v>
      </c>
      <c r="B1198" s="8">
        <v>2013.0</v>
      </c>
      <c r="C1198" s="8" t="s">
        <v>420</v>
      </c>
      <c r="D1198" s="8" t="s">
        <v>370</v>
      </c>
      <c r="E1198" s="8">
        <v>2100.0</v>
      </c>
      <c r="F1198" s="8" t="s">
        <v>34</v>
      </c>
      <c r="G1198" s="8" t="s">
        <v>382</v>
      </c>
      <c r="H1198" s="8" t="s">
        <v>374</v>
      </c>
      <c r="I1198" s="8">
        <v>1.0</v>
      </c>
      <c r="J1198" s="8">
        <v>0.0</v>
      </c>
      <c r="K1198" s="8">
        <v>2.0</v>
      </c>
      <c r="L1198" s="8">
        <v>0.0</v>
      </c>
      <c r="M1198" s="8">
        <v>2.0</v>
      </c>
      <c r="N1198" s="8">
        <v>-1.609437912</v>
      </c>
      <c r="O1198" s="8">
        <v>3.4</v>
      </c>
      <c r="P1198" s="8" t="s">
        <v>368</v>
      </c>
    </row>
    <row r="1199">
      <c r="A1199" s="8" t="s">
        <v>487</v>
      </c>
      <c r="B1199" s="8">
        <v>2013.0</v>
      </c>
      <c r="C1199" s="8" t="s">
        <v>420</v>
      </c>
      <c r="D1199" s="8" t="s">
        <v>370</v>
      </c>
      <c r="E1199" s="8">
        <v>2100.0</v>
      </c>
      <c r="F1199" s="8" t="s">
        <v>34</v>
      </c>
      <c r="G1199" s="8" t="s">
        <v>382</v>
      </c>
      <c r="H1199" s="8" t="s">
        <v>374</v>
      </c>
      <c r="I1199" s="8">
        <v>0.95</v>
      </c>
      <c r="J1199" s="8">
        <v>0.0</v>
      </c>
      <c r="K1199" s="8">
        <v>2.0</v>
      </c>
      <c r="L1199" s="8">
        <v>0.0</v>
      </c>
      <c r="M1199" s="8">
        <v>2.0</v>
      </c>
      <c r="N1199" s="8">
        <v>-1.609437912</v>
      </c>
      <c r="O1199" s="8">
        <v>3.4</v>
      </c>
      <c r="P1199" s="8" t="s">
        <v>368</v>
      </c>
    </row>
    <row r="1200">
      <c r="A1200" s="8" t="s">
        <v>487</v>
      </c>
      <c r="B1200" s="8">
        <v>2013.0</v>
      </c>
      <c r="C1200" s="8" t="s">
        <v>420</v>
      </c>
      <c r="D1200" s="8" t="s">
        <v>370</v>
      </c>
      <c r="E1200" s="8">
        <v>2100.0</v>
      </c>
      <c r="F1200" s="8" t="s">
        <v>34</v>
      </c>
      <c r="G1200" s="8" t="s">
        <v>382</v>
      </c>
      <c r="H1200" s="8" t="s">
        <v>374</v>
      </c>
      <c r="I1200" s="8">
        <v>0.8</v>
      </c>
      <c r="J1200" s="8">
        <v>0.0</v>
      </c>
      <c r="K1200" s="8">
        <v>2.0</v>
      </c>
      <c r="L1200" s="8">
        <v>0.0</v>
      </c>
      <c r="M1200" s="8">
        <v>2.0</v>
      </c>
      <c r="N1200" s="8">
        <v>-1.609437912</v>
      </c>
      <c r="O1200" s="8">
        <v>3.4</v>
      </c>
      <c r="P1200" s="8" t="s">
        <v>368</v>
      </c>
    </row>
    <row r="1201">
      <c r="A1201" s="8" t="s">
        <v>487</v>
      </c>
      <c r="B1201" s="8">
        <v>2013.0</v>
      </c>
      <c r="C1201" s="8" t="s">
        <v>420</v>
      </c>
      <c r="D1201" s="8" t="s">
        <v>370</v>
      </c>
      <c r="E1201" s="8">
        <v>2100.0</v>
      </c>
      <c r="F1201" s="8" t="s">
        <v>34</v>
      </c>
      <c r="G1201" s="8" t="s">
        <v>382</v>
      </c>
      <c r="H1201" s="8" t="s">
        <v>374</v>
      </c>
      <c r="I1201" s="8">
        <v>1.0</v>
      </c>
      <c r="J1201" s="8">
        <v>0.0</v>
      </c>
      <c r="K1201" s="8">
        <v>2.0</v>
      </c>
      <c r="L1201" s="8">
        <v>0.0</v>
      </c>
      <c r="M1201" s="8">
        <v>2.0</v>
      </c>
      <c r="N1201" s="8">
        <v>-1.609437912</v>
      </c>
      <c r="O1201" s="8">
        <v>2.0</v>
      </c>
      <c r="P1201" s="8" t="s">
        <v>368</v>
      </c>
    </row>
    <row r="1202">
      <c r="A1202" s="8" t="s">
        <v>487</v>
      </c>
      <c r="B1202" s="8">
        <v>2013.0</v>
      </c>
      <c r="C1202" s="8" t="s">
        <v>420</v>
      </c>
      <c r="D1202" s="8" t="s">
        <v>370</v>
      </c>
      <c r="E1202" s="8">
        <v>2100.0</v>
      </c>
      <c r="F1202" s="8" t="s">
        <v>34</v>
      </c>
      <c r="G1202" s="8" t="s">
        <v>382</v>
      </c>
      <c r="H1202" s="8" t="s">
        <v>374</v>
      </c>
      <c r="I1202" s="8">
        <v>0.95</v>
      </c>
      <c r="J1202" s="8">
        <v>0.0</v>
      </c>
      <c r="K1202" s="8">
        <v>2.0</v>
      </c>
      <c r="L1202" s="8">
        <v>0.0</v>
      </c>
      <c r="M1202" s="8">
        <v>2.0</v>
      </c>
      <c r="N1202" s="8">
        <v>-1.609437912</v>
      </c>
      <c r="O1202" s="8">
        <v>2.0</v>
      </c>
      <c r="P1202" s="8" t="s">
        <v>368</v>
      </c>
    </row>
    <row r="1203">
      <c r="A1203" s="8" t="s">
        <v>487</v>
      </c>
      <c r="B1203" s="8">
        <v>2013.0</v>
      </c>
      <c r="C1203" s="8" t="s">
        <v>420</v>
      </c>
      <c r="D1203" s="8" t="s">
        <v>370</v>
      </c>
      <c r="E1203" s="8">
        <v>2100.0</v>
      </c>
      <c r="F1203" s="8" t="s">
        <v>34</v>
      </c>
      <c r="G1203" s="8" t="s">
        <v>382</v>
      </c>
      <c r="H1203" s="8" t="s">
        <v>374</v>
      </c>
      <c r="I1203" s="8">
        <v>0.8</v>
      </c>
      <c r="J1203" s="8">
        <v>0.0</v>
      </c>
      <c r="K1203" s="8">
        <v>2.0</v>
      </c>
      <c r="L1203" s="8">
        <v>0.0</v>
      </c>
      <c r="M1203" s="8">
        <v>2.0</v>
      </c>
      <c r="N1203" s="8">
        <v>-1.609437912</v>
      </c>
      <c r="O1203" s="8">
        <v>2.0</v>
      </c>
      <c r="P1203" s="8" t="s">
        <v>368</v>
      </c>
    </row>
    <row r="1204">
      <c r="A1204" s="8" t="s">
        <v>499</v>
      </c>
      <c r="B1204" s="8">
        <v>2013.0</v>
      </c>
      <c r="C1204" s="8" t="s">
        <v>46</v>
      </c>
      <c r="D1204" s="8" t="s">
        <v>371</v>
      </c>
      <c r="E1204" s="8">
        <v>2050.0</v>
      </c>
      <c r="F1204" s="8" t="s">
        <v>34</v>
      </c>
      <c r="G1204" s="8" t="s">
        <v>42</v>
      </c>
      <c r="H1204" s="8" t="s">
        <v>374</v>
      </c>
      <c r="I1204" s="8">
        <v>1.0</v>
      </c>
      <c r="J1204" s="8">
        <v>0.0</v>
      </c>
      <c r="K1204" s="8">
        <v>3.0</v>
      </c>
      <c r="L1204" s="8">
        <v>0.0</v>
      </c>
      <c r="M1204" s="8">
        <v>3.0</v>
      </c>
      <c r="N1204" s="8">
        <v>-1.945910149</v>
      </c>
      <c r="O1204" s="8">
        <v>2.26</v>
      </c>
      <c r="P1204" s="8" t="s">
        <v>368</v>
      </c>
    </row>
    <row r="1205">
      <c r="A1205" s="8" t="s">
        <v>500</v>
      </c>
      <c r="B1205" s="8">
        <v>2013.0</v>
      </c>
      <c r="C1205" s="8" t="s">
        <v>420</v>
      </c>
      <c r="D1205" s="8" t="s">
        <v>381</v>
      </c>
      <c r="E1205" s="8">
        <v>2050.0</v>
      </c>
      <c r="F1205" s="8" t="s">
        <v>34</v>
      </c>
      <c r="G1205" s="8" t="s">
        <v>42</v>
      </c>
      <c r="H1205" s="8" t="s">
        <v>374</v>
      </c>
      <c r="I1205" s="8">
        <v>1.0</v>
      </c>
      <c r="J1205" s="8">
        <v>0.0</v>
      </c>
      <c r="K1205" s="8">
        <v>17.0</v>
      </c>
      <c r="L1205" s="8">
        <v>0.0</v>
      </c>
      <c r="M1205" s="8">
        <v>17.0</v>
      </c>
      <c r="N1205" s="8">
        <v>-3.555348061</v>
      </c>
      <c r="O1205" s="8">
        <v>2.25</v>
      </c>
      <c r="P1205" s="8" t="s">
        <v>368</v>
      </c>
    </row>
    <row r="1206">
      <c r="A1206" s="8" t="s">
        <v>501</v>
      </c>
      <c r="B1206" s="8">
        <v>2014.0</v>
      </c>
      <c r="C1206" s="8" t="s">
        <v>420</v>
      </c>
      <c r="D1206" s="8" t="s">
        <v>370</v>
      </c>
      <c r="E1206" s="8">
        <v>2080.0</v>
      </c>
      <c r="F1206" s="8" t="s">
        <v>41</v>
      </c>
      <c r="G1206" s="8" t="s">
        <v>42</v>
      </c>
      <c r="H1206" s="8" t="s">
        <v>374</v>
      </c>
      <c r="I1206" s="8">
        <v>0.8</v>
      </c>
      <c r="J1206" s="8">
        <v>0.0</v>
      </c>
      <c r="K1206" s="8">
        <v>14.0</v>
      </c>
      <c r="L1206" s="8">
        <v>0.0</v>
      </c>
      <c r="M1206" s="8">
        <v>14.0</v>
      </c>
      <c r="N1206" s="8">
        <v>-3.36729583</v>
      </c>
      <c r="O1206" s="8">
        <v>1.6</v>
      </c>
      <c r="P1206" s="8" t="s">
        <v>368</v>
      </c>
    </row>
    <row r="1207">
      <c r="A1207" s="8" t="s">
        <v>501</v>
      </c>
      <c r="B1207" s="8">
        <v>2014.0</v>
      </c>
      <c r="C1207" s="8" t="s">
        <v>420</v>
      </c>
      <c r="D1207" s="8" t="s">
        <v>370</v>
      </c>
      <c r="E1207" s="8">
        <v>2080.0</v>
      </c>
      <c r="F1207" s="8" t="s">
        <v>41</v>
      </c>
      <c r="G1207" s="8" t="s">
        <v>42</v>
      </c>
      <c r="H1207" s="8" t="s">
        <v>374</v>
      </c>
      <c r="I1207" s="8">
        <v>0.95</v>
      </c>
      <c r="J1207" s="8">
        <v>0.0</v>
      </c>
      <c r="K1207" s="8">
        <v>14.0</v>
      </c>
      <c r="L1207" s="8">
        <v>0.0</v>
      </c>
      <c r="M1207" s="8">
        <v>14.0</v>
      </c>
      <c r="N1207" s="8">
        <v>-3.36729583</v>
      </c>
      <c r="O1207" s="8">
        <v>1.6</v>
      </c>
      <c r="P1207" s="8" t="s">
        <v>368</v>
      </c>
    </row>
    <row r="1208">
      <c r="A1208" s="8" t="s">
        <v>501</v>
      </c>
      <c r="B1208" s="8">
        <v>2014.0</v>
      </c>
      <c r="C1208" s="8" t="s">
        <v>420</v>
      </c>
      <c r="D1208" s="8" t="s">
        <v>370</v>
      </c>
      <c r="E1208" s="8">
        <v>2080.0</v>
      </c>
      <c r="F1208" s="8" t="s">
        <v>41</v>
      </c>
      <c r="G1208" s="8" t="s">
        <v>42</v>
      </c>
      <c r="H1208" s="8" t="s">
        <v>374</v>
      </c>
      <c r="I1208" s="8">
        <v>1.0</v>
      </c>
      <c r="J1208" s="8">
        <v>0.0</v>
      </c>
      <c r="K1208" s="8">
        <v>14.0</v>
      </c>
      <c r="L1208" s="8">
        <v>0.0</v>
      </c>
      <c r="M1208" s="8">
        <v>14.0</v>
      </c>
      <c r="N1208" s="8">
        <v>-3.36729583</v>
      </c>
      <c r="O1208" s="8">
        <v>1.6</v>
      </c>
      <c r="P1208" s="8" t="s">
        <v>368</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9.38"/>
    <col customWidth="1" min="5" max="5" width="28.75"/>
    <col customWidth="1" min="6" max="6" width="9.75"/>
    <col customWidth="1" min="7" max="7" width="10.75"/>
    <col customWidth="1" min="9" max="9" width="17.5"/>
    <col customWidth="1" min="10" max="10" width="14.0"/>
    <col customWidth="1" min="11" max="11" width="14.13"/>
    <col customWidth="1" min="12" max="12" width="19.25"/>
    <col customWidth="1" min="13" max="13" width="11.75"/>
  </cols>
  <sheetData>
    <row r="1">
      <c r="A1" s="7" t="s">
        <v>23</v>
      </c>
      <c r="B1" s="7" t="s">
        <v>24</v>
      </c>
      <c r="C1" s="7" t="s">
        <v>502</v>
      </c>
      <c r="D1" s="7" t="s">
        <v>25</v>
      </c>
      <c r="E1" s="7" t="s">
        <v>26</v>
      </c>
      <c r="F1" s="7" t="s">
        <v>27</v>
      </c>
      <c r="G1" s="7" t="s">
        <v>28</v>
      </c>
      <c r="H1" s="7" t="s">
        <v>29</v>
      </c>
      <c r="I1" s="3" t="s">
        <v>30</v>
      </c>
      <c r="J1" s="3" t="s">
        <v>503</v>
      </c>
      <c r="K1" s="3" t="s">
        <v>504</v>
      </c>
      <c r="L1" s="3" t="s">
        <v>505</v>
      </c>
      <c r="M1" s="3" t="s">
        <v>506</v>
      </c>
    </row>
    <row r="2">
      <c r="A2" s="3" t="s">
        <v>31</v>
      </c>
      <c r="B2" s="3">
        <v>2009.0</v>
      </c>
      <c r="C2" s="3" t="str">
        <f t="shared" ref="C2:C132" si="1">K2</f>
        <v>10.1007/s00027-009-9159-5</v>
      </c>
      <c r="D2" s="3" t="s">
        <v>32</v>
      </c>
      <c r="E2" s="3" t="s">
        <v>33</v>
      </c>
      <c r="F2" s="3" t="s">
        <v>34</v>
      </c>
      <c r="G2" s="3" t="s">
        <v>35</v>
      </c>
      <c r="H2" s="3" t="s">
        <v>36</v>
      </c>
      <c r="I2" s="8" t="s">
        <v>37</v>
      </c>
      <c r="J2" s="1" t="s">
        <v>507</v>
      </c>
      <c r="K2" s="8" t="s">
        <v>508</v>
      </c>
      <c r="L2" s="8" t="s">
        <v>509</v>
      </c>
      <c r="M2" s="3" t="s">
        <v>510</v>
      </c>
    </row>
    <row r="3">
      <c r="A3" s="3" t="s">
        <v>38</v>
      </c>
      <c r="B3" s="3">
        <v>2013.0</v>
      </c>
      <c r="C3" s="3" t="str">
        <f t="shared" si="1"/>
        <v>10.1007/s00114-013-1088-4</v>
      </c>
      <c r="D3" s="3" t="s">
        <v>39</v>
      </c>
      <c r="E3" s="3" t="s">
        <v>40</v>
      </c>
      <c r="F3" s="3" t="s">
        <v>41</v>
      </c>
      <c r="G3" s="3" t="s">
        <v>42</v>
      </c>
      <c r="H3" s="3" t="s">
        <v>43</v>
      </c>
      <c r="I3" s="8" t="s">
        <v>44</v>
      </c>
      <c r="J3" s="10" t="s">
        <v>511</v>
      </c>
      <c r="K3" s="8" t="s">
        <v>512</v>
      </c>
      <c r="L3" s="8" t="s">
        <v>513</v>
      </c>
      <c r="M3" s="3" t="s">
        <v>510</v>
      </c>
    </row>
    <row r="4">
      <c r="A4" s="3" t="s">
        <v>45</v>
      </c>
      <c r="B4" s="3">
        <v>2013.0</v>
      </c>
      <c r="C4" s="3" t="str">
        <f t="shared" si="1"/>
        <v>10.1007/s10113-012-0344-z</v>
      </c>
      <c r="D4" s="3" t="s">
        <v>46</v>
      </c>
      <c r="E4" s="3" t="s">
        <v>47</v>
      </c>
      <c r="F4" s="3" t="s">
        <v>41</v>
      </c>
      <c r="G4" s="3" t="s">
        <v>42</v>
      </c>
      <c r="H4" s="3" t="s">
        <v>43</v>
      </c>
      <c r="I4" s="8" t="s">
        <v>48</v>
      </c>
      <c r="J4" s="10" t="s">
        <v>514</v>
      </c>
      <c r="K4" s="8" t="s">
        <v>515</v>
      </c>
      <c r="L4" s="8" t="s">
        <v>516</v>
      </c>
      <c r="M4" s="3" t="s">
        <v>510</v>
      </c>
    </row>
    <row r="5">
      <c r="A5" s="3" t="s">
        <v>49</v>
      </c>
      <c r="B5" s="3">
        <v>2013.0</v>
      </c>
      <c r="C5" s="3" t="str">
        <f t="shared" si="1"/>
        <v>10.1007/s10113-013-0425-7</v>
      </c>
      <c r="D5" s="3" t="s">
        <v>50</v>
      </c>
      <c r="E5" s="3" t="s">
        <v>51</v>
      </c>
      <c r="F5" s="3" t="s">
        <v>34</v>
      </c>
      <c r="G5" s="3" t="s">
        <v>42</v>
      </c>
      <c r="H5" s="3" t="s">
        <v>43</v>
      </c>
      <c r="I5" s="8" t="s">
        <v>52</v>
      </c>
      <c r="J5" s="10" t="s">
        <v>517</v>
      </c>
      <c r="K5" s="8" t="s">
        <v>518</v>
      </c>
      <c r="L5" s="8" t="s">
        <v>519</v>
      </c>
      <c r="M5" s="3" t="s">
        <v>510</v>
      </c>
    </row>
    <row r="6">
      <c r="A6" s="3" t="s">
        <v>53</v>
      </c>
      <c r="B6" s="3">
        <v>2006.0</v>
      </c>
      <c r="C6" s="3" t="str">
        <f t="shared" si="1"/>
        <v>10.1007/s10531-005-1345-8</v>
      </c>
      <c r="D6" s="3" t="s">
        <v>32</v>
      </c>
      <c r="E6" s="3" t="s">
        <v>51</v>
      </c>
      <c r="F6" s="3" t="s">
        <v>34</v>
      </c>
      <c r="G6" s="3" t="s">
        <v>42</v>
      </c>
      <c r="H6" s="3" t="s">
        <v>43</v>
      </c>
      <c r="I6" s="8" t="s">
        <v>54</v>
      </c>
      <c r="J6" s="1" t="s">
        <v>520</v>
      </c>
      <c r="K6" s="8" t="s">
        <v>521</v>
      </c>
      <c r="L6" s="8" t="s">
        <v>522</v>
      </c>
      <c r="M6" s="3" t="s">
        <v>510</v>
      </c>
    </row>
    <row r="7">
      <c r="A7" s="3" t="s">
        <v>55</v>
      </c>
      <c r="B7" s="3">
        <v>2007.0</v>
      </c>
      <c r="C7" s="3" t="str">
        <f t="shared" si="1"/>
        <v>10.1007/s10531-007-9152-z</v>
      </c>
      <c r="D7" s="3" t="s">
        <v>39</v>
      </c>
      <c r="E7" s="3" t="s">
        <v>56</v>
      </c>
      <c r="F7" s="3" t="s">
        <v>41</v>
      </c>
      <c r="G7" s="3" t="s">
        <v>42</v>
      </c>
      <c r="H7" s="3" t="s">
        <v>34</v>
      </c>
      <c r="I7" s="8" t="s">
        <v>57</v>
      </c>
      <c r="J7" s="1" t="s">
        <v>523</v>
      </c>
      <c r="K7" s="8" t="s">
        <v>524</v>
      </c>
      <c r="L7" s="8" t="s">
        <v>525</v>
      </c>
      <c r="M7" s="3" t="s">
        <v>510</v>
      </c>
    </row>
    <row r="8">
      <c r="A8" s="3" t="s">
        <v>58</v>
      </c>
      <c r="B8" s="3">
        <v>2007.0</v>
      </c>
      <c r="C8" s="3" t="str">
        <f t="shared" si="1"/>
        <v>10.1007/s10531-007-9181-7</v>
      </c>
      <c r="D8" s="3" t="s">
        <v>32</v>
      </c>
      <c r="E8" s="3" t="s">
        <v>56</v>
      </c>
      <c r="F8" s="3" t="s">
        <v>41</v>
      </c>
      <c r="G8" s="3" t="s">
        <v>42</v>
      </c>
      <c r="H8" s="3" t="s">
        <v>43</v>
      </c>
      <c r="I8" s="8" t="s">
        <v>59</v>
      </c>
      <c r="J8" s="1" t="s">
        <v>526</v>
      </c>
      <c r="K8" s="8" t="s">
        <v>527</v>
      </c>
      <c r="L8" s="8" t="s">
        <v>528</v>
      </c>
      <c r="M8" s="3" t="s">
        <v>510</v>
      </c>
    </row>
    <row r="9">
      <c r="A9" s="3" t="s">
        <v>60</v>
      </c>
      <c r="B9" s="3">
        <v>2010.0</v>
      </c>
      <c r="C9" s="3" t="str">
        <f t="shared" si="1"/>
        <v>10.1007/s10531-009-9728-x</v>
      </c>
      <c r="D9" s="3" t="s">
        <v>32</v>
      </c>
      <c r="E9" s="3" t="s">
        <v>33</v>
      </c>
      <c r="F9" s="3" t="s">
        <v>34</v>
      </c>
      <c r="G9" s="3" t="s">
        <v>42</v>
      </c>
      <c r="H9" s="3" t="s">
        <v>43</v>
      </c>
      <c r="I9" s="8" t="s">
        <v>61</v>
      </c>
      <c r="J9" s="10" t="s">
        <v>529</v>
      </c>
      <c r="K9" s="8" t="s">
        <v>530</v>
      </c>
      <c r="L9" s="8" t="s">
        <v>531</v>
      </c>
      <c r="M9" s="3" t="s">
        <v>510</v>
      </c>
    </row>
    <row r="10">
      <c r="A10" s="3" t="s">
        <v>62</v>
      </c>
      <c r="B10" s="3">
        <v>2011.0</v>
      </c>
      <c r="C10" s="3" t="str">
        <f t="shared" si="1"/>
        <v>10.1007/s10531-011-0140-y</v>
      </c>
      <c r="D10" s="3" t="s">
        <v>32</v>
      </c>
      <c r="E10" s="3" t="s">
        <v>33</v>
      </c>
      <c r="F10" s="3" t="s">
        <v>34</v>
      </c>
      <c r="G10" s="3" t="s">
        <v>42</v>
      </c>
      <c r="H10" s="3" t="s">
        <v>63</v>
      </c>
      <c r="I10" s="8" t="s">
        <v>64</v>
      </c>
      <c r="J10" s="10" t="s">
        <v>532</v>
      </c>
      <c r="K10" s="8" t="s">
        <v>533</v>
      </c>
      <c r="L10" s="8" t="s">
        <v>534</v>
      </c>
      <c r="M10" s="3" t="s">
        <v>510</v>
      </c>
    </row>
    <row r="11">
      <c r="A11" s="3" t="s">
        <v>65</v>
      </c>
      <c r="B11" s="3">
        <v>2006.0</v>
      </c>
      <c r="C11" s="3" t="str">
        <f t="shared" si="1"/>
        <v>10.1007/s10584-005-9014-1</v>
      </c>
      <c r="D11" s="3" t="s">
        <v>66</v>
      </c>
      <c r="E11" s="3" t="s">
        <v>67</v>
      </c>
      <c r="F11" s="3" t="s">
        <v>34</v>
      </c>
      <c r="G11" s="3" t="s">
        <v>68</v>
      </c>
      <c r="H11" s="3" t="s">
        <v>63</v>
      </c>
      <c r="I11" s="8" t="s">
        <v>69</v>
      </c>
      <c r="J11" s="1" t="s">
        <v>535</v>
      </c>
      <c r="K11" s="8" t="s">
        <v>536</v>
      </c>
      <c r="L11" s="8" t="s">
        <v>537</v>
      </c>
      <c r="M11" s="3" t="s">
        <v>510</v>
      </c>
    </row>
    <row r="12">
      <c r="A12" s="3" t="s">
        <v>70</v>
      </c>
      <c r="B12" s="3">
        <v>1995.0</v>
      </c>
      <c r="C12" s="3" t="str">
        <f t="shared" si="1"/>
        <v>10.1016/0006-3207(94)00016-J</v>
      </c>
      <c r="D12" s="3" t="s">
        <v>71</v>
      </c>
      <c r="E12" s="3" t="s">
        <v>72</v>
      </c>
      <c r="F12" s="3" t="s">
        <v>34</v>
      </c>
      <c r="G12" s="3" t="s">
        <v>42</v>
      </c>
      <c r="H12" s="3" t="s">
        <v>63</v>
      </c>
      <c r="I12" s="8" t="s">
        <v>73</v>
      </c>
      <c r="J12" s="10" t="s">
        <v>538</v>
      </c>
      <c r="K12" s="8" t="s">
        <v>539</v>
      </c>
      <c r="L12" s="8" t="s">
        <v>540</v>
      </c>
      <c r="M12" s="3" t="s">
        <v>510</v>
      </c>
    </row>
    <row r="13">
      <c r="A13" s="3" t="s">
        <v>74</v>
      </c>
      <c r="B13" s="3">
        <v>2013.0</v>
      </c>
      <c r="C13" s="3" t="str">
        <f t="shared" si="1"/>
        <v>10.1016/j.actao.2013.02.007</v>
      </c>
      <c r="D13" s="3" t="s">
        <v>46</v>
      </c>
      <c r="E13" s="3" t="s">
        <v>51</v>
      </c>
      <c r="F13" s="3" t="s">
        <v>34</v>
      </c>
      <c r="G13" s="3" t="s">
        <v>42</v>
      </c>
      <c r="H13" s="3" t="s">
        <v>63</v>
      </c>
      <c r="I13" s="8" t="s">
        <v>75</v>
      </c>
      <c r="J13" s="10" t="s">
        <v>541</v>
      </c>
      <c r="K13" s="8" t="s">
        <v>542</v>
      </c>
      <c r="L13" s="8" t="s">
        <v>543</v>
      </c>
      <c r="M13" s="3" t="s">
        <v>510</v>
      </c>
    </row>
    <row r="14">
      <c r="A14" s="3" t="s">
        <v>76</v>
      </c>
      <c r="B14" s="3">
        <v>2008.0</v>
      </c>
      <c r="C14" s="3" t="str">
        <f t="shared" si="1"/>
        <v>10.1016/j.agee.2008.01.013</v>
      </c>
      <c r="D14" s="3" t="s">
        <v>77</v>
      </c>
      <c r="E14" s="3" t="s">
        <v>51</v>
      </c>
      <c r="F14" s="3" t="s">
        <v>41</v>
      </c>
      <c r="G14" s="3" t="s">
        <v>42</v>
      </c>
      <c r="H14" s="3" t="s">
        <v>78</v>
      </c>
      <c r="I14" s="8" t="s">
        <v>79</v>
      </c>
      <c r="J14" s="1" t="s">
        <v>544</v>
      </c>
      <c r="K14" s="8" t="s">
        <v>545</v>
      </c>
      <c r="L14" s="8" t="s">
        <v>546</v>
      </c>
      <c r="M14" s="3" t="s">
        <v>510</v>
      </c>
    </row>
    <row r="15">
      <c r="A15" s="3" t="s">
        <v>80</v>
      </c>
      <c r="B15" s="3">
        <v>2005.0</v>
      </c>
      <c r="C15" s="3" t="str">
        <f t="shared" si="1"/>
        <v>10.1016/j.biocon.2005.04.003</v>
      </c>
      <c r="D15" s="3" t="s">
        <v>71</v>
      </c>
      <c r="E15" s="3" t="s">
        <v>81</v>
      </c>
      <c r="F15" s="3" t="s">
        <v>34</v>
      </c>
      <c r="G15" s="3" t="s">
        <v>42</v>
      </c>
      <c r="H15" s="3" t="s">
        <v>43</v>
      </c>
      <c r="I15" s="8" t="s">
        <v>82</v>
      </c>
      <c r="J15" s="10" t="s">
        <v>547</v>
      </c>
      <c r="K15" s="8" t="s">
        <v>548</v>
      </c>
      <c r="L15" s="8" t="s">
        <v>549</v>
      </c>
      <c r="M15" s="3" t="s">
        <v>510</v>
      </c>
    </row>
    <row r="16">
      <c r="A16" s="3" t="s">
        <v>83</v>
      </c>
      <c r="B16" s="3">
        <v>2008.0</v>
      </c>
      <c r="C16" s="3" t="str">
        <f t="shared" si="1"/>
        <v>10.1016/j.biocon.2008.03.007</v>
      </c>
      <c r="D16" s="3" t="s">
        <v>32</v>
      </c>
      <c r="E16" s="3" t="s">
        <v>81</v>
      </c>
      <c r="F16" s="3" t="s">
        <v>34</v>
      </c>
      <c r="G16" s="3" t="s">
        <v>42</v>
      </c>
      <c r="H16" s="3" t="s">
        <v>63</v>
      </c>
      <c r="I16" s="8" t="s">
        <v>84</v>
      </c>
      <c r="J16" s="1" t="s">
        <v>550</v>
      </c>
      <c r="K16" s="8" t="s">
        <v>551</v>
      </c>
      <c r="L16" s="8" t="s">
        <v>552</v>
      </c>
      <c r="M16" s="3" t="s">
        <v>510</v>
      </c>
    </row>
    <row r="17">
      <c r="A17" s="3" t="s">
        <v>85</v>
      </c>
      <c r="B17" s="3">
        <v>2013.0</v>
      </c>
      <c r="C17" s="3" t="str">
        <f t="shared" si="1"/>
        <v>10.1016/j.biocon.2013.02.001</v>
      </c>
      <c r="D17" s="3" t="s">
        <v>32</v>
      </c>
      <c r="E17" s="3" t="s">
        <v>33</v>
      </c>
      <c r="F17" s="3" t="s">
        <v>34</v>
      </c>
      <c r="G17" s="3" t="s">
        <v>42</v>
      </c>
      <c r="H17" s="3" t="s">
        <v>63</v>
      </c>
      <c r="I17" s="8" t="s">
        <v>86</v>
      </c>
      <c r="J17" s="10" t="s">
        <v>553</v>
      </c>
      <c r="K17" s="8" t="s">
        <v>554</v>
      </c>
      <c r="L17" s="8" t="s">
        <v>555</v>
      </c>
      <c r="M17" s="3" t="s">
        <v>510</v>
      </c>
    </row>
    <row r="18">
      <c r="A18" s="3" t="s">
        <v>87</v>
      </c>
      <c r="B18" s="3">
        <v>2004.0</v>
      </c>
      <c r="C18" s="3" t="str">
        <f t="shared" si="1"/>
        <v>10.1016/j.ecolmodel.2003.07.012</v>
      </c>
      <c r="D18" s="3" t="s">
        <v>71</v>
      </c>
      <c r="E18" s="3" t="s">
        <v>88</v>
      </c>
      <c r="F18" s="3" t="s">
        <v>41</v>
      </c>
      <c r="G18" s="3" t="s">
        <v>42</v>
      </c>
      <c r="H18" s="3" t="s">
        <v>63</v>
      </c>
      <c r="I18" s="8" t="s">
        <v>89</v>
      </c>
      <c r="J18" s="10" t="s">
        <v>556</v>
      </c>
      <c r="K18" s="8" t="s">
        <v>557</v>
      </c>
      <c r="L18" s="8" t="s">
        <v>558</v>
      </c>
      <c r="M18" s="3" t="s">
        <v>510</v>
      </c>
    </row>
    <row r="19">
      <c r="A19" s="3" t="s">
        <v>90</v>
      </c>
      <c r="B19" s="3">
        <v>2005.0</v>
      </c>
      <c r="C19" s="3" t="str">
        <f t="shared" si="1"/>
        <v>10.1016/j.ecolmodel.2005.01.030</v>
      </c>
      <c r="D19" s="3" t="s">
        <v>71</v>
      </c>
      <c r="E19" s="3" t="s">
        <v>33</v>
      </c>
      <c r="F19" s="3" t="s">
        <v>41</v>
      </c>
      <c r="G19" s="3" t="s">
        <v>42</v>
      </c>
      <c r="H19" s="3" t="s">
        <v>63</v>
      </c>
      <c r="I19" s="8" t="s">
        <v>91</v>
      </c>
      <c r="J19" s="10" t="s">
        <v>559</v>
      </c>
      <c r="K19" s="8" t="s">
        <v>560</v>
      </c>
      <c r="L19" s="8" t="s">
        <v>561</v>
      </c>
      <c r="M19" s="3" t="s">
        <v>510</v>
      </c>
    </row>
    <row r="20">
      <c r="A20" s="3" t="s">
        <v>92</v>
      </c>
      <c r="B20" s="3">
        <v>2006.0</v>
      </c>
      <c r="C20" s="3" t="str">
        <f t="shared" si="1"/>
        <v>10.1016/j.envsci.2005.11.003</v>
      </c>
      <c r="D20" s="3" t="s">
        <v>32</v>
      </c>
      <c r="E20" s="3" t="s">
        <v>93</v>
      </c>
      <c r="F20" s="3" t="s">
        <v>34</v>
      </c>
      <c r="G20" s="3" t="s">
        <v>42</v>
      </c>
      <c r="H20" s="3" t="s">
        <v>63</v>
      </c>
      <c r="I20" s="8" t="s">
        <v>94</v>
      </c>
      <c r="J20" s="1" t="s">
        <v>562</v>
      </c>
      <c r="K20" s="8" t="s">
        <v>563</v>
      </c>
      <c r="L20" s="8" t="s">
        <v>564</v>
      </c>
      <c r="M20" s="3" t="s">
        <v>510</v>
      </c>
    </row>
    <row r="21">
      <c r="A21" s="3" t="s">
        <v>95</v>
      </c>
      <c r="B21" s="3">
        <v>2006.0</v>
      </c>
      <c r="C21" s="3" t="str">
        <f t="shared" si="1"/>
        <v>10.1016/j.envsci.2005.11.005</v>
      </c>
      <c r="D21" s="3" t="s">
        <v>32</v>
      </c>
      <c r="E21" s="3" t="s">
        <v>96</v>
      </c>
      <c r="F21" s="3" t="s">
        <v>34</v>
      </c>
      <c r="G21" s="3" t="s">
        <v>42</v>
      </c>
      <c r="H21" s="3" t="s">
        <v>43</v>
      </c>
      <c r="I21" s="8" t="s">
        <v>97</v>
      </c>
      <c r="J21" s="1" t="s">
        <v>565</v>
      </c>
      <c r="K21" s="8" t="s">
        <v>566</v>
      </c>
      <c r="L21" s="8" t="s">
        <v>567</v>
      </c>
      <c r="M21" s="3" t="s">
        <v>510</v>
      </c>
    </row>
    <row r="22">
      <c r="A22" s="3" t="s">
        <v>98</v>
      </c>
      <c r="B22" s="3">
        <v>2008.0</v>
      </c>
      <c r="C22" s="3" t="str">
        <f t="shared" si="1"/>
        <v>10.1016/j.foreco.2007.07.023</v>
      </c>
      <c r="D22" s="3" t="s">
        <v>66</v>
      </c>
      <c r="E22" s="3" t="s">
        <v>51</v>
      </c>
      <c r="F22" s="3" t="s">
        <v>34</v>
      </c>
      <c r="G22" s="3" t="s">
        <v>42</v>
      </c>
      <c r="H22" s="3" t="s">
        <v>63</v>
      </c>
      <c r="I22" s="8" t="s">
        <v>99</v>
      </c>
      <c r="J22" s="1" t="s">
        <v>568</v>
      </c>
      <c r="K22" s="8" t="s">
        <v>569</v>
      </c>
      <c r="L22" s="8" t="s">
        <v>570</v>
      </c>
      <c r="M22" s="3" t="s">
        <v>510</v>
      </c>
    </row>
    <row r="23">
      <c r="A23" s="3" t="s">
        <v>100</v>
      </c>
      <c r="B23" s="3">
        <v>2011.0</v>
      </c>
      <c r="C23" s="3" t="str">
        <f t="shared" si="1"/>
        <v>10.1016/j.foreco.2011.03.036</v>
      </c>
      <c r="D23" s="3" t="s">
        <v>66</v>
      </c>
      <c r="E23" s="3" t="s">
        <v>33</v>
      </c>
      <c r="F23" s="3" t="s">
        <v>34</v>
      </c>
      <c r="G23" s="3" t="s">
        <v>42</v>
      </c>
      <c r="H23" s="3" t="s">
        <v>63</v>
      </c>
      <c r="I23" s="8" t="s">
        <v>101</v>
      </c>
      <c r="J23" s="10" t="s">
        <v>571</v>
      </c>
      <c r="K23" s="8" t="s">
        <v>572</v>
      </c>
      <c r="L23" s="8" t="s">
        <v>573</v>
      </c>
      <c r="M23" s="3" t="s">
        <v>510</v>
      </c>
    </row>
    <row r="24">
      <c r="A24" s="3" t="s">
        <v>102</v>
      </c>
      <c r="B24" s="3">
        <v>2006.0</v>
      </c>
      <c r="C24" s="3" t="str">
        <f t="shared" si="1"/>
        <v>10.1016/j.gloenvcha.2005.11.001</v>
      </c>
      <c r="D24" s="3" t="s">
        <v>32</v>
      </c>
      <c r="E24" s="3" t="s">
        <v>51</v>
      </c>
      <c r="F24" s="3" t="s">
        <v>34</v>
      </c>
      <c r="G24" s="3" t="s">
        <v>103</v>
      </c>
      <c r="H24" s="3" t="s">
        <v>43</v>
      </c>
      <c r="I24" s="8" t="s">
        <v>104</v>
      </c>
      <c r="J24" s="10" t="s">
        <v>574</v>
      </c>
      <c r="K24" s="8" t="s">
        <v>575</v>
      </c>
      <c r="L24" s="8" t="s">
        <v>576</v>
      </c>
      <c r="M24" s="3" t="s">
        <v>510</v>
      </c>
    </row>
    <row r="25">
      <c r="A25" s="3" t="s">
        <v>105</v>
      </c>
      <c r="B25" s="3">
        <v>2007.0</v>
      </c>
      <c r="C25" s="3" t="str">
        <f t="shared" si="1"/>
        <v>10.1016/j.jnc.2006.09.001</v>
      </c>
      <c r="D25" s="3" t="s">
        <v>32</v>
      </c>
      <c r="E25" s="3" t="s">
        <v>51</v>
      </c>
      <c r="F25" s="3" t="s">
        <v>34</v>
      </c>
      <c r="G25" s="3" t="s">
        <v>42</v>
      </c>
      <c r="H25" s="3" t="s">
        <v>43</v>
      </c>
      <c r="I25" s="8" t="s">
        <v>106</v>
      </c>
      <c r="J25" s="1" t="s">
        <v>577</v>
      </c>
      <c r="K25" s="8" t="s">
        <v>578</v>
      </c>
      <c r="L25" s="8" t="s">
        <v>579</v>
      </c>
      <c r="M25" s="3" t="s">
        <v>510</v>
      </c>
    </row>
    <row r="26">
      <c r="A26" s="3" t="s">
        <v>107</v>
      </c>
      <c r="B26" s="3">
        <v>2003.0</v>
      </c>
      <c r="C26" s="3" t="str">
        <f t="shared" si="1"/>
        <v>10.1016/S0006-3207(02)00414-7</v>
      </c>
      <c r="D26" s="3" t="s">
        <v>39</v>
      </c>
      <c r="E26" s="3" t="s">
        <v>51</v>
      </c>
      <c r="F26" s="3" t="s">
        <v>41</v>
      </c>
      <c r="G26" s="3" t="s">
        <v>42</v>
      </c>
      <c r="H26" s="3" t="s">
        <v>63</v>
      </c>
      <c r="I26" s="8" t="s">
        <v>108</v>
      </c>
      <c r="J26" s="1" t="s">
        <v>580</v>
      </c>
      <c r="K26" s="8" t="s">
        <v>581</v>
      </c>
      <c r="L26" s="8" t="s">
        <v>582</v>
      </c>
      <c r="M26" s="3" t="s">
        <v>510</v>
      </c>
    </row>
    <row r="27">
      <c r="A27" s="3" t="s">
        <v>109</v>
      </c>
      <c r="B27" s="3">
        <v>1999.0</v>
      </c>
      <c r="C27" s="3" t="str">
        <f t="shared" si="1"/>
        <v>10.1023/A:1005483507351</v>
      </c>
      <c r="D27" s="3" t="s">
        <v>66</v>
      </c>
      <c r="E27" s="3" t="s">
        <v>51</v>
      </c>
      <c r="F27" s="3" t="s">
        <v>34</v>
      </c>
      <c r="G27" s="3" t="s">
        <v>42</v>
      </c>
      <c r="H27" s="3" t="s">
        <v>63</v>
      </c>
      <c r="I27" s="8" t="s">
        <v>110</v>
      </c>
      <c r="J27" s="10" t="s">
        <v>583</v>
      </c>
      <c r="K27" s="8" t="s">
        <v>584</v>
      </c>
      <c r="L27" s="8" t="s">
        <v>585</v>
      </c>
      <c r="M27" s="3" t="s">
        <v>510</v>
      </c>
    </row>
    <row r="28">
      <c r="A28" s="3" t="s">
        <v>111</v>
      </c>
      <c r="B28" s="3">
        <v>2003.0</v>
      </c>
      <c r="C28" s="3" t="str">
        <f t="shared" si="1"/>
        <v>10.1023/A:1024847723344</v>
      </c>
      <c r="D28" s="3" t="s">
        <v>66</v>
      </c>
      <c r="E28" s="3" t="s">
        <v>67</v>
      </c>
      <c r="F28" s="3" t="s">
        <v>34</v>
      </c>
      <c r="G28" s="3" t="s">
        <v>68</v>
      </c>
      <c r="H28" s="3" t="s">
        <v>63</v>
      </c>
      <c r="I28" s="8" t="s">
        <v>112</v>
      </c>
      <c r="J28" s="1" t="s">
        <v>586</v>
      </c>
      <c r="K28" s="8" t="s">
        <v>587</v>
      </c>
      <c r="L28" s="8" t="s">
        <v>588</v>
      </c>
      <c r="M28" s="3" t="s">
        <v>510</v>
      </c>
    </row>
    <row r="29">
      <c r="A29" s="3" t="s">
        <v>113</v>
      </c>
      <c r="B29" s="3">
        <v>2002.0</v>
      </c>
      <c r="C29" s="3" t="str">
        <f t="shared" si="1"/>
        <v>10.1038/416626a</v>
      </c>
      <c r="D29" s="3" t="s">
        <v>66</v>
      </c>
      <c r="E29" s="3" t="s">
        <v>114</v>
      </c>
      <c r="F29" s="3" t="s">
        <v>41</v>
      </c>
      <c r="G29" s="3" t="s">
        <v>42</v>
      </c>
      <c r="H29" s="3" t="s">
        <v>115</v>
      </c>
      <c r="I29" s="8" t="s">
        <v>116</v>
      </c>
      <c r="J29" s="10" t="s">
        <v>589</v>
      </c>
      <c r="K29" s="8" t="s">
        <v>590</v>
      </c>
      <c r="L29" s="8" t="s">
        <v>591</v>
      </c>
      <c r="M29" s="3" t="s">
        <v>510</v>
      </c>
    </row>
    <row r="30">
      <c r="A30" s="3" t="s">
        <v>117</v>
      </c>
      <c r="B30" s="3">
        <v>2004.0</v>
      </c>
      <c r="C30" s="3" t="str">
        <f t="shared" si="1"/>
        <v>10.1038/nature02121</v>
      </c>
      <c r="D30" s="3" t="s">
        <v>77</v>
      </c>
      <c r="E30" s="3" t="s">
        <v>118</v>
      </c>
      <c r="F30" s="3" t="s">
        <v>41</v>
      </c>
      <c r="G30" s="3" t="s">
        <v>119</v>
      </c>
      <c r="H30" s="3" t="s">
        <v>43</v>
      </c>
      <c r="I30" s="8" t="s">
        <v>120</v>
      </c>
      <c r="J30" s="10" t="s">
        <v>592</v>
      </c>
      <c r="K30" s="8" t="s">
        <v>593</v>
      </c>
      <c r="L30" s="8" t="s">
        <v>594</v>
      </c>
      <c r="M30" s="3" t="s">
        <v>510</v>
      </c>
    </row>
    <row r="31">
      <c r="A31" s="3" t="s">
        <v>121</v>
      </c>
      <c r="B31" s="3">
        <v>2011.0</v>
      </c>
      <c r="C31" s="3" t="str">
        <f t="shared" si="1"/>
        <v>10.1038/nclimate1191</v>
      </c>
      <c r="D31" s="3" t="s">
        <v>32</v>
      </c>
      <c r="E31" s="3" t="s">
        <v>33</v>
      </c>
      <c r="F31" s="3" t="s">
        <v>41</v>
      </c>
      <c r="G31" s="3" t="s">
        <v>42</v>
      </c>
      <c r="H31" s="3" t="s">
        <v>63</v>
      </c>
      <c r="I31" s="8" t="s">
        <v>122</v>
      </c>
      <c r="J31" s="10" t="s">
        <v>595</v>
      </c>
      <c r="K31" s="8" t="s">
        <v>596</v>
      </c>
      <c r="L31" s="8" t="s">
        <v>597</v>
      </c>
      <c r="M31" s="3" t="s">
        <v>510</v>
      </c>
    </row>
    <row r="32">
      <c r="A32" s="3" t="s">
        <v>123</v>
      </c>
      <c r="B32" s="3">
        <v>2012.0</v>
      </c>
      <c r="C32" s="3" t="str">
        <f t="shared" si="1"/>
        <v>10.1038/nclimate1514</v>
      </c>
      <c r="D32" s="3" t="s">
        <v>32</v>
      </c>
      <c r="E32" s="3" t="s">
        <v>51</v>
      </c>
      <c r="F32" s="3" t="s">
        <v>41</v>
      </c>
      <c r="G32" s="3" t="s">
        <v>124</v>
      </c>
      <c r="H32" s="3" t="s">
        <v>125</v>
      </c>
      <c r="I32" s="8" t="s">
        <v>126</v>
      </c>
      <c r="J32" s="10" t="s">
        <v>598</v>
      </c>
      <c r="K32" s="8" t="s">
        <v>599</v>
      </c>
      <c r="L32" s="8" t="s">
        <v>600</v>
      </c>
      <c r="M32" s="3" t="s">
        <v>510</v>
      </c>
    </row>
    <row r="33">
      <c r="A33" s="3" t="s">
        <v>127</v>
      </c>
      <c r="B33" s="3">
        <v>2013.0</v>
      </c>
      <c r="C33" s="3" t="str">
        <f t="shared" si="1"/>
        <v>10.1038/nclimate1887</v>
      </c>
      <c r="D33" s="3" t="s">
        <v>77</v>
      </c>
      <c r="E33" s="3" t="s">
        <v>128</v>
      </c>
      <c r="F33" s="3" t="s">
        <v>41</v>
      </c>
      <c r="G33" s="3" t="s">
        <v>42</v>
      </c>
      <c r="H33" s="3" t="s">
        <v>125</v>
      </c>
      <c r="I33" s="8" t="s">
        <v>129</v>
      </c>
      <c r="J33" s="10" t="s">
        <v>601</v>
      </c>
      <c r="K33" s="8" t="s">
        <v>602</v>
      </c>
      <c r="L33" s="8" t="s">
        <v>603</v>
      </c>
      <c r="M33" s="3" t="s">
        <v>510</v>
      </c>
    </row>
    <row r="34">
      <c r="A34" s="3" t="s">
        <v>130</v>
      </c>
      <c r="B34" s="3">
        <v>1997.0</v>
      </c>
      <c r="C34" s="3" t="str">
        <f t="shared" si="1"/>
        <v>10.1046/j.1365-2486.1997.00093.x</v>
      </c>
      <c r="D34" s="3" t="s">
        <v>66</v>
      </c>
      <c r="E34" s="3" t="s">
        <v>56</v>
      </c>
      <c r="F34" s="3" t="s">
        <v>34</v>
      </c>
      <c r="G34" s="3" t="s">
        <v>68</v>
      </c>
      <c r="H34" s="3" t="s">
        <v>63</v>
      </c>
      <c r="I34" s="8" t="s">
        <v>131</v>
      </c>
      <c r="J34" s="10" t="s">
        <v>604</v>
      </c>
      <c r="K34" s="8" t="s">
        <v>605</v>
      </c>
      <c r="L34" s="8" t="s">
        <v>606</v>
      </c>
      <c r="M34" s="3" t="s">
        <v>510</v>
      </c>
    </row>
    <row r="35">
      <c r="A35" s="3" t="s">
        <v>132</v>
      </c>
      <c r="B35" s="3">
        <v>2002.0</v>
      </c>
      <c r="C35" s="3" t="str">
        <f t="shared" si="1"/>
        <v>10.1046/j.1365-2486.2002.00490.x</v>
      </c>
      <c r="D35" s="3" t="s">
        <v>71</v>
      </c>
      <c r="E35" s="3" t="s">
        <v>33</v>
      </c>
      <c r="F35" s="3" t="s">
        <v>41</v>
      </c>
      <c r="G35" s="3" t="s">
        <v>42</v>
      </c>
      <c r="H35" s="3" t="s">
        <v>63</v>
      </c>
      <c r="I35" s="8" t="s">
        <v>133</v>
      </c>
      <c r="J35" s="1" t="s">
        <v>607</v>
      </c>
      <c r="K35" s="8" t="s">
        <v>608</v>
      </c>
      <c r="L35" s="8" t="s">
        <v>609</v>
      </c>
      <c r="M35" s="3" t="s">
        <v>510</v>
      </c>
    </row>
    <row r="36">
      <c r="A36" s="3" t="s">
        <v>134</v>
      </c>
      <c r="B36" s="3">
        <v>2002.0</v>
      </c>
      <c r="C36" s="3" t="str">
        <f t="shared" si="1"/>
        <v>10.1046/j.1365-2486.2002.00502.x</v>
      </c>
      <c r="D36" s="3" t="s">
        <v>39</v>
      </c>
      <c r="E36" s="3" t="s">
        <v>135</v>
      </c>
      <c r="F36" s="3" t="s">
        <v>34</v>
      </c>
      <c r="G36" s="3" t="s">
        <v>42</v>
      </c>
      <c r="H36" s="3" t="s">
        <v>63</v>
      </c>
      <c r="I36" s="8" t="s">
        <v>136</v>
      </c>
      <c r="J36" s="10" t="s">
        <v>610</v>
      </c>
      <c r="K36" s="8" t="s">
        <v>611</v>
      </c>
      <c r="L36" s="8" t="s">
        <v>612</v>
      </c>
      <c r="M36" s="3" t="s">
        <v>510</v>
      </c>
    </row>
    <row r="37">
      <c r="A37" s="3" t="s">
        <v>137</v>
      </c>
      <c r="B37" s="3">
        <v>2003.0</v>
      </c>
      <c r="C37" s="3" t="str">
        <f t="shared" si="1"/>
        <v>10.1046/j.1365-2486.2003.00616.x</v>
      </c>
      <c r="D37" s="3" t="s">
        <v>66</v>
      </c>
      <c r="E37" s="3" t="s">
        <v>81</v>
      </c>
      <c r="F37" s="3" t="s">
        <v>41</v>
      </c>
      <c r="G37" s="3" t="s">
        <v>42</v>
      </c>
      <c r="H37" s="3" t="s">
        <v>115</v>
      </c>
      <c r="I37" s="8" t="s">
        <v>138</v>
      </c>
      <c r="J37" s="1" t="s">
        <v>613</v>
      </c>
      <c r="K37" s="8" t="s">
        <v>614</v>
      </c>
      <c r="L37" s="8" t="s">
        <v>615</v>
      </c>
      <c r="M37" s="3" t="s">
        <v>510</v>
      </c>
    </row>
    <row r="38">
      <c r="A38" s="3" t="s">
        <v>139</v>
      </c>
      <c r="B38" s="3">
        <v>2001.0</v>
      </c>
      <c r="C38" s="3" t="str">
        <f t="shared" si="1"/>
        <v>10.1046/j.1365-2656.2001.00480.x</v>
      </c>
      <c r="D38" s="3" t="s">
        <v>32</v>
      </c>
      <c r="E38" s="3" t="s">
        <v>33</v>
      </c>
      <c r="F38" s="3" t="s">
        <v>34</v>
      </c>
      <c r="G38" s="3" t="s">
        <v>42</v>
      </c>
      <c r="H38" s="3" t="s">
        <v>63</v>
      </c>
      <c r="I38" s="8" t="s">
        <v>140</v>
      </c>
      <c r="J38" s="10" t="s">
        <v>616</v>
      </c>
      <c r="K38" s="8" t="s">
        <v>617</v>
      </c>
      <c r="L38" s="8" t="s">
        <v>618</v>
      </c>
      <c r="M38" s="3" t="s">
        <v>510</v>
      </c>
    </row>
    <row r="39">
      <c r="A39" s="3" t="s">
        <v>141</v>
      </c>
      <c r="B39" s="3">
        <v>1998.0</v>
      </c>
      <c r="C39" s="3" t="str">
        <f t="shared" si="1"/>
        <v>10.1046/j.1365-2699.1998.251192.x</v>
      </c>
      <c r="D39" s="3" t="s">
        <v>32</v>
      </c>
      <c r="E39" s="3" t="s">
        <v>51</v>
      </c>
      <c r="F39" s="3" t="s">
        <v>34</v>
      </c>
      <c r="G39" s="3" t="s">
        <v>42</v>
      </c>
      <c r="H39" s="3" t="s">
        <v>63</v>
      </c>
      <c r="I39" s="8" t="s">
        <v>142</v>
      </c>
      <c r="J39" s="10" t="s">
        <v>619</v>
      </c>
      <c r="K39" s="8" t="s">
        <v>620</v>
      </c>
      <c r="L39" s="8" t="s">
        <v>621</v>
      </c>
      <c r="M39" s="3" t="s">
        <v>510</v>
      </c>
    </row>
    <row r="40">
      <c r="A40" s="3" t="s">
        <v>143</v>
      </c>
      <c r="B40" s="3">
        <v>2003.0</v>
      </c>
      <c r="C40" s="3" t="str">
        <f t="shared" si="1"/>
        <v>10.1046/j.1365-2699.2003.00839.x</v>
      </c>
      <c r="D40" s="3" t="s">
        <v>32</v>
      </c>
      <c r="E40" s="3" t="s">
        <v>51</v>
      </c>
      <c r="F40" s="3" t="s">
        <v>34</v>
      </c>
      <c r="G40" s="3" t="s">
        <v>42</v>
      </c>
      <c r="H40" s="3" t="s">
        <v>63</v>
      </c>
      <c r="I40" s="8" t="s">
        <v>144</v>
      </c>
      <c r="J40" s="10" t="s">
        <v>622</v>
      </c>
      <c r="K40" s="8" t="s">
        <v>623</v>
      </c>
      <c r="L40" s="8" t="s">
        <v>624</v>
      </c>
      <c r="M40" s="3" t="s">
        <v>510</v>
      </c>
    </row>
    <row r="41">
      <c r="A41" s="3" t="s">
        <v>145</v>
      </c>
      <c r="B41" s="3">
        <v>2002.0</v>
      </c>
      <c r="C41" s="3" t="str">
        <f t="shared" si="1"/>
        <v>10.1046/j.1466-822X.2002.00307.x</v>
      </c>
      <c r="D41" s="3" t="s">
        <v>39</v>
      </c>
      <c r="E41" s="3" t="s">
        <v>51</v>
      </c>
      <c r="F41" s="3" t="s">
        <v>41</v>
      </c>
      <c r="G41" s="3" t="s">
        <v>42</v>
      </c>
      <c r="H41" s="3" t="s">
        <v>34</v>
      </c>
      <c r="I41" s="8" t="s">
        <v>146</v>
      </c>
      <c r="J41" s="10" t="s">
        <v>625</v>
      </c>
      <c r="K41" s="8" t="s">
        <v>626</v>
      </c>
      <c r="L41" s="8" t="s">
        <v>627</v>
      </c>
      <c r="M41" s="3" t="s">
        <v>510</v>
      </c>
    </row>
    <row r="42">
      <c r="A42" s="3" t="s">
        <v>147</v>
      </c>
      <c r="B42" s="3">
        <v>1992.0</v>
      </c>
      <c r="C42" s="3" t="str">
        <f t="shared" si="1"/>
        <v>10.1046/j.1523-1739.1992.06030409.x</v>
      </c>
      <c r="D42" s="3" t="s">
        <v>66</v>
      </c>
      <c r="E42" s="3" t="s">
        <v>56</v>
      </c>
      <c r="F42" s="3" t="s">
        <v>41</v>
      </c>
      <c r="G42" s="3" t="s">
        <v>119</v>
      </c>
      <c r="H42" s="3" t="s">
        <v>34</v>
      </c>
      <c r="I42" s="8" t="s">
        <v>148</v>
      </c>
      <c r="J42" s="10" t="s">
        <v>628</v>
      </c>
      <c r="K42" s="8" t="s">
        <v>629</v>
      </c>
      <c r="L42" s="8" t="s">
        <v>630</v>
      </c>
      <c r="M42" s="3" t="s">
        <v>510</v>
      </c>
    </row>
    <row r="43">
      <c r="A43" s="3" t="s">
        <v>149</v>
      </c>
      <c r="B43" s="3">
        <v>2011.0</v>
      </c>
      <c r="C43" s="3" t="str">
        <f t="shared" si="1"/>
        <v>10.1071/MF10286</v>
      </c>
      <c r="D43" s="3" t="s">
        <v>71</v>
      </c>
      <c r="E43" s="3" t="s">
        <v>67</v>
      </c>
      <c r="F43" s="3" t="s">
        <v>34</v>
      </c>
      <c r="G43" s="3" t="s">
        <v>42</v>
      </c>
      <c r="H43" s="3" t="s">
        <v>63</v>
      </c>
      <c r="I43" s="8" t="s">
        <v>150</v>
      </c>
      <c r="J43" s="1" t="s">
        <v>631</v>
      </c>
      <c r="K43" s="8" t="s">
        <v>632</v>
      </c>
      <c r="L43" s="8" t="s">
        <v>633</v>
      </c>
      <c r="M43" s="3" t="s">
        <v>510</v>
      </c>
    </row>
    <row r="44">
      <c r="A44" s="3" t="s">
        <v>151</v>
      </c>
      <c r="B44" s="3">
        <v>2005.0</v>
      </c>
      <c r="C44" s="3" t="str">
        <f t="shared" si="1"/>
        <v>10.1073/pnas.0409902102</v>
      </c>
      <c r="D44" s="3" t="s">
        <v>32</v>
      </c>
      <c r="E44" s="3" t="s">
        <v>51</v>
      </c>
      <c r="F44" s="3" t="s">
        <v>34</v>
      </c>
      <c r="G44" s="3" t="s">
        <v>42</v>
      </c>
      <c r="H44" s="3" t="s">
        <v>43</v>
      </c>
      <c r="I44" s="8" t="s">
        <v>152</v>
      </c>
      <c r="J44" s="10" t="s">
        <v>634</v>
      </c>
      <c r="K44" s="8" t="s">
        <v>635</v>
      </c>
      <c r="L44" s="8" t="s">
        <v>636</v>
      </c>
      <c r="M44" s="3" t="s">
        <v>510</v>
      </c>
    </row>
    <row r="45">
      <c r="A45" s="3" t="s">
        <v>153</v>
      </c>
      <c r="B45" s="3">
        <v>2005.0</v>
      </c>
      <c r="C45" s="3" t="str">
        <f t="shared" si="1"/>
        <v>10.1073/pnas.0501427102</v>
      </c>
      <c r="D45" s="3" t="s">
        <v>66</v>
      </c>
      <c r="E45" s="3" t="s">
        <v>51</v>
      </c>
      <c r="F45" s="3" t="s">
        <v>41</v>
      </c>
      <c r="G45" s="3" t="s">
        <v>42</v>
      </c>
      <c r="H45" s="3" t="s">
        <v>63</v>
      </c>
      <c r="I45" s="8" t="s">
        <v>154</v>
      </c>
      <c r="J45" s="10" t="s">
        <v>637</v>
      </c>
      <c r="K45" s="8" t="s">
        <v>638</v>
      </c>
      <c r="L45" s="8" t="s">
        <v>639</v>
      </c>
      <c r="M45" s="3" t="s">
        <v>510</v>
      </c>
    </row>
    <row r="46">
      <c r="A46" s="3" t="s">
        <v>155</v>
      </c>
      <c r="B46" s="3">
        <v>2011.0</v>
      </c>
      <c r="C46" s="3" t="str">
        <f t="shared" si="1"/>
        <v>10.1073/pnas.1103097108</v>
      </c>
      <c r="D46" s="3" t="s">
        <v>66</v>
      </c>
      <c r="E46" s="3" t="s">
        <v>67</v>
      </c>
      <c r="F46" s="3" t="s">
        <v>34</v>
      </c>
      <c r="G46" s="3" t="s">
        <v>42</v>
      </c>
      <c r="H46" s="3" t="s">
        <v>63</v>
      </c>
      <c r="I46" s="8" t="s">
        <v>156</v>
      </c>
      <c r="J46" s="10" t="s">
        <v>640</v>
      </c>
      <c r="K46" s="8" t="s">
        <v>641</v>
      </c>
      <c r="L46" s="8" t="s">
        <v>642</v>
      </c>
      <c r="M46" s="3" t="s">
        <v>510</v>
      </c>
    </row>
    <row r="47">
      <c r="A47" s="3" t="s">
        <v>157</v>
      </c>
      <c r="B47" s="3">
        <v>2012.0</v>
      </c>
      <c r="C47" s="3" t="str">
        <f t="shared" si="1"/>
        <v>10.1073/pnas.1116791109</v>
      </c>
      <c r="D47" s="3" t="s">
        <v>158</v>
      </c>
      <c r="E47" s="3" t="s">
        <v>56</v>
      </c>
      <c r="F47" s="3" t="s">
        <v>41</v>
      </c>
      <c r="G47" s="3" t="s">
        <v>68</v>
      </c>
      <c r="H47" s="3" t="s">
        <v>159</v>
      </c>
      <c r="I47" s="8" t="s">
        <v>160</v>
      </c>
      <c r="J47" s="1" t="s">
        <v>643</v>
      </c>
      <c r="K47" s="8" t="s">
        <v>644</v>
      </c>
      <c r="L47" s="8" t="s">
        <v>645</v>
      </c>
      <c r="M47" s="3" t="s">
        <v>510</v>
      </c>
    </row>
    <row r="48">
      <c r="A48" s="3" t="s">
        <v>161</v>
      </c>
      <c r="B48" s="3">
        <v>2008.0</v>
      </c>
      <c r="C48" s="3" t="str">
        <f t="shared" si="1"/>
        <v>10.1086/523949</v>
      </c>
      <c r="D48" s="3" t="s">
        <v>66</v>
      </c>
      <c r="E48" s="3" t="s">
        <v>40</v>
      </c>
      <c r="F48" s="3" t="s">
        <v>41</v>
      </c>
      <c r="G48" s="3" t="s">
        <v>162</v>
      </c>
      <c r="H48" s="3" t="s">
        <v>63</v>
      </c>
      <c r="I48" s="8" t="s">
        <v>163</v>
      </c>
      <c r="J48" s="1" t="s">
        <v>646</v>
      </c>
      <c r="K48" s="8" t="s">
        <v>647</v>
      </c>
      <c r="L48" s="8" t="s">
        <v>648</v>
      </c>
      <c r="M48" s="3" t="s">
        <v>510</v>
      </c>
    </row>
    <row r="49">
      <c r="A49" s="3" t="s">
        <v>164</v>
      </c>
      <c r="B49" s="3">
        <v>2008.0</v>
      </c>
      <c r="C49" s="3" t="str">
        <f t="shared" si="1"/>
        <v>10.1086/588171</v>
      </c>
      <c r="D49" s="3" t="s">
        <v>71</v>
      </c>
      <c r="E49" s="3" t="s">
        <v>56</v>
      </c>
      <c r="F49" s="3" t="s">
        <v>34</v>
      </c>
      <c r="G49" s="3" t="s">
        <v>42</v>
      </c>
      <c r="H49" s="3" t="s">
        <v>34</v>
      </c>
      <c r="I49" s="8" t="s">
        <v>165</v>
      </c>
      <c r="J49" s="1" t="s">
        <v>649</v>
      </c>
      <c r="K49" s="8" t="s">
        <v>650</v>
      </c>
      <c r="L49" s="8" t="s">
        <v>651</v>
      </c>
      <c r="M49" s="3" t="s">
        <v>510</v>
      </c>
    </row>
    <row r="50">
      <c r="A50" s="3" t="s">
        <v>166</v>
      </c>
      <c r="B50" s="3">
        <v>2008.0</v>
      </c>
      <c r="C50" s="3" t="str">
        <f t="shared" si="1"/>
        <v>10.1098/rsbl.2008.0231</v>
      </c>
      <c r="D50" s="3" t="s">
        <v>32</v>
      </c>
      <c r="E50" s="3" t="s">
        <v>51</v>
      </c>
      <c r="F50" s="3" t="s">
        <v>34</v>
      </c>
      <c r="G50" s="3" t="s">
        <v>42</v>
      </c>
      <c r="H50" s="3" t="s">
        <v>63</v>
      </c>
      <c r="I50" s="8" t="s">
        <v>167</v>
      </c>
      <c r="J50" s="1" t="s">
        <v>652</v>
      </c>
      <c r="K50" s="8" t="s">
        <v>653</v>
      </c>
      <c r="L50" s="8" t="s">
        <v>654</v>
      </c>
      <c r="M50" s="3" t="s">
        <v>510</v>
      </c>
    </row>
    <row r="51">
      <c r="A51" s="3" t="s">
        <v>168</v>
      </c>
      <c r="B51" s="3">
        <v>2002.0</v>
      </c>
      <c r="C51" s="3" t="str">
        <f t="shared" si="1"/>
        <v>10.1098/rspb.2002.2134</v>
      </c>
      <c r="D51" s="3" t="s">
        <v>32</v>
      </c>
      <c r="E51" s="3" t="s">
        <v>33</v>
      </c>
      <c r="F51" s="3" t="s">
        <v>34</v>
      </c>
      <c r="G51" s="3" t="s">
        <v>42</v>
      </c>
      <c r="H51" s="3" t="s">
        <v>43</v>
      </c>
      <c r="I51" s="8" t="s">
        <v>169</v>
      </c>
      <c r="J51" s="10" t="s">
        <v>655</v>
      </c>
      <c r="K51" s="8" t="s">
        <v>656</v>
      </c>
      <c r="L51" s="8" t="s">
        <v>657</v>
      </c>
      <c r="M51" s="3" t="s">
        <v>510</v>
      </c>
    </row>
    <row r="52">
      <c r="A52" s="3" t="s">
        <v>170</v>
      </c>
      <c r="B52" s="3">
        <v>2003.0</v>
      </c>
      <c r="C52" s="3" t="str">
        <f t="shared" si="1"/>
        <v>10.1098/rspb.2003.2464</v>
      </c>
      <c r="D52" s="3" t="s">
        <v>71</v>
      </c>
      <c r="E52" s="3" t="s">
        <v>171</v>
      </c>
      <c r="F52" s="3" t="s">
        <v>41</v>
      </c>
      <c r="G52" s="3" t="s">
        <v>42</v>
      </c>
      <c r="H52" s="3" t="s">
        <v>63</v>
      </c>
      <c r="I52" s="8" t="s">
        <v>172</v>
      </c>
      <c r="J52" s="1" t="s">
        <v>658</v>
      </c>
      <c r="K52" s="8" t="s">
        <v>659</v>
      </c>
      <c r="L52" s="8" t="s">
        <v>660</v>
      </c>
      <c r="M52" s="3" t="s">
        <v>510</v>
      </c>
    </row>
    <row r="53">
      <c r="A53" s="3" t="s">
        <v>173</v>
      </c>
      <c r="B53" s="3">
        <v>2009.0</v>
      </c>
      <c r="C53" s="3" t="str">
        <f t="shared" si="1"/>
        <v>10.1098/rspb.2008.1681</v>
      </c>
      <c r="D53" s="3" t="s">
        <v>66</v>
      </c>
      <c r="E53" s="3" t="s">
        <v>56</v>
      </c>
      <c r="F53" s="3" t="s">
        <v>41</v>
      </c>
      <c r="G53" s="3" t="s">
        <v>68</v>
      </c>
      <c r="H53" s="3" t="s">
        <v>159</v>
      </c>
      <c r="I53" s="8" t="s">
        <v>174</v>
      </c>
      <c r="J53" s="1" t="s">
        <v>661</v>
      </c>
      <c r="K53" s="8" t="s">
        <v>662</v>
      </c>
      <c r="L53" s="8" t="s">
        <v>663</v>
      </c>
      <c r="M53" s="3" t="s">
        <v>510</v>
      </c>
    </row>
    <row r="54">
      <c r="A54" s="3" t="s">
        <v>175</v>
      </c>
      <c r="B54" s="3">
        <v>2013.0</v>
      </c>
      <c r="C54" s="3" t="str">
        <f t="shared" si="1"/>
        <v>10.1111/ddi.12011</v>
      </c>
      <c r="D54" s="3" t="s">
        <v>39</v>
      </c>
      <c r="E54" s="3" t="s">
        <v>51</v>
      </c>
      <c r="F54" s="3" t="s">
        <v>41</v>
      </c>
      <c r="G54" s="3" t="s">
        <v>124</v>
      </c>
      <c r="H54" s="3" t="s">
        <v>159</v>
      </c>
      <c r="I54" s="8" t="s">
        <v>176</v>
      </c>
      <c r="J54" s="10" t="s">
        <v>664</v>
      </c>
      <c r="K54" s="8" t="s">
        <v>665</v>
      </c>
      <c r="L54" s="8" t="s">
        <v>666</v>
      </c>
      <c r="M54" s="3" t="s">
        <v>510</v>
      </c>
    </row>
    <row r="55">
      <c r="A55" s="3" t="s">
        <v>177</v>
      </c>
      <c r="B55" s="3">
        <v>2013.0</v>
      </c>
      <c r="C55" s="3" t="str">
        <f t="shared" si="1"/>
        <v>10.1111/gcb.12107</v>
      </c>
      <c r="D55" s="3" t="s">
        <v>32</v>
      </c>
      <c r="E55" s="3" t="s">
        <v>33</v>
      </c>
      <c r="F55" s="3" t="s">
        <v>34</v>
      </c>
      <c r="G55" s="3" t="s">
        <v>42</v>
      </c>
      <c r="H55" s="3" t="s">
        <v>63</v>
      </c>
      <c r="I55" s="8" t="s">
        <v>178</v>
      </c>
      <c r="J55" s="10" t="s">
        <v>667</v>
      </c>
      <c r="K55" s="8" t="s">
        <v>668</v>
      </c>
      <c r="L55" s="8" t="s">
        <v>669</v>
      </c>
      <c r="M55" s="3" t="s">
        <v>510</v>
      </c>
    </row>
    <row r="56">
      <c r="A56" s="3" t="s">
        <v>179</v>
      </c>
      <c r="B56" s="3">
        <v>2013.0</v>
      </c>
      <c r="C56" s="3" t="str">
        <f t="shared" si="1"/>
        <v>10.1111/gcb.12289</v>
      </c>
      <c r="D56" s="3" t="s">
        <v>71</v>
      </c>
      <c r="E56" s="3" t="s">
        <v>33</v>
      </c>
      <c r="F56" s="3" t="s">
        <v>34</v>
      </c>
      <c r="G56" s="3" t="s">
        <v>180</v>
      </c>
      <c r="H56" s="3" t="s">
        <v>63</v>
      </c>
      <c r="I56" s="8" t="s">
        <v>181</v>
      </c>
      <c r="J56" s="10" t="s">
        <v>670</v>
      </c>
      <c r="K56" s="8" t="s">
        <v>671</v>
      </c>
      <c r="L56" s="8" t="s">
        <v>672</v>
      </c>
      <c r="M56" s="3" t="s">
        <v>510</v>
      </c>
    </row>
    <row r="57">
      <c r="A57" s="3" t="s">
        <v>182</v>
      </c>
      <c r="B57" s="3">
        <v>2004.0</v>
      </c>
      <c r="C57" s="3" t="str">
        <f t="shared" si="1"/>
        <v>10.1111/j.0269-8463.2004.00903.x</v>
      </c>
      <c r="D57" s="3" t="s">
        <v>183</v>
      </c>
      <c r="E57" s="3" t="s">
        <v>33</v>
      </c>
      <c r="F57" s="3" t="s">
        <v>41</v>
      </c>
      <c r="G57" s="3" t="s">
        <v>68</v>
      </c>
      <c r="H57" s="3" t="s">
        <v>63</v>
      </c>
      <c r="I57" s="8" t="s">
        <v>184</v>
      </c>
      <c r="J57" s="10" t="s">
        <v>673</v>
      </c>
      <c r="K57" s="8" t="s">
        <v>674</v>
      </c>
      <c r="L57" s="8" t="s">
        <v>675</v>
      </c>
      <c r="M57" s="3" t="s">
        <v>510</v>
      </c>
    </row>
    <row r="58">
      <c r="A58" s="3" t="s">
        <v>185</v>
      </c>
      <c r="B58" s="3">
        <v>2004.0</v>
      </c>
      <c r="C58" s="3" t="str">
        <f t="shared" si="1"/>
        <v>10.1111/j.0906-7590.2004.03823.x</v>
      </c>
      <c r="D58" s="3" t="s">
        <v>32</v>
      </c>
      <c r="E58" s="3" t="s">
        <v>51</v>
      </c>
      <c r="F58" s="3" t="s">
        <v>34</v>
      </c>
      <c r="G58" s="3" t="s">
        <v>42</v>
      </c>
      <c r="H58" s="3" t="s">
        <v>186</v>
      </c>
      <c r="I58" s="8" t="s">
        <v>187</v>
      </c>
      <c r="J58" s="10" t="s">
        <v>676</v>
      </c>
      <c r="K58" s="8" t="s">
        <v>677</v>
      </c>
      <c r="L58" s="8" t="s">
        <v>678</v>
      </c>
      <c r="M58" s="3" t="s">
        <v>510</v>
      </c>
    </row>
    <row r="59">
      <c r="A59" s="3" t="s">
        <v>188</v>
      </c>
      <c r="B59" s="3">
        <v>2011.0</v>
      </c>
      <c r="C59" s="3" t="str">
        <f t="shared" si="1"/>
        <v>10.1111/j.1365-2427.2011.02631.x</v>
      </c>
      <c r="D59" s="3" t="s">
        <v>32</v>
      </c>
      <c r="E59" s="3" t="s">
        <v>33</v>
      </c>
      <c r="F59" s="3" t="s">
        <v>34</v>
      </c>
      <c r="G59" s="3" t="s">
        <v>42</v>
      </c>
      <c r="H59" s="3" t="s">
        <v>63</v>
      </c>
      <c r="I59" s="8" t="s">
        <v>189</v>
      </c>
      <c r="J59" s="10" t="s">
        <v>679</v>
      </c>
      <c r="K59" s="8" t="s">
        <v>680</v>
      </c>
      <c r="L59" s="8" t="s">
        <v>681</v>
      </c>
      <c r="M59" s="3" t="s">
        <v>510</v>
      </c>
    </row>
    <row r="60">
      <c r="A60" s="3" t="s">
        <v>190</v>
      </c>
      <c r="B60" s="3">
        <v>2004.0</v>
      </c>
      <c r="C60" s="3" t="str">
        <f t="shared" si="1"/>
        <v>10.1111/j.1365-2486.2004.00828.x</v>
      </c>
      <c r="D60" s="3" t="s">
        <v>32</v>
      </c>
      <c r="E60" s="3" t="s">
        <v>51</v>
      </c>
      <c r="F60" s="3" t="s">
        <v>34</v>
      </c>
      <c r="G60" s="3" t="s">
        <v>42</v>
      </c>
      <c r="H60" s="3" t="s">
        <v>43</v>
      </c>
      <c r="I60" s="8" t="s">
        <v>191</v>
      </c>
      <c r="J60" s="10" t="s">
        <v>682</v>
      </c>
      <c r="K60" s="8" t="s">
        <v>683</v>
      </c>
      <c r="L60" s="8" t="s">
        <v>684</v>
      </c>
      <c r="M60" s="3" t="s">
        <v>510</v>
      </c>
    </row>
    <row r="61">
      <c r="A61" s="3" t="s">
        <v>192</v>
      </c>
      <c r="B61" s="3">
        <v>2005.0</v>
      </c>
      <c r="C61" s="3" t="str">
        <f t="shared" si="1"/>
        <v>10.1111/j.1365-2486.2005.00997.x</v>
      </c>
      <c r="D61" s="3" t="s">
        <v>39</v>
      </c>
      <c r="E61" s="3" t="s">
        <v>51</v>
      </c>
      <c r="F61" s="3" t="s">
        <v>41</v>
      </c>
      <c r="G61" s="3" t="s">
        <v>42</v>
      </c>
      <c r="H61" s="3" t="s">
        <v>34</v>
      </c>
      <c r="I61" s="8" t="s">
        <v>193</v>
      </c>
      <c r="J61" s="10" t="s">
        <v>685</v>
      </c>
      <c r="K61" s="8" t="s">
        <v>686</v>
      </c>
      <c r="L61" s="8" t="s">
        <v>687</v>
      </c>
      <c r="M61" s="3" t="s">
        <v>510</v>
      </c>
    </row>
    <row r="62">
      <c r="A62" s="3" t="s">
        <v>194</v>
      </c>
      <c r="B62" s="3">
        <v>2006.0</v>
      </c>
      <c r="C62" s="3" t="str">
        <f t="shared" si="1"/>
        <v>10.1111/j.1365-2486.2006.01115.x</v>
      </c>
      <c r="D62" s="3" t="s">
        <v>39</v>
      </c>
      <c r="E62" s="3" t="s">
        <v>56</v>
      </c>
      <c r="F62" s="3" t="s">
        <v>41</v>
      </c>
      <c r="G62" s="3" t="s">
        <v>42</v>
      </c>
      <c r="H62" s="3" t="s">
        <v>34</v>
      </c>
      <c r="I62" s="8" t="s">
        <v>195</v>
      </c>
      <c r="J62" s="1" t="s">
        <v>688</v>
      </c>
      <c r="K62" s="8" t="s">
        <v>689</v>
      </c>
      <c r="L62" s="8" t="s">
        <v>690</v>
      </c>
      <c r="M62" s="3" t="s">
        <v>510</v>
      </c>
    </row>
    <row r="63">
      <c r="A63" s="3" t="s">
        <v>196</v>
      </c>
      <c r="B63" s="3">
        <v>2006.0</v>
      </c>
      <c r="C63" s="3" t="str">
        <f t="shared" si="1"/>
        <v>10.1111/j.1365-2486.2006.01191.x</v>
      </c>
      <c r="D63" s="3" t="s">
        <v>158</v>
      </c>
      <c r="E63" s="3" t="s">
        <v>56</v>
      </c>
      <c r="F63" s="3" t="s">
        <v>41</v>
      </c>
      <c r="G63" s="3" t="s">
        <v>42</v>
      </c>
      <c r="H63" s="3" t="s">
        <v>43</v>
      </c>
      <c r="I63" s="8" t="s">
        <v>197</v>
      </c>
      <c r="J63" s="1" t="s">
        <v>691</v>
      </c>
      <c r="K63" s="8" t="s">
        <v>692</v>
      </c>
      <c r="L63" s="8" t="s">
        <v>693</v>
      </c>
      <c r="M63" s="3" t="s">
        <v>510</v>
      </c>
    </row>
    <row r="64">
      <c r="A64" s="3" t="s">
        <v>198</v>
      </c>
      <c r="B64" s="3">
        <v>2006.0</v>
      </c>
      <c r="C64" s="3" t="str">
        <f t="shared" si="1"/>
        <v>10.1111/j.1365-2486.2006.01231.x</v>
      </c>
      <c r="D64" s="3" t="s">
        <v>32</v>
      </c>
      <c r="E64" s="3" t="s">
        <v>51</v>
      </c>
      <c r="F64" s="3" t="s">
        <v>34</v>
      </c>
      <c r="G64" s="3" t="s">
        <v>42</v>
      </c>
      <c r="H64" s="3" t="s">
        <v>43</v>
      </c>
      <c r="I64" s="8" t="s">
        <v>199</v>
      </c>
      <c r="J64" s="1" t="s">
        <v>694</v>
      </c>
      <c r="K64" s="8" t="s">
        <v>695</v>
      </c>
      <c r="L64" s="8" t="s">
        <v>696</v>
      </c>
      <c r="M64" s="3" t="s">
        <v>510</v>
      </c>
    </row>
    <row r="65">
      <c r="A65" s="3" t="s">
        <v>200</v>
      </c>
      <c r="B65" s="3">
        <v>2007.0</v>
      </c>
      <c r="C65" s="3" t="str">
        <f t="shared" si="1"/>
        <v>10.1111/j.1365-2486.2007.01357.x</v>
      </c>
      <c r="D65" s="3" t="s">
        <v>71</v>
      </c>
      <c r="E65" s="3" t="s">
        <v>33</v>
      </c>
      <c r="F65" s="3" t="s">
        <v>41</v>
      </c>
      <c r="G65" s="3" t="s">
        <v>42</v>
      </c>
      <c r="H65" s="3" t="s">
        <v>63</v>
      </c>
      <c r="I65" s="8" t="s">
        <v>201</v>
      </c>
      <c r="J65" s="10" t="s">
        <v>697</v>
      </c>
      <c r="K65" s="8" t="s">
        <v>698</v>
      </c>
      <c r="L65" s="8" t="s">
        <v>699</v>
      </c>
      <c r="M65" s="3" t="s">
        <v>510</v>
      </c>
    </row>
    <row r="66">
      <c r="A66" s="3" t="s">
        <v>202</v>
      </c>
      <c r="B66" s="3">
        <v>2008.0</v>
      </c>
      <c r="C66" s="3" t="str">
        <f t="shared" si="1"/>
        <v>10.1111/j.1365-2486.2007.01527.x</v>
      </c>
      <c r="D66" s="3" t="s">
        <v>32</v>
      </c>
      <c r="E66" s="3" t="s">
        <v>33</v>
      </c>
      <c r="F66" s="3" t="s">
        <v>34</v>
      </c>
      <c r="G66" s="3" t="s">
        <v>42</v>
      </c>
      <c r="H66" s="3" t="s">
        <v>43</v>
      </c>
      <c r="I66" s="8" t="s">
        <v>203</v>
      </c>
      <c r="J66" s="1" t="s">
        <v>700</v>
      </c>
      <c r="K66" s="8" t="s">
        <v>701</v>
      </c>
      <c r="L66" s="8" t="s">
        <v>702</v>
      </c>
      <c r="M66" s="3" t="s">
        <v>510</v>
      </c>
    </row>
    <row r="67">
      <c r="A67" s="3" t="s">
        <v>204</v>
      </c>
      <c r="B67" s="3">
        <v>2008.0</v>
      </c>
      <c r="C67" s="3" t="str">
        <f t="shared" si="1"/>
        <v>10.1111/j.1365-2486.2008.01553.x</v>
      </c>
      <c r="D67" s="3" t="s">
        <v>32</v>
      </c>
      <c r="E67" s="3" t="s">
        <v>51</v>
      </c>
      <c r="F67" s="3" t="s">
        <v>34</v>
      </c>
      <c r="G67" s="3" t="s">
        <v>42</v>
      </c>
      <c r="H67" s="3" t="s">
        <v>63</v>
      </c>
      <c r="I67" s="8" t="s">
        <v>205</v>
      </c>
      <c r="J67" s="1" t="s">
        <v>703</v>
      </c>
      <c r="K67" s="8" t="s">
        <v>704</v>
      </c>
      <c r="L67" s="8" t="s">
        <v>705</v>
      </c>
      <c r="M67" s="3" t="s">
        <v>510</v>
      </c>
    </row>
    <row r="68">
      <c r="A68" s="3" t="s">
        <v>206</v>
      </c>
      <c r="B68" s="3">
        <v>2008.0</v>
      </c>
      <c r="C68" s="3" t="str">
        <f t="shared" si="1"/>
        <v>10.1111/j.1365-2486.2008.01559.x</v>
      </c>
      <c r="D68" s="3" t="s">
        <v>71</v>
      </c>
      <c r="E68" s="3" t="s">
        <v>51</v>
      </c>
      <c r="F68" s="3" t="s">
        <v>41</v>
      </c>
      <c r="G68" s="3" t="s">
        <v>42</v>
      </c>
      <c r="H68" s="3" t="s">
        <v>125</v>
      </c>
      <c r="I68" s="8" t="s">
        <v>207</v>
      </c>
      <c r="J68" s="1" t="s">
        <v>706</v>
      </c>
      <c r="K68" s="8" t="s">
        <v>707</v>
      </c>
      <c r="L68" s="8" t="s">
        <v>708</v>
      </c>
      <c r="M68" s="3" t="s">
        <v>510</v>
      </c>
    </row>
    <row r="69">
      <c r="A69" s="3" t="s">
        <v>208</v>
      </c>
      <c r="B69" s="3">
        <v>2008.0</v>
      </c>
      <c r="C69" s="3" t="str">
        <f t="shared" si="1"/>
        <v>10.1111/j.1365-2486.2008.01596.x</v>
      </c>
      <c r="D69" s="3" t="s">
        <v>39</v>
      </c>
      <c r="E69" s="3" t="s">
        <v>209</v>
      </c>
      <c r="F69" s="3" t="s">
        <v>34</v>
      </c>
      <c r="G69" s="3" t="s">
        <v>42</v>
      </c>
      <c r="H69" s="3" t="s">
        <v>63</v>
      </c>
      <c r="I69" s="8" t="s">
        <v>210</v>
      </c>
      <c r="J69" s="1" t="s">
        <v>709</v>
      </c>
      <c r="K69" s="8" t="s">
        <v>710</v>
      </c>
      <c r="L69" s="8" t="s">
        <v>711</v>
      </c>
      <c r="M69" s="3" t="s">
        <v>510</v>
      </c>
    </row>
    <row r="70">
      <c r="A70" s="3" t="s">
        <v>211</v>
      </c>
      <c r="B70" s="3">
        <v>2009.0</v>
      </c>
      <c r="C70" s="3" t="str">
        <f t="shared" si="1"/>
        <v>10.1111/j.1365-2486.2008.01766.x</v>
      </c>
      <c r="D70" s="3" t="s">
        <v>32</v>
      </c>
      <c r="E70" s="3" t="s">
        <v>51</v>
      </c>
      <c r="F70" s="3" t="s">
        <v>34</v>
      </c>
      <c r="G70" s="3" t="s">
        <v>42</v>
      </c>
      <c r="H70" s="3" t="s">
        <v>63</v>
      </c>
      <c r="I70" s="8" t="s">
        <v>212</v>
      </c>
      <c r="J70" s="10" t="s">
        <v>712</v>
      </c>
      <c r="K70" s="8" t="s">
        <v>713</v>
      </c>
      <c r="L70" s="8" t="s">
        <v>714</v>
      </c>
      <c r="M70" s="3" t="s">
        <v>510</v>
      </c>
    </row>
    <row r="71">
      <c r="A71" s="3" t="s">
        <v>213</v>
      </c>
      <c r="B71" s="3">
        <v>2010.0</v>
      </c>
      <c r="C71" s="3" t="str">
        <f t="shared" si="1"/>
        <v>10.1111/j.1365-2486.2009.02021.x</v>
      </c>
      <c r="D71" s="3" t="s">
        <v>32</v>
      </c>
      <c r="E71" s="3" t="s">
        <v>56</v>
      </c>
      <c r="F71" s="3" t="s">
        <v>34</v>
      </c>
      <c r="G71" s="3" t="s">
        <v>42</v>
      </c>
      <c r="H71" s="3" t="s">
        <v>63</v>
      </c>
      <c r="I71" s="8" t="s">
        <v>214</v>
      </c>
      <c r="J71" s="10" t="s">
        <v>715</v>
      </c>
      <c r="K71" s="8" t="s">
        <v>716</v>
      </c>
      <c r="L71" s="8" t="s">
        <v>717</v>
      </c>
      <c r="M71" s="3" t="s">
        <v>510</v>
      </c>
    </row>
    <row r="72">
      <c r="A72" s="3" t="s">
        <v>215</v>
      </c>
      <c r="B72" s="3">
        <v>2010.0</v>
      </c>
      <c r="C72" s="3" t="str">
        <f t="shared" si="1"/>
        <v>10.1111/j.1365-2486.2010.02224.x</v>
      </c>
      <c r="D72" s="3" t="s">
        <v>183</v>
      </c>
      <c r="E72" s="3" t="s">
        <v>67</v>
      </c>
      <c r="F72" s="3" t="s">
        <v>41</v>
      </c>
      <c r="G72" s="3" t="s">
        <v>42</v>
      </c>
      <c r="H72" s="3" t="s">
        <v>63</v>
      </c>
      <c r="I72" s="8" t="s">
        <v>216</v>
      </c>
      <c r="J72" s="10" t="s">
        <v>718</v>
      </c>
      <c r="K72" s="8" t="s">
        <v>719</v>
      </c>
      <c r="L72" s="8" t="s">
        <v>720</v>
      </c>
      <c r="M72" s="3" t="s">
        <v>510</v>
      </c>
    </row>
    <row r="73">
      <c r="A73" s="3" t="s">
        <v>217</v>
      </c>
      <c r="B73" s="3">
        <v>2011.0</v>
      </c>
      <c r="C73" s="3" t="str">
        <f t="shared" si="1"/>
        <v>10.1111/j.1365-2486.2010.02393.x</v>
      </c>
      <c r="D73" s="3" t="s">
        <v>32</v>
      </c>
      <c r="E73" s="3" t="s">
        <v>51</v>
      </c>
      <c r="F73" s="3" t="s">
        <v>34</v>
      </c>
      <c r="G73" s="3" t="s">
        <v>42</v>
      </c>
      <c r="H73" s="3" t="s">
        <v>63</v>
      </c>
      <c r="I73" s="8" t="s">
        <v>218</v>
      </c>
      <c r="J73" s="10" t="s">
        <v>721</v>
      </c>
      <c r="K73" s="8" t="s">
        <v>722</v>
      </c>
      <c r="L73" s="8" t="s">
        <v>723</v>
      </c>
      <c r="M73" s="3" t="s">
        <v>510</v>
      </c>
    </row>
    <row r="74">
      <c r="A74" s="3" t="s">
        <v>219</v>
      </c>
      <c r="B74" s="3">
        <v>2012.0</v>
      </c>
      <c r="C74" s="3" t="str">
        <f t="shared" si="1"/>
        <v>10.1111/j.1365-2486.2011.02614.x</v>
      </c>
      <c r="D74" s="3" t="s">
        <v>71</v>
      </c>
      <c r="E74" s="3" t="s">
        <v>51</v>
      </c>
      <c r="F74" s="3" t="s">
        <v>41</v>
      </c>
      <c r="G74" s="3" t="s">
        <v>220</v>
      </c>
      <c r="H74" s="3" t="s">
        <v>63</v>
      </c>
      <c r="I74" s="8" t="s">
        <v>221</v>
      </c>
      <c r="J74" s="10" t="s">
        <v>724</v>
      </c>
      <c r="K74" s="8" t="s">
        <v>725</v>
      </c>
      <c r="L74" s="8" t="s">
        <v>726</v>
      </c>
      <c r="M74" s="3" t="s">
        <v>510</v>
      </c>
    </row>
    <row r="75">
      <c r="A75" s="3" t="s">
        <v>222</v>
      </c>
      <c r="B75" s="3">
        <v>2012.0</v>
      </c>
      <c r="C75" s="3" t="str">
        <f t="shared" si="1"/>
        <v>10.1111/j.1365-2486.2011.02623.x</v>
      </c>
      <c r="D75" s="3" t="s">
        <v>77</v>
      </c>
      <c r="E75" s="3" t="s">
        <v>40</v>
      </c>
      <c r="F75" s="3" t="s">
        <v>41</v>
      </c>
      <c r="G75" s="3" t="s">
        <v>42</v>
      </c>
      <c r="H75" s="3" t="s">
        <v>43</v>
      </c>
      <c r="I75" s="8" t="s">
        <v>223</v>
      </c>
      <c r="J75" s="10" t="s">
        <v>727</v>
      </c>
      <c r="K75" s="8" t="s">
        <v>728</v>
      </c>
      <c r="L75" s="8" t="s">
        <v>729</v>
      </c>
      <c r="M75" s="3" t="s">
        <v>510</v>
      </c>
    </row>
    <row r="76">
      <c r="A76" s="3" t="s">
        <v>224</v>
      </c>
      <c r="B76" s="3">
        <v>2012.0</v>
      </c>
      <c r="C76" s="3" t="str">
        <f t="shared" si="1"/>
        <v>10.1111/j.1365-2486.2012.02641.x</v>
      </c>
      <c r="D76" s="3" t="s">
        <v>46</v>
      </c>
      <c r="E76" s="3" t="s">
        <v>56</v>
      </c>
      <c r="F76" s="3" t="s">
        <v>34</v>
      </c>
      <c r="G76" s="3" t="s">
        <v>42</v>
      </c>
      <c r="H76" s="3" t="s">
        <v>43</v>
      </c>
      <c r="I76" s="8" t="s">
        <v>225</v>
      </c>
      <c r="J76" s="1" t="s">
        <v>730</v>
      </c>
      <c r="K76" s="8" t="s">
        <v>731</v>
      </c>
      <c r="L76" s="8" t="s">
        <v>732</v>
      </c>
      <c r="M76" s="3" t="s">
        <v>510</v>
      </c>
    </row>
    <row r="77">
      <c r="A77" s="3" t="s">
        <v>226</v>
      </c>
      <c r="B77" s="3">
        <v>2008.0</v>
      </c>
      <c r="C77" s="3" t="str">
        <f t="shared" si="1"/>
        <v>10.1111/j.1365-2745.2008.01369.x</v>
      </c>
      <c r="D77" s="3" t="s">
        <v>66</v>
      </c>
      <c r="E77" s="3" t="s">
        <v>51</v>
      </c>
      <c r="F77" s="3" t="s">
        <v>41</v>
      </c>
      <c r="G77" s="3" t="s">
        <v>68</v>
      </c>
      <c r="H77" s="3" t="s">
        <v>159</v>
      </c>
      <c r="I77" s="8" t="s">
        <v>227</v>
      </c>
      <c r="J77" s="1" t="s">
        <v>733</v>
      </c>
      <c r="K77" s="8" t="s">
        <v>734</v>
      </c>
      <c r="L77" s="8" t="s">
        <v>735</v>
      </c>
      <c r="M77" s="3" t="s">
        <v>510</v>
      </c>
    </row>
    <row r="78">
      <c r="A78" s="3" t="s">
        <v>228</v>
      </c>
      <c r="B78" s="3">
        <v>2005.0</v>
      </c>
      <c r="C78" s="3" t="str">
        <f t="shared" si="1"/>
        <v>10.1111/j.1366-9516.2005.00153.x</v>
      </c>
      <c r="D78" s="3" t="s">
        <v>66</v>
      </c>
      <c r="E78" s="3" t="s">
        <v>67</v>
      </c>
      <c r="F78" s="3" t="s">
        <v>34</v>
      </c>
      <c r="G78" s="3" t="s">
        <v>42</v>
      </c>
      <c r="H78" s="3" t="s">
        <v>229</v>
      </c>
      <c r="I78" s="8" t="s">
        <v>230</v>
      </c>
      <c r="J78" s="10" t="s">
        <v>736</v>
      </c>
      <c r="K78" s="8" t="s">
        <v>737</v>
      </c>
      <c r="L78" s="8" t="s">
        <v>738</v>
      </c>
      <c r="M78" s="3" t="s">
        <v>510</v>
      </c>
    </row>
    <row r="79">
      <c r="A79" s="3" t="s">
        <v>231</v>
      </c>
      <c r="B79" s="3">
        <v>2006.0</v>
      </c>
      <c r="C79" s="3" t="str">
        <f t="shared" si="1"/>
        <v>10.1111/j.1366-9516.2006.00216.x</v>
      </c>
      <c r="D79" s="3" t="s">
        <v>39</v>
      </c>
      <c r="E79" s="3" t="s">
        <v>51</v>
      </c>
      <c r="F79" s="3" t="s">
        <v>41</v>
      </c>
      <c r="G79" s="3" t="s">
        <v>42</v>
      </c>
      <c r="H79" s="3" t="s">
        <v>43</v>
      </c>
      <c r="I79" s="8" t="s">
        <v>232</v>
      </c>
      <c r="J79" s="1" t="s">
        <v>739</v>
      </c>
      <c r="K79" s="8" t="s">
        <v>740</v>
      </c>
      <c r="L79" s="8" t="s">
        <v>741</v>
      </c>
      <c r="M79" s="3" t="s">
        <v>510</v>
      </c>
    </row>
    <row r="80">
      <c r="A80" s="3" t="s">
        <v>233</v>
      </c>
      <c r="B80" s="3">
        <v>2006.0</v>
      </c>
      <c r="C80" s="3" t="str">
        <f t="shared" si="1"/>
        <v>10.1111/j.1366-9516.2006.00273.x</v>
      </c>
      <c r="D80" s="3" t="s">
        <v>39</v>
      </c>
      <c r="E80" s="3" t="s">
        <v>51</v>
      </c>
      <c r="F80" s="3" t="s">
        <v>34</v>
      </c>
      <c r="G80" s="3" t="s">
        <v>42</v>
      </c>
      <c r="H80" s="3" t="s">
        <v>125</v>
      </c>
      <c r="I80" s="8" t="s">
        <v>234</v>
      </c>
      <c r="J80" s="1" t="s">
        <v>742</v>
      </c>
      <c r="K80" s="8" t="s">
        <v>743</v>
      </c>
      <c r="L80" s="8" t="s">
        <v>744</v>
      </c>
      <c r="M80" s="3" t="s">
        <v>510</v>
      </c>
    </row>
    <row r="81">
      <c r="A81" s="3" t="s">
        <v>235</v>
      </c>
      <c r="B81" s="3">
        <v>2010.0</v>
      </c>
      <c r="C81" s="3" t="str">
        <f t="shared" si="1"/>
        <v>10.1111/j.1461-0248.2010.01479.x</v>
      </c>
      <c r="D81" s="3" t="s">
        <v>66</v>
      </c>
      <c r="E81" s="3" t="s">
        <v>236</v>
      </c>
      <c r="F81" s="3" t="s">
        <v>41</v>
      </c>
      <c r="G81" s="3" t="s">
        <v>237</v>
      </c>
      <c r="H81" s="3" t="s">
        <v>63</v>
      </c>
      <c r="I81" s="8" t="s">
        <v>238</v>
      </c>
      <c r="J81" s="10" t="s">
        <v>745</v>
      </c>
      <c r="K81" s="8" t="s">
        <v>746</v>
      </c>
      <c r="L81" s="8" t="s">
        <v>747</v>
      </c>
      <c r="M81" s="3" t="s">
        <v>510</v>
      </c>
    </row>
    <row r="82">
      <c r="A82" s="3" t="s">
        <v>239</v>
      </c>
      <c r="B82" s="3">
        <v>2011.0</v>
      </c>
      <c r="C82" s="3" t="str">
        <f t="shared" si="1"/>
        <v>10.1111/j.1461-0248.2011.01681.x</v>
      </c>
      <c r="D82" s="3" t="s">
        <v>66</v>
      </c>
      <c r="E82" s="3" t="s">
        <v>240</v>
      </c>
      <c r="F82" s="3" t="s">
        <v>41</v>
      </c>
      <c r="G82" s="3" t="s">
        <v>42</v>
      </c>
      <c r="H82" s="3" t="s">
        <v>229</v>
      </c>
      <c r="I82" s="8" t="s">
        <v>241</v>
      </c>
      <c r="J82" s="10" t="s">
        <v>748</v>
      </c>
      <c r="K82" s="8" t="s">
        <v>749</v>
      </c>
      <c r="L82" s="8" t="s">
        <v>750</v>
      </c>
      <c r="M82" s="3" t="s">
        <v>510</v>
      </c>
    </row>
    <row r="83">
      <c r="A83" s="3" t="s">
        <v>242</v>
      </c>
      <c r="B83" s="3">
        <v>2011.0</v>
      </c>
      <c r="C83" s="3" t="str">
        <f t="shared" si="1"/>
        <v>10.1111/j.1461-0248.2011.01689.x</v>
      </c>
      <c r="D83" s="3" t="s">
        <v>77</v>
      </c>
      <c r="E83" s="3" t="s">
        <v>243</v>
      </c>
      <c r="F83" s="3" t="s">
        <v>34</v>
      </c>
      <c r="G83" s="3" t="s">
        <v>42</v>
      </c>
      <c r="H83" s="3" t="s">
        <v>125</v>
      </c>
      <c r="I83" s="8" t="s">
        <v>244</v>
      </c>
      <c r="J83" s="10" t="s">
        <v>751</v>
      </c>
      <c r="K83" s="8" t="s">
        <v>752</v>
      </c>
      <c r="L83" s="8" t="s">
        <v>753</v>
      </c>
      <c r="M83" s="3" t="s">
        <v>510</v>
      </c>
    </row>
    <row r="84">
      <c r="A84" s="3" t="s">
        <v>245</v>
      </c>
      <c r="B84" s="3">
        <v>2004.0</v>
      </c>
      <c r="C84" s="3" t="str">
        <f t="shared" si="1"/>
        <v>10.1111/j.1466-822X.2004.00105.x</v>
      </c>
      <c r="D84" s="3" t="s">
        <v>50</v>
      </c>
      <c r="E84" s="3" t="s">
        <v>51</v>
      </c>
      <c r="F84" s="3" t="s">
        <v>34</v>
      </c>
      <c r="G84" s="3" t="s">
        <v>124</v>
      </c>
      <c r="H84" s="3" t="s">
        <v>34</v>
      </c>
      <c r="I84" s="8" t="s">
        <v>246</v>
      </c>
      <c r="J84" s="10" t="s">
        <v>754</v>
      </c>
      <c r="K84" s="8" t="s">
        <v>755</v>
      </c>
      <c r="L84" s="8" t="s">
        <v>756</v>
      </c>
      <c r="M84" s="3" t="s">
        <v>510</v>
      </c>
    </row>
    <row r="85">
      <c r="A85" s="3" t="s">
        <v>247</v>
      </c>
      <c r="B85" s="3">
        <v>2011.0</v>
      </c>
      <c r="C85" s="3" t="str">
        <f t="shared" si="1"/>
        <v>10.1111/j.1466-8238.2010.00646.x</v>
      </c>
      <c r="D85" s="3" t="s">
        <v>32</v>
      </c>
      <c r="E85" s="3" t="s">
        <v>51</v>
      </c>
      <c r="F85" s="3" t="s">
        <v>34</v>
      </c>
      <c r="G85" s="3" t="s">
        <v>248</v>
      </c>
      <c r="H85" s="3" t="s">
        <v>63</v>
      </c>
      <c r="I85" s="8" t="s">
        <v>249</v>
      </c>
      <c r="J85" s="10" t="s">
        <v>757</v>
      </c>
      <c r="K85" s="8" t="s">
        <v>758</v>
      </c>
      <c r="L85" s="8" t="s">
        <v>759</v>
      </c>
      <c r="M85" s="3" t="s">
        <v>510</v>
      </c>
    </row>
    <row r="86">
      <c r="A86" s="3" t="s">
        <v>250</v>
      </c>
      <c r="B86" s="3">
        <v>2010.0</v>
      </c>
      <c r="C86" s="3" t="str">
        <f t="shared" si="1"/>
        <v>10.1111/j.1472-4642.2009.00623.x</v>
      </c>
      <c r="D86" s="3" t="s">
        <v>71</v>
      </c>
      <c r="E86" s="3" t="s">
        <v>51</v>
      </c>
      <c r="F86" s="3" t="s">
        <v>41</v>
      </c>
      <c r="G86" s="3" t="s">
        <v>42</v>
      </c>
      <c r="H86" s="3" t="s">
        <v>43</v>
      </c>
      <c r="I86" s="8" t="s">
        <v>251</v>
      </c>
      <c r="J86" s="10" t="s">
        <v>760</v>
      </c>
      <c r="K86" s="8" t="s">
        <v>761</v>
      </c>
      <c r="L86" s="8" t="s">
        <v>762</v>
      </c>
      <c r="M86" s="3" t="s">
        <v>510</v>
      </c>
    </row>
    <row r="87">
      <c r="A87" s="3" t="s">
        <v>252</v>
      </c>
      <c r="B87" s="3">
        <v>2012.0</v>
      </c>
      <c r="C87" s="3" t="str">
        <f t="shared" si="1"/>
        <v>10.1111/j.1472-4642.2011.00827.x</v>
      </c>
      <c r="D87" s="3" t="s">
        <v>32</v>
      </c>
      <c r="E87" s="3" t="s">
        <v>81</v>
      </c>
      <c r="F87" s="3" t="s">
        <v>34</v>
      </c>
      <c r="G87" s="3" t="s">
        <v>42</v>
      </c>
      <c r="H87" s="3" t="s">
        <v>63</v>
      </c>
      <c r="I87" s="8" t="s">
        <v>253</v>
      </c>
      <c r="J87" s="10" t="s">
        <v>763</v>
      </c>
      <c r="K87" s="8" t="s">
        <v>764</v>
      </c>
      <c r="L87" s="8" t="s">
        <v>765</v>
      </c>
      <c r="M87" s="3" t="s">
        <v>510</v>
      </c>
    </row>
    <row r="88">
      <c r="A88" s="3" t="s">
        <v>254</v>
      </c>
      <c r="B88" s="3">
        <v>2006.0</v>
      </c>
      <c r="C88" s="3" t="str">
        <f t="shared" si="1"/>
        <v>10.1111/j.1474-919X.2006.00523.x</v>
      </c>
      <c r="D88" s="3" t="s">
        <v>32</v>
      </c>
      <c r="E88" s="3" t="s">
        <v>81</v>
      </c>
      <c r="F88" s="3" t="s">
        <v>34</v>
      </c>
      <c r="G88" s="3" t="s">
        <v>42</v>
      </c>
      <c r="H88" s="3" t="s">
        <v>43</v>
      </c>
      <c r="I88" s="8" t="s">
        <v>255</v>
      </c>
      <c r="J88" s="1" t="s">
        <v>766</v>
      </c>
      <c r="K88" s="8" t="s">
        <v>767</v>
      </c>
      <c r="L88" s="8" t="s">
        <v>768</v>
      </c>
      <c r="M88" s="3" t="s">
        <v>510</v>
      </c>
    </row>
    <row r="89">
      <c r="A89" s="3" t="s">
        <v>256</v>
      </c>
      <c r="B89" s="3">
        <v>2006.0</v>
      </c>
      <c r="C89" s="3" t="str">
        <f t="shared" si="1"/>
        <v>10.1111/j.1523-1739.2006.00364.x</v>
      </c>
      <c r="D89" s="3" t="s">
        <v>77</v>
      </c>
      <c r="E89" s="3" t="s">
        <v>257</v>
      </c>
      <c r="F89" s="3" t="s">
        <v>41</v>
      </c>
      <c r="G89" s="3" t="s">
        <v>119</v>
      </c>
      <c r="H89" s="3" t="s">
        <v>43</v>
      </c>
      <c r="I89" s="8" t="s">
        <v>258</v>
      </c>
      <c r="J89" s="1" t="s">
        <v>769</v>
      </c>
      <c r="K89" s="8" t="s">
        <v>770</v>
      </c>
      <c r="L89" s="8" t="s">
        <v>771</v>
      </c>
      <c r="M89" s="3" t="s">
        <v>510</v>
      </c>
    </row>
    <row r="90">
      <c r="A90" s="3" t="s">
        <v>259</v>
      </c>
      <c r="B90" s="3">
        <v>2007.0</v>
      </c>
      <c r="C90" s="3" t="str">
        <f t="shared" si="1"/>
        <v>10.1111/j.1523-1739.2007.00719.x</v>
      </c>
      <c r="D90" s="3" t="s">
        <v>66</v>
      </c>
      <c r="E90" s="3" t="s">
        <v>56</v>
      </c>
      <c r="F90" s="3" t="s">
        <v>34</v>
      </c>
      <c r="G90" s="3" t="s">
        <v>68</v>
      </c>
      <c r="H90" s="3" t="s">
        <v>159</v>
      </c>
      <c r="I90" s="8" t="s">
        <v>260</v>
      </c>
      <c r="J90" s="1" t="s">
        <v>772</v>
      </c>
      <c r="K90" s="8" t="s">
        <v>773</v>
      </c>
      <c r="L90" s="8" t="s">
        <v>774</v>
      </c>
      <c r="M90" s="3" t="s">
        <v>510</v>
      </c>
    </row>
    <row r="91">
      <c r="A91" s="3" t="s">
        <v>261</v>
      </c>
      <c r="B91" s="3">
        <v>2007.0</v>
      </c>
      <c r="C91" s="3" t="str">
        <f t="shared" si="1"/>
        <v>10.1111/j.1523-1739.2007.00814.x</v>
      </c>
      <c r="D91" s="3" t="s">
        <v>66</v>
      </c>
      <c r="E91" s="3" t="s">
        <v>51</v>
      </c>
      <c r="F91" s="3" t="s">
        <v>41</v>
      </c>
      <c r="G91" s="3" t="s">
        <v>42</v>
      </c>
      <c r="H91" s="3" t="s">
        <v>63</v>
      </c>
      <c r="I91" s="8" t="s">
        <v>262</v>
      </c>
      <c r="J91" s="1" t="s">
        <v>775</v>
      </c>
      <c r="K91" s="8" t="s">
        <v>776</v>
      </c>
      <c r="L91" s="8" t="s">
        <v>777</v>
      </c>
      <c r="M91" s="3" t="s">
        <v>510</v>
      </c>
    </row>
    <row r="92">
      <c r="A92" s="3" t="s">
        <v>263</v>
      </c>
      <c r="B92" s="3">
        <v>2008.0</v>
      </c>
      <c r="C92" s="3" t="str">
        <f t="shared" si="1"/>
        <v>10.1111/j.1523-1739.2007.00852.x</v>
      </c>
      <c r="D92" s="3" t="s">
        <v>77</v>
      </c>
      <c r="E92" s="3" t="s">
        <v>81</v>
      </c>
      <c r="F92" s="3" t="s">
        <v>41</v>
      </c>
      <c r="G92" s="3" t="s">
        <v>42</v>
      </c>
      <c r="H92" s="3" t="s">
        <v>63</v>
      </c>
      <c r="I92" s="8" t="s">
        <v>264</v>
      </c>
      <c r="J92" s="1" t="s">
        <v>778</v>
      </c>
      <c r="K92" s="8" t="s">
        <v>779</v>
      </c>
      <c r="L92" s="8" t="s">
        <v>780</v>
      </c>
      <c r="M92" s="3" t="s">
        <v>510</v>
      </c>
    </row>
    <row r="93">
      <c r="A93" s="3" t="s">
        <v>265</v>
      </c>
      <c r="B93" s="3">
        <v>2009.0</v>
      </c>
      <c r="C93" s="3" t="str">
        <f t="shared" si="1"/>
        <v>10.1111/j.1600-0587.2009.05789.x</v>
      </c>
      <c r="D93" s="3" t="s">
        <v>32</v>
      </c>
      <c r="E93" s="3" t="s">
        <v>51</v>
      </c>
      <c r="F93" s="3" t="s">
        <v>34</v>
      </c>
      <c r="G93" s="3" t="s">
        <v>42</v>
      </c>
      <c r="H93" s="3" t="s">
        <v>125</v>
      </c>
      <c r="I93" s="8" t="s">
        <v>266</v>
      </c>
      <c r="J93" s="10" t="s">
        <v>781</v>
      </c>
      <c r="K93" s="8" t="s">
        <v>782</v>
      </c>
      <c r="L93" s="8" t="s">
        <v>783</v>
      </c>
      <c r="M93" s="3" t="s">
        <v>510</v>
      </c>
    </row>
    <row r="94">
      <c r="A94" s="3" t="s">
        <v>267</v>
      </c>
      <c r="B94" s="3">
        <v>2005.0</v>
      </c>
      <c r="C94" s="3" t="str">
        <f t="shared" si="1"/>
        <v>10.1111/j.1744-7429.2005.00027.x</v>
      </c>
      <c r="D94" s="3" t="s">
        <v>66</v>
      </c>
      <c r="E94" s="3" t="s">
        <v>240</v>
      </c>
      <c r="F94" s="3" t="s">
        <v>41</v>
      </c>
      <c r="G94" s="3" t="s">
        <v>42</v>
      </c>
      <c r="H94" s="3" t="s">
        <v>43</v>
      </c>
      <c r="I94" s="8" t="s">
        <v>268</v>
      </c>
      <c r="J94" s="10" t="s">
        <v>784</v>
      </c>
      <c r="K94" s="8" t="s">
        <v>785</v>
      </c>
      <c r="L94" s="8" t="s">
        <v>786</v>
      </c>
      <c r="M94" s="3" t="s">
        <v>510</v>
      </c>
    </row>
    <row r="95">
      <c r="A95" s="3" t="s">
        <v>269</v>
      </c>
      <c r="B95" s="3">
        <v>2010.0</v>
      </c>
      <c r="C95" s="3" t="str">
        <f t="shared" si="1"/>
        <v>10.1111/j.1749-4877.2010.00198.x</v>
      </c>
      <c r="D95" s="3" t="s">
        <v>46</v>
      </c>
      <c r="E95" s="3" t="s">
        <v>81</v>
      </c>
      <c r="F95" s="3" t="s">
        <v>34</v>
      </c>
      <c r="G95" s="3" t="s">
        <v>42</v>
      </c>
      <c r="H95" s="3" t="s">
        <v>34</v>
      </c>
      <c r="I95" s="8" t="s">
        <v>270</v>
      </c>
      <c r="J95" s="10" t="s">
        <v>787</v>
      </c>
      <c r="K95" s="8" t="s">
        <v>788</v>
      </c>
      <c r="L95" s="8" t="s">
        <v>789</v>
      </c>
      <c r="M95" s="3" t="s">
        <v>510</v>
      </c>
    </row>
    <row r="96">
      <c r="A96" s="3" t="s">
        <v>271</v>
      </c>
      <c r="B96" s="3">
        <v>2013.0</v>
      </c>
      <c r="C96" s="3" t="str">
        <f t="shared" si="1"/>
        <v>10.1111/jbi.12013</v>
      </c>
      <c r="D96" s="3" t="s">
        <v>183</v>
      </c>
      <c r="E96" s="3" t="s">
        <v>67</v>
      </c>
      <c r="F96" s="3" t="s">
        <v>41</v>
      </c>
      <c r="G96" s="3" t="s">
        <v>42</v>
      </c>
      <c r="H96" s="3" t="s">
        <v>63</v>
      </c>
      <c r="I96" s="8" t="s">
        <v>272</v>
      </c>
      <c r="J96" s="10" t="s">
        <v>790</v>
      </c>
      <c r="K96" s="8" t="s">
        <v>791</v>
      </c>
      <c r="L96" s="8" t="s">
        <v>792</v>
      </c>
      <c r="M96" s="3" t="s">
        <v>510</v>
      </c>
    </row>
    <row r="97">
      <c r="A97" s="3" t="s">
        <v>273</v>
      </c>
      <c r="B97" s="3">
        <v>2014.0</v>
      </c>
      <c r="C97" s="3" t="str">
        <f t="shared" si="1"/>
        <v>10.1111/jbi.12289</v>
      </c>
      <c r="D97" s="3" t="s">
        <v>183</v>
      </c>
      <c r="E97" s="3" t="s">
        <v>33</v>
      </c>
      <c r="F97" s="3" t="s">
        <v>41</v>
      </c>
      <c r="G97" s="3" t="s">
        <v>42</v>
      </c>
      <c r="H97" s="3" t="s">
        <v>63</v>
      </c>
      <c r="I97" s="8" t="s">
        <v>274</v>
      </c>
      <c r="J97" s="10" t="s">
        <v>793</v>
      </c>
      <c r="K97" s="8" t="s">
        <v>794</v>
      </c>
      <c r="L97" s="8" t="s">
        <v>795</v>
      </c>
      <c r="M97" s="3" t="s">
        <v>510</v>
      </c>
    </row>
    <row r="98">
      <c r="A98" s="3" t="s">
        <v>275</v>
      </c>
      <c r="B98" s="3">
        <v>2008.0</v>
      </c>
      <c r="C98" s="3" t="str">
        <f t="shared" si="1"/>
        <v>10.1126/science.1162547</v>
      </c>
      <c r="D98" s="3" t="s">
        <v>50</v>
      </c>
      <c r="E98" s="3" t="s">
        <v>96</v>
      </c>
      <c r="F98" s="3" t="s">
        <v>34</v>
      </c>
      <c r="G98" s="3" t="s">
        <v>42</v>
      </c>
      <c r="H98" s="3" t="s">
        <v>43</v>
      </c>
      <c r="I98" s="8" t="s">
        <v>276</v>
      </c>
      <c r="J98" s="1" t="s">
        <v>796</v>
      </c>
      <c r="K98" s="8" t="s">
        <v>797</v>
      </c>
      <c r="L98" s="8" t="s">
        <v>798</v>
      </c>
      <c r="M98" s="3" t="s">
        <v>510</v>
      </c>
    </row>
    <row r="99">
      <c r="A99" s="3" t="s">
        <v>277</v>
      </c>
      <c r="B99" s="3">
        <v>2010.0</v>
      </c>
      <c r="C99" s="3" t="str">
        <f t="shared" si="1"/>
        <v>10.1126/science.1184695</v>
      </c>
      <c r="D99" s="3" t="s">
        <v>77</v>
      </c>
      <c r="E99" s="3" t="s">
        <v>40</v>
      </c>
      <c r="F99" s="3" t="s">
        <v>41</v>
      </c>
      <c r="G99" s="3" t="s">
        <v>68</v>
      </c>
      <c r="H99" s="3" t="s">
        <v>34</v>
      </c>
      <c r="I99" s="8" t="s">
        <v>278</v>
      </c>
      <c r="J99" s="1" t="s">
        <v>799</v>
      </c>
      <c r="K99" s="8" t="s">
        <v>800</v>
      </c>
      <c r="L99" s="8" t="s">
        <v>801</v>
      </c>
      <c r="M99" s="3" t="s">
        <v>510</v>
      </c>
    </row>
    <row r="100">
      <c r="A100" s="3" t="s">
        <v>279</v>
      </c>
      <c r="B100" s="3">
        <v>2004.0</v>
      </c>
      <c r="C100" s="3" t="str">
        <f t="shared" si="1"/>
        <v>10.1139/z04-064</v>
      </c>
      <c r="D100" s="3" t="s">
        <v>66</v>
      </c>
      <c r="E100" s="3" t="s">
        <v>33</v>
      </c>
      <c r="F100" s="3" t="s">
        <v>34</v>
      </c>
      <c r="G100" s="3" t="s">
        <v>42</v>
      </c>
      <c r="H100" s="3" t="s">
        <v>34</v>
      </c>
      <c r="I100" s="8" t="s">
        <v>280</v>
      </c>
      <c r="J100" s="10" t="s">
        <v>802</v>
      </c>
      <c r="K100" s="8" t="s">
        <v>803</v>
      </c>
      <c r="L100" s="8" t="s">
        <v>804</v>
      </c>
      <c r="M100" s="3" t="s">
        <v>510</v>
      </c>
    </row>
    <row r="101">
      <c r="A101" s="3" t="s">
        <v>281</v>
      </c>
      <c r="B101" s="3">
        <v>2007.0</v>
      </c>
      <c r="C101" s="3" t="str">
        <f t="shared" si="1"/>
        <v>10.1371/journal.pbio.0050157</v>
      </c>
      <c r="D101" s="3" t="s">
        <v>77</v>
      </c>
      <c r="E101" s="3" t="s">
        <v>81</v>
      </c>
      <c r="F101" s="3" t="s">
        <v>41</v>
      </c>
      <c r="G101" s="3" t="s">
        <v>42</v>
      </c>
      <c r="H101" s="3" t="s">
        <v>34</v>
      </c>
      <c r="I101" s="8" t="s">
        <v>282</v>
      </c>
      <c r="J101" s="1" t="s">
        <v>805</v>
      </c>
      <c r="K101" s="8" t="s">
        <v>806</v>
      </c>
      <c r="L101" s="8" t="s">
        <v>807</v>
      </c>
      <c r="M101" s="3" t="s">
        <v>510</v>
      </c>
    </row>
    <row r="102">
      <c r="A102" s="3" t="s">
        <v>283</v>
      </c>
      <c r="B102" s="3">
        <v>2008.0</v>
      </c>
      <c r="C102" s="3" t="str">
        <f t="shared" si="1"/>
        <v>10.1371/journal.pone.0001439</v>
      </c>
      <c r="D102" s="3" t="s">
        <v>32</v>
      </c>
      <c r="E102" s="3" t="s">
        <v>81</v>
      </c>
      <c r="F102" s="3" t="s">
        <v>34</v>
      </c>
      <c r="G102" s="3" t="s">
        <v>42</v>
      </c>
      <c r="H102" s="3" t="s">
        <v>43</v>
      </c>
      <c r="I102" s="8" t="s">
        <v>284</v>
      </c>
      <c r="J102" s="1" t="s">
        <v>808</v>
      </c>
      <c r="K102" s="8" t="s">
        <v>809</v>
      </c>
      <c r="L102" s="8" t="s">
        <v>810</v>
      </c>
      <c r="M102" s="3" t="s">
        <v>510</v>
      </c>
    </row>
    <row r="103">
      <c r="A103" s="3" t="s">
        <v>285</v>
      </c>
      <c r="B103" s="3">
        <v>2008.0</v>
      </c>
      <c r="C103" s="3" t="str">
        <f t="shared" si="1"/>
        <v>10.1371/journal.pone.0002502</v>
      </c>
      <c r="D103" s="3" t="s">
        <v>66</v>
      </c>
      <c r="E103" s="3" t="s">
        <v>51</v>
      </c>
      <c r="F103" s="3" t="s">
        <v>41</v>
      </c>
      <c r="G103" s="3" t="s">
        <v>42</v>
      </c>
      <c r="H103" s="3" t="s">
        <v>43</v>
      </c>
      <c r="I103" s="8" t="s">
        <v>286</v>
      </c>
      <c r="J103" s="1" t="s">
        <v>811</v>
      </c>
      <c r="K103" s="8" t="s">
        <v>812</v>
      </c>
      <c r="L103" s="8" t="s">
        <v>813</v>
      </c>
      <c r="M103" s="3" t="s">
        <v>510</v>
      </c>
    </row>
    <row r="104">
      <c r="A104" s="3" t="s">
        <v>287</v>
      </c>
      <c r="B104" s="3">
        <v>2012.0</v>
      </c>
      <c r="C104" s="3" t="str">
        <f t="shared" si="1"/>
        <v>10.1371/journal.pone.0029507</v>
      </c>
      <c r="D104" s="3" t="s">
        <v>66</v>
      </c>
      <c r="E104" s="3" t="s">
        <v>81</v>
      </c>
      <c r="F104" s="3" t="s">
        <v>34</v>
      </c>
      <c r="G104" s="3" t="s">
        <v>35</v>
      </c>
      <c r="H104" s="3" t="s">
        <v>159</v>
      </c>
      <c r="I104" s="8" t="s">
        <v>288</v>
      </c>
      <c r="J104" s="10" t="s">
        <v>814</v>
      </c>
      <c r="K104" s="8" t="s">
        <v>815</v>
      </c>
      <c r="L104" s="8" t="s">
        <v>816</v>
      </c>
      <c r="M104" s="3" t="s">
        <v>510</v>
      </c>
    </row>
    <row r="105">
      <c r="A105" s="3" t="s">
        <v>289</v>
      </c>
      <c r="B105" s="3">
        <v>2012.0</v>
      </c>
      <c r="C105" s="3" t="str">
        <f t="shared" si="1"/>
        <v>10.1371/journal.pone.0052574</v>
      </c>
      <c r="D105" s="3" t="s">
        <v>32</v>
      </c>
      <c r="E105" s="3" t="s">
        <v>56</v>
      </c>
      <c r="F105" s="3" t="s">
        <v>34</v>
      </c>
      <c r="G105" s="3" t="s">
        <v>42</v>
      </c>
      <c r="H105" s="3" t="s">
        <v>43</v>
      </c>
      <c r="I105" s="8" t="s">
        <v>290</v>
      </c>
      <c r="J105" s="10" t="s">
        <v>817</v>
      </c>
      <c r="K105" s="8" t="s">
        <v>818</v>
      </c>
      <c r="L105" s="8" t="s">
        <v>819</v>
      </c>
      <c r="M105" s="3" t="s">
        <v>510</v>
      </c>
    </row>
    <row r="106">
      <c r="A106" s="3" t="s">
        <v>291</v>
      </c>
      <c r="B106" s="3">
        <v>2013.0</v>
      </c>
      <c r="C106" s="3" t="str">
        <f t="shared" si="1"/>
        <v>10.1371/journal.pone.0054216</v>
      </c>
      <c r="D106" s="3" t="s">
        <v>183</v>
      </c>
      <c r="E106" s="3" t="s">
        <v>67</v>
      </c>
      <c r="F106" s="3" t="s">
        <v>34</v>
      </c>
      <c r="G106" s="3" t="s">
        <v>42</v>
      </c>
      <c r="H106" s="3" t="s">
        <v>63</v>
      </c>
      <c r="I106" s="8" t="s">
        <v>292</v>
      </c>
      <c r="J106" s="10" t="s">
        <v>820</v>
      </c>
      <c r="K106" s="8" t="s">
        <v>821</v>
      </c>
      <c r="L106" s="8" t="s">
        <v>822</v>
      </c>
      <c r="M106" s="3" t="s">
        <v>510</v>
      </c>
    </row>
    <row r="107">
      <c r="A107" s="3" t="s">
        <v>293</v>
      </c>
      <c r="B107" s="3">
        <v>2013.0</v>
      </c>
      <c r="C107" s="3" t="str">
        <f t="shared" si="1"/>
        <v>10.1371/journal.pone.0063883</v>
      </c>
      <c r="D107" s="3" t="s">
        <v>66</v>
      </c>
      <c r="E107" s="3" t="s">
        <v>67</v>
      </c>
      <c r="F107" s="3" t="s">
        <v>34</v>
      </c>
      <c r="G107" s="3" t="s">
        <v>35</v>
      </c>
      <c r="H107" s="3" t="s">
        <v>159</v>
      </c>
      <c r="I107" s="8" t="s">
        <v>294</v>
      </c>
      <c r="J107" s="10" t="s">
        <v>823</v>
      </c>
      <c r="K107" s="8" t="s">
        <v>824</v>
      </c>
      <c r="L107" s="8" t="s">
        <v>825</v>
      </c>
      <c r="M107" s="3" t="s">
        <v>510</v>
      </c>
    </row>
    <row r="108">
      <c r="A108" s="3" t="s">
        <v>295</v>
      </c>
      <c r="B108" s="3">
        <v>2013.0</v>
      </c>
      <c r="C108" s="3" t="str">
        <f t="shared" si="1"/>
        <v>10.1371/journal.pone.0065427</v>
      </c>
      <c r="D108" s="3" t="s">
        <v>77</v>
      </c>
      <c r="E108" s="3" t="s">
        <v>296</v>
      </c>
      <c r="F108" s="3" t="s">
        <v>41</v>
      </c>
      <c r="G108" s="3" t="s">
        <v>35</v>
      </c>
      <c r="H108" s="3" t="s">
        <v>159</v>
      </c>
      <c r="I108" s="8" t="s">
        <v>297</v>
      </c>
      <c r="J108" s="10" t="s">
        <v>826</v>
      </c>
      <c r="K108" s="8" t="s">
        <v>827</v>
      </c>
      <c r="L108" s="8" t="s">
        <v>828</v>
      </c>
      <c r="M108" s="3" t="s">
        <v>510</v>
      </c>
    </row>
    <row r="109">
      <c r="A109" s="3" t="s">
        <v>298</v>
      </c>
      <c r="B109" s="3">
        <v>2013.0</v>
      </c>
      <c r="C109" s="3" t="str">
        <f t="shared" si="1"/>
        <v>10.1371/journal.pone.0080531</v>
      </c>
      <c r="D109" s="3" t="s">
        <v>32</v>
      </c>
      <c r="E109" s="3" t="s">
        <v>33</v>
      </c>
      <c r="F109" s="3" t="s">
        <v>41</v>
      </c>
      <c r="G109" s="3" t="s">
        <v>42</v>
      </c>
      <c r="H109" s="3" t="s">
        <v>63</v>
      </c>
      <c r="I109" s="8" t="s">
        <v>299</v>
      </c>
      <c r="J109" s="10" t="s">
        <v>829</v>
      </c>
      <c r="K109" s="8" t="s">
        <v>830</v>
      </c>
      <c r="L109" s="8" t="s">
        <v>831</v>
      </c>
      <c r="M109" s="3" t="s">
        <v>510</v>
      </c>
    </row>
    <row r="110">
      <c r="A110" s="3" t="s">
        <v>300</v>
      </c>
      <c r="B110" s="3">
        <v>2008.0</v>
      </c>
      <c r="C110" s="3" t="str">
        <f t="shared" si="1"/>
        <v>10.1890/06-0546.1</v>
      </c>
      <c r="D110" s="3" t="s">
        <v>301</v>
      </c>
      <c r="E110" s="3" t="s">
        <v>56</v>
      </c>
      <c r="F110" s="3" t="s">
        <v>41</v>
      </c>
      <c r="G110" s="3" t="s">
        <v>35</v>
      </c>
      <c r="H110" s="3" t="s">
        <v>159</v>
      </c>
      <c r="I110" s="8" t="s">
        <v>302</v>
      </c>
      <c r="J110" s="1" t="s">
        <v>832</v>
      </c>
      <c r="K110" s="8" t="s">
        <v>833</v>
      </c>
      <c r="L110" s="8" t="s">
        <v>834</v>
      </c>
      <c r="M110" s="3" t="s">
        <v>510</v>
      </c>
    </row>
    <row r="111">
      <c r="A111" s="3" t="s">
        <v>303</v>
      </c>
      <c r="B111" s="3">
        <v>2008.0</v>
      </c>
      <c r="C111" s="3" t="str">
        <f t="shared" si="1"/>
        <v>10.1890/07-1748.1</v>
      </c>
      <c r="D111" s="3" t="s">
        <v>32</v>
      </c>
      <c r="E111" s="3" t="s">
        <v>96</v>
      </c>
      <c r="F111" s="3" t="s">
        <v>34</v>
      </c>
      <c r="G111" s="3" t="s">
        <v>42</v>
      </c>
      <c r="H111" s="3" t="s">
        <v>43</v>
      </c>
      <c r="I111" s="8" t="s">
        <v>304</v>
      </c>
      <c r="J111" s="1" t="s">
        <v>835</v>
      </c>
      <c r="K111" s="8" t="s">
        <v>836</v>
      </c>
      <c r="L111" s="8" t="s">
        <v>837</v>
      </c>
      <c r="M111" s="3" t="s">
        <v>510</v>
      </c>
    </row>
    <row r="112">
      <c r="A112" s="3" t="s">
        <v>305</v>
      </c>
      <c r="B112" s="3">
        <v>2009.0</v>
      </c>
      <c r="C112" s="3" t="str">
        <f t="shared" si="1"/>
        <v>10.1890/08-0134.1</v>
      </c>
      <c r="D112" s="3" t="s">
        <v>66</v>
      </c>
      <c r="E112" s="3" t="s">
        <v>51</v>
      </c>
      <c r="F112" s="3" t="s">
        <v>41</v>
      </c>
      <c r="G112" s="3" t="s">
        <v>237</v>
      </c>
      <c r="H112" s="3" t="s">
        <v>306</v>
      </c>
      <c r="I112" s="8" t="s">
        <v>307</v>
      </c>
      <c r="J112" s="1" t="s">
        <v>838</v>
      </c>
      <c r="K112" s="8" t="s">
        <v>839</v>
      </c>
      <c r="L112" s="8" t="s">
        <v>840</v>
      </c>
      <c r="M112" s="3" t="s">
        <v>510</v>
      </c>
    </row>
    <row r="113">
      <c r="A113" s="3" t="s">
        <v>308</v>
      </c>
      <c r="B113" s="3">
        <v>1995.0</v>
      </c>
      <c r="C113" s="3" t="str">
        <f t="shared" si="1"/>
        <v>10.2307/2845830</v>
      </c>
      <c r="D113" s="3" t="s">
        <v>32</v>
      </c>
      <c r="E113" s="3" t="s">
        <v>51</v>
      </c>
      <c r="F113" s="3" t="s">
        <v>34</v>
      </c>
      <c r="G113" s="3" t="s">
        <v>42</v>
      </c>
      <c r="H113" s="3" t="s">
        <v>63</v>
      </c>
      <c r="I113" s="8" t="s">
        <v>309</v>
      </c>
      <c r="J113" s="10" t="s">
        <v>841</v>
      </c>
      <c r="K113" s="8" t="s">
        <v>842</v>
      </c>
      <c r="L113" s="8" t="s">
        <v>843</v>
      </c>
      <c r="M113" s="3" t="s">
        <v>510</v>
      </c>
    </row>
    <row r="114">
      <c r="A114" s="3" t="s">
        <v>310</v>
      </c>
      <c r="B114" s="3">
        <v>1996.0</v>
      </c>
      <c r="C114" s="3" t="str">
        <f t="shared" si="1"/>
        <v>10.2307/2997467</v>
      </c>
      <c r="D114" s="3" t="s">
        <v>71</v>
      </c>
      <c r="E114" s="3" t="s">
        <v>51</v>
      </c>
      <c r="F114" s="3" t="s">
        <v>41</v>
      </c>
      <c r="G114" s="3" t="s">
        <v>42</v>
      </c>
      <c r="H114" s="3" t="s">
        <v>34</v>
      </c>
      <c r="I114" s="8" t="s">
        <v>311</v>
      </c>
      <c r="J114" s="10" t="s">
        <v>844</v>
      </c>
      <c r="K114" s="8" t="s">
        <v>845</v>
      </c>
      <c r="L114" s="8" t="s">
        <v>846</v>
      </c>
      <c r="M114" s="3" t="s">
        <v>510</v>
      </c>
    </row>
    <row r="115">
      <c r="A115" s="3" t="s">
        <v>312</v>
      </c>
      <c r="B115" s="3">
        <v>2004.0</v>
      </c>
      <c r="C115" s="3" t="str">
        <f t="shared" si="1"/>
        <v>10.2989/00306520409485458</v>
      </c>
      <c r="D115" s="3" t="s">
        <v>39</v>
      </c>
      <c r="E115" s="3" t="s">
        <v>81</v>
      </c>
      <c r="F115" s="3" t="s">
        <v>34</v>
      </c>
      <c r="G115" s="3" t="s">
        <v>42</v>
      </c>
      <c r="H115" s="3" t="s">
        <v>43</v>
      </c>
      <c r="I115" s="8" t="s">
        <v>313</v>
      </c>
      <c r="J115" s="10" t="s">
        <v>847</v>
      </c>
      <c r="K115" s="8" t="s">
        <v>848</v>
      </c>
      <c r="L115" s="8" t="s">
        <v>849</v>
      </c>
      <c r="M115" s="3" t="s">
        <v>510</v>
      </c>
    </row>
    <row r="116">
      <c r="A116" s="3" t="s">
        <v>314</v>
      </c>
      <c r="B116" s="3">
        <v>2008.0</v>
      </c>
      <c r="C116" s="3" t="str">
        <f t="shared" si="1"/>
        <v>10.3170/2008-7-18348</v>
      </c>
      <c r="D116" s="3" t="s">
        <v>32</v>
      </c>
      <c r="E116" s="3" t="s">
        <v>51</v>
      </c>
      <c r="F116" s="3" t="s">
        <v>34</v>
      </c>
      <c r="G116" s="3" t="s">
        <v>42</v>
      </c>
      <c r="H116" s="3" t="s">
        <v>43</v>
      </c>
      <c r="I116" s="8" t="s">
        <v>315</v>
      </c>
      <c r="J116" s="1" t="s">
        <v>850</v>
      </c>
      <c r="K116" s="8" t="s">
        <v>851</v>
      </c>
      <c r="L116" s="8" t="s">
        <v>852</v>
      </c>
      <c r="M116" s="3" t="s">
        <v>510</v>
      </c>
    </row>
    <row r="117">
      <c r="A117" s="3" t="s">
        <v>316</v>
      </c>
      <c r="B117" s="3">
        <v>1996.0</v>
      </c>
      <c r="C117" s="3" t="str">
        <f t="shared" si="1"/>
        <v>10.4319/lo.1996.41.5.1109</v>
      </c>
      <c r="D117" s="3" t="s">
        <v>66</v>
      </c>
      <c r="E117" s="3" t="s">
        <v>67</v>
      </c>
      <c r="F117" s="3" t="s">
        <v>34</v>
      </c>
      <c r="G117" s="3" t="s">
        <v>68</v>
      </c>
      <c r="H117" s="3" t="s">
        <v>63</v>
      </c>
      <c r="I117" s="8" t="s">
        <v>317</v>
      </c>
      <c r="J117" s="10" t="s">
        <v>853</v>
      </c>
      <c r="K117" s="8" t="s">
        <v>854</v>
      </c>
      <c r="L117" s="8" t="s">
        <v>855</v>
      </c>
      <c r="M117" s="3" t="s">
        <v>510</v>
      </c>
    </row>
    <row r="118">
      <c r="A118" s="3" t="s">
        <v>318</v>
      </c>
      <c r="B118" s="3">
        <v>2005.0</v>
      </c>
      <c r="C118" s="3" t="str">
        <f t="shared" si="1"/>
        <v/>
      </c>
      <c r="D118" s="3" t="s">
        <v>39</v>
      </c>
      <c r="E118" s="3" t="s">
        <v>51</v>
      </c>
      <c r="F118" s="3" t="s">
        <v>34</v>
      </c>
      <c r="G118" s="3" t="s">
        <v>42</v>
      </c>
      <c r="H118" s="3" t="s">
        <v>43</v>
      </c>
      <c r="I118" s="8" t="s">
        <v>319</v>
      </c>
      <c r="M118" s="3" t="s">
        <v>510</v>
      </c>
    </row>
    <row r="119">
      <c r="A119" s="3" t="s">
        <v>320</v>
      </c>
      <c r="B119" s="3">
        <v>2012.0</v>
      </c>
      <c r="C119" s="3" t="str">
        <f t="shared" si="1"/>
        <v/>
      </c>
      <c r="D119" s="3" t="s">
        <v>32</v>
      </c>
      <c r="E119" s="3" t="s">
        <v>33</v>
      </c>
      <c r="F119" s="3" t="s">
        <v>41</v>
      </c>
      <c r="G119" s="3" t="s">
        <v>42</v>
      </c>
      <c r="H119" s="3" t="s">
        <v>63</v>
      </c>
      <c r="I119" s="8" t="s">
        <v>321</v>
      </c>
      <c r="M119" s="3" t="s">
        <v>856</v>
      </c>
    </row>
    <row r="120">
      <c r="A120" s="3" t="s">
        <v>322</v>
      </c>
      <c r="B120" s="3">
        <v>1992.0</v>
      </c>
      <c r="C120" s="3" t="str">
        <f t="shared" si="1"/>
        <v/>
      </c>
      <c r="D120" s="3" t="s">
        <v>66</v>
      </c>
      <c r="E120" s="3" t="s">
        <v>323</v>
      </c>
      <c r="F120" s="3" t="s">
        <v>41</v>
      </c>
      <c r="G120" s="3" t="s">
        <v>119</v>
      </c>
      <c r="H120" s="3" t="s">
        <v>34</v>
      </c>
      <c r="I120" s="8" t="s">
        <v>324</v>
      </c>
      <c r="M120" s="3" t="s">
        <v>856</v>
      </c>
    </row>
    <row r="121">
      <c r="A121" s="3" t="s">
        <v>325</v>
      </c>
      <c r="B121" s="3">
        <v>2000.0</v>
      </c>
      <c r="C121" s="3" t="str">
        <f t="shared" si="1"/>
        <v/>
      </c>
      <c r="D121" s="3" t="s">
        <v>301</v>
      </c>
      <c r="E121" s="3" t="s">
        <v>81</v>
      </c>
      <c r="F121" s="3" t="s">
        <v>41</v>
      </c>
      <c r="G121" s="3" t="s">
        <v>42</v>
      </c>
      <c r="H121" s="3" t="s">
        <v>63</v>
      </c>
      <c r="I121" s="8" t="s">
        <v>326</v>
      </c>
      <c r="M121" s="3" t="s">
        <v>856</v>
      </c>
    </row>
    <row r="122">
      <c r="A122" s="3" t="s">
        <v>327</v>
      </c>
      <c r="B122" s="3">
        <v>2003.0</v>
      </c>
      <c r="C122" s="3" t="str">
        <f t="shared" si="1"/>
        <v>10.1078/1617-1381-00030</v>
      </c>
      <c r="D122" s="3" t="s">
        <v>32</v>
      </c>
      <c r="E122" s="3" t="s">
        <v>328</v>
      </c>
      <c r="F122" s="3" t="s">
        <v>34</v>
      </c>
      <c r="G122" s="3" t="s">
        <v>42</v>
      </c>
      <c r="H122" s="3" t="s">
        <v>63</v>
      </c>
      <c r="I122" s="8" t="s">
        <v>329</v>
      </c>
      <c r="J122" s="10" t="s">
        <v>857</v>
      </c>
      <c r="K122" s="8" t="s">
        <v>858</v>
      </c>
      <c r="L122" s="8" t="s">
        <v>859</v>
      </c>
      <c r="M122" s="3" t="s">
        <v>860</v>
      </c>
    </row>
    <row r="123">
      <c r="A123" s="3" t="s">
        <v>330</v>
      </c>
      <c r="B123" s="3">
        <v>2003.0</v>
      </c>
      <c r="C123" s="3" t="str">
        <f t="shared" si="1"/>
        <v>10.1078/1617-1381-00036</v>
      </c>
      <c r="D123" s="3" t="s">
        <v>32</v>
      </c>
      <c r="E123" s="3" t="s">
        <v>81</v>
      </c>
      <c r="F123" s="3" t="s">
        <v>34</v>
      </c>
      <c r="G123" s="3" t="s">
        <v>42</v>
      </c>
      <c r="H123" s="3" t="s">
        <v>63</v>
      </c>
      <c r="I123" s="8" t="s">
        <v>331</v>
      </c>
      <c r="J123" s="10" t="s">
        <v>861</v>
      </c>
      <c r="K123" s="8" t="s">
        <v>862</v>
      </c>
      <c r="L123" s="8" t="s">
        <v>863</v>
      </c>
      <c r="M123" s="3" t="s">
        <v>860</v>
      </c>
    </row>
    <row r="124">
      <c r="A124" s="3" t="s">
        <v>332</v>
      </c>
      <c r="B124" s="3">
        <v>2000.0</v>
      </c>
      <c r="C124" s="3" t="str">
        <f t="shared" si="1"/>
        <v>10.1127/phyto/30/2000/353</v>
      </c>
      <c r="D124" s="3" t="s">
        <v>32</v>
      </c>
      <c r="E124" s="3" t="s">
        <v>51</v>
      </c>
      <c r="F124" s="3" t="s">
        <v>34</v>
      </c>
      <c r="G124" s="3" t="s">
        <v>42</v>
      </c>
      <c r="H124" s="3" t="s">
        <v>63</v>
      </c>
      <c r="I124" s="8" t="s">
        <v>333</v>
      </c>
      <c r="J124" s="10" t="s">
        <v>864</v>
      </c>
      <c r="K124" s="8" t="s">
        <v>865</v>
      </c>
      <c r="L124" s="8" t="s">
        <v>866</v>
      </c>
      <c r="M124" s="3" t="s">
        <v>860</v>
      </c>
    </row>
    <row r="125">
      <c r="A125" s="3" t="s">
        <v>334</v>
      </c>
      <c r="B125" s="3">
        <v>2003.0</v>
      </c>
      <c r="C125" s="3" t="str">
        <f t="shared" si="1"/>
        <v>10.1590/S1676-06032003000200005</v>
      </c>
      <c r="D125" s="3" t="s">
        <v>50</v>
      </c>
      <c r="E125" s="3" t="s">
        <v>51</v>
      </c>
      <c r="F125" s="3" t="s">
        <v>41</v>
      </c>
      <c r="G125" s="3" t="s">
        <v>42</v>
      </c>
      <c r="H125" s="3" t="s">
        <v>63</v>
      </c>
      <c r="I125" s="8" t="s">
        <v>335</v>
      </c>
      <c r="J125" s="1" t="s">
        <v>867</v>
      </c>
      <c r="K125" s="8" t="s">
        <v>868</v>
      </c>
      <c r="L125" s="8" t="s">
        <v>869</v>
      </c>
      <c r="M125" s="3" t="s">
        <v>860</v>
      </c>
    </row>
    <row r="126">
      <c r="A126" s="3" t="s">
        <v>336</v>
      </c>
      <c r="B126" s="3">
        <v>2001.0</v>
      </c>
      <c r="C126" s="3" t="str">
        <f t="shared" si="1"/>
        <v>10.1641/0006-3568(2001)051%5b0363:PSIUEN%5d2.0.CO;2</v>
      </c>
      <c r="D126" s="3" t="s">
        <v>66</v>
      </c>
      <c r="E126" s="3" t="s">
        <v>81</v>
      </c>
      <c r="F126" s="3" t="s">
        <v>34</v>
      </c>
      <c r="G126" s="3" t="s">
        <v>42</v>
      </c>
      <c r="H126" s="3" t="s">
        <v>63</v>
      </c>
      <c r="I126" s="8" t="s">
        <v>337</v>
      </c>
      <c r="J126" s="10" t="s">
        <v>870</v>
      </c>
      <c r="K126" s="8" t="s">
        <v>871</v>
      </c>
      <c r="L126" s="8" t="s">
        <v>872</v>
      </c>
      <c r="M126" s="3" t="s">
        <v>860</v>
      </c>
    </row>
    <row r="127">
      <c r="A127" s="3" t="s">
        <v>338</v>
      </c>
      <c r="B127" s="3">
        <v>2006.0</v>
      </c>
      <c r="C127" s="3" t="str">
        <f t="shared" si="1"/>
        <v>10.1650/0010-5422(2006)108%5b778:CCEONM%5d2.0.CO;2</v>
      </c>
      <c r="D127" s="3" t="s">
        <v>50</v>
      </c>
      <c r="E127" s="3" t="s">
        <v>81</v>
      </c>
      <c r="F127" s="3" t="s">
        <v>41</v>
      </c>
      <c r="G127" s="3" t="s">
        <v>42</v>
      </c>
      <c r="H127" s="3" t="s">
        <v>34</v>
      </c>
      <c r="I127" s="8" t="s">
        <v>339</v>
      </c>
      <c r="J127" s="10" t="s">
        <v>873</v>
      </c>
      <c r="K127" s="8" t="s">
        <v>874</v>
      </c>
      <c r="L127" s="8" t="s">
        <v>875</v>
      </c>
      <c r="M127" s="3" t="s">
        <v>860</v>
      </c>
    </row>
    <row r="128">
      <c r="A128" s="3" t="s">
        <v>340</v>
      </c>
      <c r="B128" s="3">
        <v>2003.0</v>
      </c>
      <c r="C128" s="3" t="str">
        <f t="shared" si="1"/>
        <v>10.1657/1523-0430(2003)035%5b0248:CEOAPB%5d2.0.CO;2</v>
      </c>
      <c r="D128" s="3" t="s">
        <v>341</v>
      </c>
      <c r="E128" s="3" t="s">
        <v>51</v>
      </c>
      <c r="F128" s="3" t="s">
        <v>41</v>
      </c>
      <c r="G128" s="3" t="s">
        <v>119</v>
      </c>
      <c r="H128" s="3" t="s">
        <v>63</v>
      </c>
      <c r="I128" s="8" t="s">
        <v>342</v>
      </c>
      <c r="J128" s="10" t="s">
        <v>876</v>
      </c>
      <c r="K128" s="8" t="s">
        <v>877</v>
      </c>
      <c r="L128" s="8" t="s">
        <v>878</v>
      </c>
      <c r="M128" s="3" t="s">
        <v>860</v>
      </c>
    </row>
    <row r="129">
      <c r="A129" s="3" t="s">
        <v>343</v>
      </c>
      <c r="B129" s="3">
        <v>1998.0</v>
      </c>
      <c r="C129" s="3" t="str">
        <f t="shared" si="1"/>
        <v>10.1890/0012-9615(1998)068%5b0465:PAOTSF%5d2.0.CO;2</v>
      </c>
      <c r="D129" s="3" t="s">
        <v>66</v>
      </c>
      <c r="E129" s="3" t="s">
        <v>51</v>
      </c>
      <c r="F129" s="3" t="s">
        <v>34</v>
      </c>
      <c r="G129" s="3" t="s">
        <v>42</v>
      </c>
      <c r="H129" s="3" t="s">
        <v>63</v>
      </c>
      <c r="I129" s="8" t="s">
        <v>344</v>
      </c>
      <c r="J129" s="10" t="s">
        <v>879</v>
      </c>
      <c r="K129" s="8" t="s">
        <v>880</v>
      </c>
      <c r="L129" s="8" t="s">
        <v>881</v>
      </c>
      <c r="M129" s="3" t="s">
        <v>860</v>
      </c>
    </row>
    <row r="130">
      <c r="A130" s="3" t="s">
        <v>345</v>
      </c>
      <c r="B130" s="3">
        <v>2006.0</v>
      </c>
      <c r="C130" s="3" t="str">
        <f t="shared" si="1"/>
        <v>10.1890/0012-9658(2006)87%5b1611:PEAARO%5d2.0.CO;2</v>
      </c>
      <c r="D130" s="3" t="s">
        <v>66</v>
      </c>
      <c r="E130" s="3" t="s">
        <v>346</v>
      </c>
      <c r="F130" s="3" t="s">
        <v>34</v>
      </c>
      <c r="G130" s="3" t="s">
        <v>42</v>
      </c>
      <c r="H130" s="3" t="s">
        <v>34</v>
      </c>
      <c r="I130" s="8" t="s">
        <v>347</v>
      </c>
      <c r="J130" s="1" t="s">
        <v>882</v>
      </c>
      <c r="K130" s="8" t="s">
        <v>883</v>
      </c>
      <c r="L130" s="8" t="s">
        <v>884</v>
      </c>
      <c r="M130" s="3" t="s">
        <v>860</v>
      </c>
    </row>
    <row r="131">
      <c r="A131" s="3" t="s">
        <v>348</v>
      </c>
      <c r="B131" s="3">
        <v>2008.0</v>
      </c>
      <c r="C131" s="3" t="str">
        <f t="shared" si="1"/>
        <v>10.3897/biorisk.1</v>
      </c>
      <c r="D131" s="3" t="s">
        <v>32</v>
      </c>
      <c r="E131" s="3" t="s">
        <v>33</v>
      </c>
      <c r="F131" s="3" t="s">
        <v>34</v>
      </c>
      <c r="G131" s="3" t="s">
        <v>42</v>
      </c>
      <c r="H131" s="3" t="s">
        <v>43</v>
      </c>
      <c r="I131" s="8" t="s">
        <v>349</v>
      </c>
      <c r="J131" s="1" t="s">
        <v>885</v>
      </c>
      <c r="K131" s="8" t="s">
        <v>886</v>
      </c>
      <c r="L131" s="8" t="s">
        <v>887</v>
      </c>
      <c r="M131" s="3" t="s">
        <v>860</v>
      </c>
    </row>
    <row r="132">
      <c r="A132" s="3" t="s">
        <v>350</v>
      </c>
      <c r="B132" s="3">
        <v>2006.0</v>
      </c>
      <c r="C132" s="3" t="str">
        <f t="shared" si="1"/>
        <v>10.5751/ES-01818-110225</v>
      </c>
      <c r="D132" s="3" t="s">
        <v>77</v>
      </c>
      <c r="E132" s="3" t="s">
        <v>51</v>
      </c>
      <c r="F132" s="3" t="s">
        <v>41</v>
      </c>
      <c r="G132" s="3" t="s">
        <v>119</v>
      </c>
      <c r="H132" s="3" t="s">
        <v>78</v>
      </c>
      <c r="I132" s="8" t="s">
        <v>351</v>
      </c>
      <c r="J132" s="1" t="s">
        <v>888</v>
      </c>
      <c r="K132" s="8" t="s">
        <v>889</v>
      </c>
      <c r="L132" s="8" t="s">
        <v>890</v>
      </c>
      <c r="M132" s="3" t="s">
        <v>860</v>
      </c>
    </row>
    <row r="135">
      <c r="A135" s="9"/>
    </row>
  </sheetData>
  <autoFilter ref="$A$1:$M$132">
    <sortState ref="A1:M132">
      <sortCondition descending="1" ref="M1:M132"/>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22"/>
    <hyperlink r:id="rId118" ref="J123"/>
    <hyperlink r:id="rId119" ref="J124"/>
    <hyperlink r:id="rId120" ref="J125"/>
    <hyperlink r:id="rId121" ref="J126"/>
    <hyperlink r:id="rId122" ref="J127"/>
    <hyperlink r:id="rId123" ref="J128"/>
    <hyperlink r:id="rId124" ref="J129"/>
    <hyperlink r:id="rId125" ref="J130"/>
    <hyperlink r:id="rId126" ref="J131"/>
    <hyperlink r:id="rId127" ref="J132"/>
  </hyperlinks>
  <drawing r:id="rId1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0" width="8.0"/>
    <col customWidth="1" min="71" max="71" width="20.0"/>
    <col customWidth="1" min="72" max="72" width="26.13"/>
    <col customWidth="1" min="73" max="74" width="15.38"/>
    <col customWidth="1" min="75" max="75" width="27.13"/>
    <col customWidth="1" min="76" max="76" width="22.75"/>
    <col customWidth="1" min="77" max="78" width="16.38"/>
    <col customWidth="1" min="79" max="79" width="27.38"/>
  </cols>
  <sheetData>
    <row r="1" ht="12.75" customHeight="1">
      <c r="A1" s="8" t="s">
        <v>891</v>
      </c>
      <c r="B1" s="8" t="s">
        <v>23</v>
      </c>
      <c r="C1" s="8" t="s">
        <v>892</v>
      </c>
      <c r="D1" s="8" t="s">
        <v>893</v>
      </c>
      <c r="E1" s="8" t="s">
        <v>894</v>
      </c>
      <c r="F1" s="8" t="s">
        <v>895</v>
      </c>
      <c r="G1" s="8" t="s">
        <v>896</v>
      </c>
      <c r="H1" s="8" t="s">
        <v>897</v>
      </c>
      <c r="I1" s="8" t="s">
        <v>898</v>
      </c>
      <c r="J1" s="8" t="s">
        <v>899</v>
      </c>
      <c r="K1" s="8" t="s">
        <v>900</v>
      </c>
      <c r="L1" s="8" t="s">
        <v>901</v>
      </c>
      <c r="M1" s="8" t="s">
        <v>902</v>
      </c>
      <c r="N1" s="8" t="s">
        <v>903</v>
      </c>
      <c r="O1" s="8" t="s">
        <v>904</v>
      </c>
      <c r="P1" s="8" t="s">
        <v>905</v>
      </c>
      <c r="Q1" s="8" t="s">
        <v>906</v>
      </c>
      <c r="R1" s="8" t="s">
        <v>907</v>
      </c>
      <c r="S1" s="8" t="s">
        <v>908</v>
      </c>
      <c r="T1" s="8" t="s">
        <v>909</v>
      </c>
      <c r="U1" s="8" t="s">
        <v>910</v>
      </c>
      <c r="V1" s="8" t="s">
        <v>911</v>
      </c>
      <c r="W1" s="8" t="s">
        <v>912</v>
      </c>
      <c r="X1" s="8" t="s">
        <v>913</v>
      </c>
      <c r="Y1" s="8" t="s">
        <v>914</v>
      </c>
      <c r="Z1" s="8" t="s">
        <v>915</v>
      </c>
      <c r="AA1" s="8" t="s">
        <v>916</v>
      </c>
      <c r="AB1" s="8" t="s">
        <v>917</v>
      </c>
      <c r="AC1" s="8" t="s">
        <v>918</v>
      </c>
      <c r="AD1" s="8" t="s">
        <v>919</v>
      </c>
      <c r="AE1" s="8" t="s">
        <v>920</v>
      </c>
      <c r="AF1" s="8" t="s">
        <v>921</v>
      </c>
      <c r="AG1" s="8" t="s">
        <v>922</v>
      </c>
      <c r="AH1" s="8" t="s">
        <v>923</v>
      </c>
      <c r="AI1" s="8" t="s">
        <v>924</v>
      </c>
      <c r="AJ1" s="8" t="s">
        <v>925</v>
      </c>
      <c r="AK1" s="8" t="s">
        <v>926</v>
      </c>
      <c r="AL1" s="8" t="s">
        <v>927</v>
      </c>
      <c r="AM1" s="8" t="s">
        <v>928</v>
      </c>
      <c r="AN1" s="8" t="s">
        <v>929</v>
      </c>
      <c r="AO1" s="8" t="s">
        <v>930</v>
      </c>
      <c r="AP1" s="8" t="s">
        <v>931</v>
      </c>
      <c r="AQ1" s="8" t="s">
        <v>932</v>
      </c>
      <c r="AR1" s="8" t="s">
        <v>933</v>
      </c>
      <c r="AS1" s="8" t="s">
        <v>934</v>
      </c>
      <c r="AT1" s="8" t="s">
        <v>935</v>
      </c>
      <c r="AU1" s="8" t="s">
        <v>936</v>
      </c>
      <c r="AV1" s="8" t="s">
        <v>937</v>
      </c>
      <c r="AW1" s="8" t="s">
        <v>938</v>
      </c>
      <c r="AX1" s="8" t="s">
        <v>939</v>
      </c>
      <c r="AY1" s="8" t="s">
        <v>940</v>
      </c>
      <c r="AZ1" s="8" t="s">
        <v>941</v>
      </c>
      <c r="BA1" s="8" t="s">
        <v>942</v>
      </c>
      <c r="BB1" s="8" t="s">
        <v>943</v>
      </c>
      <c r="BC1" s="8" t="s">
        <v>944</v>
      </c>
      <c r="BD1" s="8" t="s">
        <v>945</v>
      </c>
      <c r="BE1" s="8" t="s">
        <v>503</v>
      </c>
      <c r="BF1" s="8" t="s">
        <v>946</v>
      </c>
      <c r="BG1" s="8" t="s">
        <v>947</v>
      </c>
      <c r="BH1" s="8" t="s">
        <v>948</v>
      </c>
      <c r="BI1" s="8" t="s">
        <v>949</v>
      </c>
      <c r="BJ1" s="8" t="s">
        <v>950</v>
      </c>
      <c r="BK1" s="8" t="s">
        <v>951</v>
      </c>
      <c r="BL1" s="8" t="s">
        <v>952</v>
      </c>
      <c r="BM1" s="8" t="s">
        <v>953</v>
      </c>
      <c r="BN1" s="8" t="s">
        <v>954</v>
      </c>
      <c r="BO1" s="8" t="s">
        <v>955</v>
      </c>
      <c r="BP1" s="8" t="s">
        <v>956</v>
      </c>
      <c r="BQ1" s="8" t="s">
        <v>957</v>
      </c>
      <c r="BR1" s="8" t="s">
        <v>958</v>
      </c>
      <c r="BS1" s="8" t="s">
        <v>959</v>
      </c>
      <c r="BT1" s="11" t="s">
        <v>960</v>
      </c>
      <c r="BU1" s="11" t="s">
        <v>961</v>
      </c>
      <c r="BV1" s="11" t="s">
        <v>962</v>
      </c>
      <c r="BW1" s="12" t="s">
        <v>26</v>
      </c>
      <c r="BX1" s="11" t="s">
        <v>963</v>
      </c>
      <c r="BY1" s="11" t="s">
        <v>964</v>
      </c>
      <c r="BZ1" s="11" t="s">
        <v>965</v>
      </c>
      <c r="CA1" s="8" t="s">
        <v>966</v>
      </c>
    </row>
    <row r="2" ht="12.75" customHeight="1">
      <c r="A2" s="8" t="s">
        <v>967</v>
      </c>
      <c r="B2" s="8" t="s">
        <v>968</v>
      </c>
      <c r="C2" s="8" t="s">
        <v>969</v>
      </c>
      <c r="D2" s="8" t="s">
        <v>969</v>
      </c>
      <c r="E2" s="8" t="s">
        <v>969</v>
      </c>
      <c r="F2" s="8" t="s">
        <v>968</v>
      </c>
      <c r="G2" s="8" t="s">
        <v>969</v>
      </c>
      <c r="H2" s="8" t="s">
        <v>969</v>
      </c>
      <c r="I2" s="8" t="s">
        <v>970</v>
      </c>
      <c r="J2" s="8" t="s">
        <v>971</v>
      </c>
      <c r="K2" s="8" t="s">
        <v>969</v>
      </c>
      <c r="L2" s="8" t="s">
        <v>969</v>
      </c>
      <c r="M2" s="8" t="s">
        <v>972</v>
      </c>
      <c r="N2" s="8" t="s">
        <v>973</v>
      </c>
      <c r="O2" s="8" t="s">
        <v>969</v>
      </c>
      <c r="P2" s="8" t="s">
        <v>969</v>
      </c>
      <c r="Q2" s="8" t="s">
        <v>969</v>
      </c>
      <c r="R2" s="8" t="s">
        <v>969</v>
      </c>
      <c r="S2" s="8" t="s">
        <v>969</v>
      </c>
      <c r="T2" s="8" t="s">
        <v>974</v>
      </c>
      <c r="U2" s="8" t="s">
        <v>975</v>
      </c>
      <c r="V2" s="8" t="s">
        <v>976</v>
      </c>
      <c r="W2" s="8" t="s">
        <v>977</v>
      </c>
      <c r="X2" s="8" t="s">
        <v>978</v>
      </c>
      <c r="Y2" s="8" t="s">
        <v>979</v>
      </c>
      <c r="Z2" s="8" t="s">
        <v>969</v>
      </c>
      <c r="AA2" s="8" t="s">
        <v>969</v>
      </c>
      <c r="AB2" s="8" t="s">
        <v>969</v>
      </c>
      <c r="AC2" s="8" t="s">
        <v>969</v>
      </c>
      <c r="AD2" s="8" t="s">
        <v>969</v>
      </c>
      <c r="AE2" s="8" t="s">
        <v>969</v>
      </c>
      <c r="AF2" s="8" t="s">
        <v>969</v>
      </c>
      <c r="AG2" s="8">
        <v>38.0</v>
      </c>
      <c r="AH2" s="8">
        <v>28.0</v>
      </c>
      <c r="AI2" s="8">
        <v>35.0</v>
      </c>
      <c r="AJ2" s="8">
        <v>0.0</v>
      </c>
      <c r="AK2" s="8">
        <v>44.0</v>
      </c>
      <c r="AL2" s="8" t="s">
        <v>980</v>
      </c>
      <c r="AM2" s="8" t="s">
        <v>981</v>
      </c>
      <c r="AN2" s="8" t="s">
        <v>982</v>
      </c>
      <c r="AO2" s="8" t="s">
        <v>983</v>
      </c>
      <c r="AP2" s="8" t="s">
        <v>969</v>
      </c>
      <c r="AQ2" s="8" t="s">
        <v>969</v>
      </c>
      <c r="AR2" s="8" t="s">
        <v>984</v>
      </c>
      <c r="AS2" s="8" t="s">
        <v>985</v>
      </c>
      <c r="AT2" s="8" t="s">
        <v>986</v>
      </c>
      <c r="AU2" s="8">
        <v>1997.0</v>
      </c>
      <c r="AV2" s="8">
        <v>3.0</v>
      </c>
      <c r="AW2" s="8">
        <v>6.0</v>
      </c>
      <c r="AX2" s="8" t="s">
        <v>969</v>
      </c>
      <c r="AY2" s="8" t="s">
        <v>969</v>
      </c>
      <c r="AZ2" s="8" t="s">
        <v>969</v>
      </c>
      <c r="BA2" s="8" t="s">
        <v>969</v>
      </c>
      <c r="BB2" s="8">
        <v>531.0</v>
      </c>
      <c r="BC2" s="8">
        <v>544.0</v>
      </c>
      <c r="BD2" s="8" t="s">
        <v>969</v>
      </c>
      <c r="BE2" s="8" t="s">
        <v>605</v>
      </c>
      <c r="BF2" s="13" t="str">
        <f>HYPERLINK("http://dx.doi.org/10.1046/j.1365-2486.1997.00093.x","http://dx.doi.org/10.1046/j.1365-2486.1997.00093.x")</f>
        <v>http://dx.doi.org/10.1046/j.1365-2486.1997.00093.x</v>
      </c>
      <c r="BG2" s="8" t="s">
        <v>969</v>
      </c>
      <c r="BH2" s="8" t="s">
        <v>969</v>
      </c>
      <c r="BI2" s="8">
        <v>14.0</v>
      </c>
      <c r="BJ2" s="8" t="s">
        <v>987</v>
      </c>
      <c r="BK2" s="8" t="s">
        <v>988</v>
      </c>
      <c r="BL2" s="8" t="s">
        <v>989</v>
      </c>
      <c r="BM2" s="8" t="s">
        <v>990</v>
      </c>
      <c r="BN2" s="8" t="s">
        <v>969</v>
      </c>
      <c r="BO2" s="8" t="s">
        <v>969</v>
      </c>
      <c r="BP2" s="8" t="s">
        <v>969</v>
      </c>
      <c r="BQ2" s="8" t="s">
        <v>969</v>
      </c>
      <c r="BR2" s="8" t="s">
        <v>991</v>
      </c>
      <c r="BS2" s="8" t="s">
        <v>992</v>
      </c>
      <c r="BT2" s="8" t="s">
        <v>993</v>
      </c>
      <c r="BU2" s="8" t="s">
        <v>994</v>
      </c>
      <c r="BW2" s="8" t="s">
        <v>56</v>
      </c>
      <c r="BX2" s="8" t="s">
        <v>995</v>
      </c>
      <c r="BY2" s="8" t="s">
        <v>996</v>
      </c>
      <c r="BZ2" s="8" t="s">
        <v>997</v>
      </c>
      <c r="CA2" s="8" t="str">
        <f>HYPERLINK("https%3A%2F%2Fwww.webofscience.com%2Fwos%2Fwoscc%2Ffull-record%2FWOS:000071220600007","View Full Record in Web of Science")</f>
        <v>View Full Record in Web of Science</v>
      </c>
    </row>
    <row r="3" ht="12.75" customHeight="1">
      <c r="A3" s="8" t="s">
        <v>967</v>
      </c>
      <c r="B3" s="8" t="s">
        <v>998</v>
      </c>
      <c r="C3" s="8" t="s">
        <v>969</v>
      </c>
      <c r="D3" s="8" t="s">
        <v>969</v>
      </c>
      <c r="E3" s="8" t="s">
        <v>969</v>
      </c>
      <c r="F3" s="8" t="s">
        <v>998</v>
      </c>
      <c r="G3" s="8" t="s">
        <v>969</v>
      </c>
      <c r="H3" s="8" t="s">
        <v>969</v>
      </c>
      <c r="I3" s="8" t="s">
        <v>999</v>
      </c>
      <c r="J3" s="8" t="s">
        <v>1000</v>
      </c>
      <c r="K3" s="8" t="s">
        <v>969</v>
      </c>
      <c r="L3" s="8" t="s">
        <v>969</v>
      </c>
      <c r="M3" s="8" t="s">
        <v>972</v>
      </c>
      <c r="N3" s="8" t="s">
        <v>973</v>
      </c>
      <c r="O3" s="8" t="s">
        <v>969</v>
      </c>
      <c r="P3" s="8" t="s">
        <v>969</v>
      </c>
      <c r="Q3" s="8" t="s">
        <v>969</v>
      </c>
      <c r="R3" s="8" t="s">
        <v>969</v>
      </c>
      <c r="S3" s="8" t="s">
        <v>969</v>
      </c>
      <c r="T3" s="8" t="s">
        <v>1001</v>
      </c>
      <c r="U3" s="8" t="s">
        <v>1002</v>
      </c>
      <c r="V3" s="8" t="s">
        <v>1003</v>
      </c>
      <c r="W3" s="8" t="s">
        <v>1004</v>
      </c>
      <c r="X3" s="8" t="s">
        <v>1005</v>
      </c>
      <c r="Y3" s="8" t="s">
        <v>1006</v>
      </c>
      <c r="Z3" s="8" t="s">
        <v>1007</v>
      </c>
      <c r="AA3" s="8" t="s">
        <v>1008</v>
      </c>
      <c r="AB3" s="8" t="s">
        <v>1009</v>
      </c>
      <c r="AC3" s="8" t="s">
        <v>969</v>
      </c>
      <c r="AD3" s="8" t="s">
        <v>969</v>
      </c>
      <c r="AE3" s="8" t="s">
        <v>969</v>
      </c>
      <c r="AF3" s="8" t="s">
        <v>969</v>
      </c>
      <c r="AG3" s="8">
        <v>93.0</v>
      </c>
      <c r="AH3" s="8">
        <v>55.0</v>
      </c>
      <c r="AI3" s="8">
        <v>60.0</v>
      </c>
      <c r="AJ3" s="8">
        <v>1.0</v>
      </c>
      <c r="AK3" s="8">
        <v>30.0</v>
      </c>
      <c r="AL3" s="8" t="s">
        <v>1010</v>
      </c>
      <c r="AM3" s="8" t="s">
        <v>1011</v>
      </c>
      <c r="AN3" s="8" t="s">
        <v>1012</v>
      </c>
      <c r="AO3" s="8" t="s">
        <v>1013</v>
      </c>
      <c r="AP3" s="8" t="s">
        <v>969</v>
      </c>
      <c r="AQ3" s="8" t="s">
        <v>969</v>
      </c>
      <c r="AR3" s="8" t="s">
        <v>1014</v>
      </c>
      <c r="AS3" s="8" t="s">
        <v>1015</v>
      </c>
      <c r="AT3" s="8" t="s">
        <v>1016</v>
      </c>
      <c r="AU3" s="8">
        <v>1998.0</v>
      </c>
      <c r="AV3" s="8">
        <v>25.0</v>
      </c>
      <c r="AW3" s="8">
        <v>1.0</v>
      </c>
      <c r="AX3" s="8" t="s">
        <v>969</v>
      </c>
      <c r="AY3" s="8" t="s">
        <v>969</v>
      </c>
      <c r="AZ3" s="8" t="s">
        <v>969</v>
      </c>
      <c r="BA3" s="8" t="s">
        <v>969</v>
      </c>
      <c r="BB3" s="8">
        <v>111.0</v>
      </c>
      <c r="BC3" s="8">
        <v>122.0</v>
      </c>
      <c r="BD3" s="8" t="s">
        <v>969</v>
      </c>
      <c r="BE3" s="8" t="s">
        <v>620</v>
      </c>
      <c r="BF3" s="13" t="str">
        <f>HYPERLINK("http://dx.doi.org/10.1046/j.1365-2699.1998.251192.x","http://dx.doi.org/10.1046/j.1365-2699.1998.251192.x")</f>
        <v>http://dx.doi.org/10.1046/j.1365-2699.1998.251192.x</v>
      </c>
      <c r="BG3" s="8" t="s">
        <v>969</v>
      </c>
      <c r="BH3" s="8" t="s">
        <v>969</v>
      </c>
      <c r="BI3" s="8">
        <v>12.0</v>
      </c>
      <c r="BJ3" s="8" t="s">
        <v>1017</v>
      </c>
      <c r="BK3" s="8" t="s">
        <v>988</v>
      </c>
      <c r="BL3" s="8" t="s">
        <v>1018</v>
      </c>
      <c r="BM3" s="8" t="s">
        <v>1019</v>
      </c>
      <c r="BN3" s="8" t="s">
        <v>969</v>
      </c>
      <c r="BO3" s="8" t="s">
        <v>969</v>
      </c>
      <c r="BP3" s="8" t="s">
        <v>969</v>
      </c>
      <c r="BQ3" s="8" t="s">
        <v>969</v>
      </c>
      <c r="BR3" s="8" t="s">
        <v>991</v>
      </c>
      <c r="BS3" s="8" t="s">
        <v>1020</v>
      </c>
      <c r="BT3" s="8" t="s">
        <v>1021</v>
      </c>
      <c r="BW3" s="8" t="s">
        <v>51</v>
      </c>
      <c r="BX3" s="8" t="s">
        <v>1022</v>
      </c>
      <c r="CA3" s="8" t="str">
        <f>HYPERLINK("https%3A%2F%2Fwww.webofscience.com%2Fwos%2Fwoscc%2Ffull-record%2FWOS:000073382800011","View Full Record in Web of Science")</f>
        <v>View Full Record in Web of Science</v>
      </c>
    </row>
    <row r="4" ht="12.75" customHeight="1">
      <c r="A4" s="8" t="s">
        <v>967</v>
      </c>
      <c r="B4" s="8" t="s">
        <v>1023</v>
      </c>
      <c r="C4" s="8" t="s">
        <v>969</v>
      </c>
      <c r="D4" s="8" t="s">
        <v>969</v>
      </c>
      <c r="E4" s="8" t="s">
        <v>969</v>
      </c>
      <c r="F4" s="8" t="s">
        <v>1023</v>
      </c>
      <c r="G4" s="8" t="s">
        <v>969</v>
      </c>
      <c r="H4" s="8" t="s">
        <v>969</v>
      </c>
      <c r="I4" s="8" t="s">
        <v>1024</v>
      </c>
      <c r="J4" s="8" t="s">
        <v>1025</v>
      </c>
      <c r="K4" s="8" t="s">
        <v>969</v>
      </c>
      <c r="L4" s="8" t="s">
        <v>969</v>
      </c>
      <c r="M4" s="8" t="s">
        <v>972</v>
      </c>
      <c r="N4" s="8" t="s">
        <v>973</v>
      </c>
      <c r="O4" s="8" t="s">
        <v>969</v>
      </c>
      <c r="P4" s="8" t="s">
        <v>969</v>
      </c>
      <c r="Q4" s="8" t="s">
        <v>969</v>
      </c>
      <c r="R4" s="8" t="s">
        <v>969</v>
      </c>
      <c r="S4" s="8" t="s">
        <v>969</v>
      </c>
      <c r="T4" s="8" t="s">
        <v>969</v>
      </c>
      <c r="U4" s="8" t="s">
        <v>1026</v>
      </c>
      <c r="V4" s="8" t="s">
        <v>1027</v>
      </c>
      <c r="W4" s="8" t="s">
        <v>1028</v>
      </c>
      <c r="X4" s="8" t="s">
        <v>1029</v>
      </c>
      <c r="Y4" s="8" t="s">
        <v>1030</v>
      </c>
      <c r="Z4" s="8" t="s">
        <v>969</v>
      </c>
      <c r="AA4" s="8" t="s">
        <v>969</v>
      </c>
      <c r="AB4" s="8" t="s">
        <v>969</v>
      </c>
      <c r="AC4" s="8" t="s">
        <v>969</v>
      </c>
      <c r="AD4" s="8" t="s">
        <v>969</v>
      </c>
      <c r="AE4" s="8" t="s">
        <v>969</v>
      </c>
      <c r="AF4" s="8" t="s">
        <v>969</v>
      </c>
      <c r="AG4" s="8">
        <v>71.0</v>
      </c>
      <c r="AH4" s="8">
        <v>54.0</v>
      </c>
      <c r="AI4" s="8">
        <v>60.0</v>
      </c>
      <c r="AJ4" s="8">
        <v>0.0</v>
      </c>
      <c r="AK4" s="8">
        <v>11.0</v>
      </c>
      <c r="AL4" s="8" t="s">
        <v>1031</v>
      </c>
      <c r="AM4" s="8" t="s">
        <v>1032</v>
      </c>
      <c r="AN4" s="8" t="s">
        <v>1033</v>
      </c>
      <c r="AO4" s="8" t="s">
        <v>1034</v>
      </c>
      <c r="AP4" s="8" t="s">
        <v>969</v>
      </c>
      <c r="AQ4" s="8" t="s">
        <v>969</v>
      </c>
      <c r="AR4" s="8" t="s">
        <v>1025</v>
      </c>
      <c r="AS4" s="8" t="s">
        <v>1035</v>
      </c>
      <c r="AT4" s="8" t="s">
        <v>1036</v>
      </c>
      <c r="AU4" s="8">
        <v>1999.0</v>
      </c>
      <c r="AV4" s="8">
        <v>41.0</v>
      </c>
      <c r="AW4" s="8">
        <v>2.0</v>
      </c>
      <c r="AX4" s="8" t="s">
        <v>969</v>
      </c>
      <c r="AY4" s="8" t="s">
        <v>969</v>
      </c>
      <c r="AZ4" s="8" t="s">
        <v>969</v>
      </c>
      <c r="BA4" s="8" t="s">
        <v>969</v>
      </c>
      <c r="BB4" s="8">
        <v>213.0</v>
      </c>
      <c r="BC4" s="8">
        <v>248.0</v>
      </c>
      <c r="BD4" s="8" t="s">
        <v>969</v>
      </c>
      <c r="BE4" s="8" t="s">
        <v>584</v>
      </c>
      <c r="BF4" s="13" t="str">
        <f>HYPERLINK("http://dx.doi.org/10.1023/A:1005483507351","http://dx.doi.org/10.1023/A:1005483507351")</f>
        <v>http://dx.doi.org/10.1023/A:1005483507351</v>
      </c>
      <c r="BG4" s="8" t="s">
        <v>969</v>
      </c>
      <c r="BH4" s="8" t="s">
        <v>969</v>
      </c>
      <c r="BI4" s="8">
        <v>36.0</v>
      </c>
      <c r="BJ4" s="8" t="s">
        <v>1037</v>
      </c>
      <c r="BK4" s="8" t="s">
        <v>988</v>
      </c>
      <c r="BL4" s="8" t="s">
        <v>1038</v>
      </c>
      <c r="BM4" s="8" t="s">
        <v>1039</v>
      </c>
      <c r="BN4" s="8" t="s">
        <v>969</v>
      </c>
      <c r="BO4" s="8" t="s">
        <v>969</v>
      </c>
      <c r="BP4" s="8" t="s">
        <v>969</v>
      </c>
      <c r="BQ4" s="8" t="s">
        <v>969</v>
      </c>
      <c r="BR4" s="8" t="s">
        <v>991</v>
      </c>
      <c r="BS4" s="8" t="s">
        <v>1040</v>
      </c>
      <c r="BT4" s="8" t="s">
        <v>993</v>
      </c>
      <c r="BU4" s="8" t="s">
        <v>994</v>
      </c>
      <c r="BW4" s="8" t="s">
        <v>51</v>
      </c>
      <c r="BX4" s="8" t="s">
        <v>1022</v>
      </c>
      <c r="CA4" s="8" t="str">
        <f>HYPERLINK("https%3A%2F%2Fwww.webofscience.com%2Fwos%2Fwoscc%2Ffull-record%2FWOS:000078751700005","View Full Record in Web of Science")</f>
        <v>View Full Record in Web of Science</v>
      </c>
    </row>
    <row r="5" ht="12.75" customHeight="1">
      <c r="A5" s="8" t="s">
        <v>967</v>
      </c>
      <c r="B5" s="8" t="s">
        <v>1041</v>
      </c>
      <c r="C5" s="8" t="s">
        <v>969</v>
      </c>
      <c r="D5" s="8" t="s">
        <v>969</v>
      </c>
      <c r="E5" s="8" t="s">
        <v>969</v>
      </c>
      <c r="F5" s="8" t="s">
        <v>1041</v>
      </c>
      <c r="G5" s="8" t="s">
        <v>969</v>
      </c>
      <c r="H5" s="8" t="s">
        <v>969</v>
      </c>
      <c r="I5" s="8" t="s">
        <v>1042</v>
      </c>
      <c r="J5" s="8" t="s">
        <v>1043</v>
      </c>
      <c r="K5" s="8" t="s">
        <v>969</v>
      </c>
      <c r="L5" s="8" t="s">
        <v>969</v>
      </c>
      <c r="M5" s="8" t="s">
        <v>972</v>
      </c>
      <c r="N5" s="8" t="s">
        <v>973</v>
      </c>
      <c r="O5" s="8" t="s">
        <v>969</v>
      </c>
      <c r="P5" s="8" t="s">
        <v>969</v>
      </c>
      <c r="Q5" s="8" t="s">
        <v>969</v>
      </c>
      <c r="R5" s="8" t="s">
        <v>969</v>
      </c>
      <c r="S5" s="8" t="s">
        <v>969</v>
      </c>
      <c r="T5" s="8" t="s">
        <v>1044</v>
      </c>
      <c r="U5" s="8" t="s">
        <v>1045</v>
      </c>
      <c r="V5" s="8" t="s">
        <v>1046</v>
      </c>
      <c r="W5" s="8" t="s">
        <v>1047</v>
      </c>
      <c r="X5" s="8" t="s">
        <v>1048</v>
      </c>
      <c r="Y5" s="8" t="s">
        <v>1049</v>
      </c>
      <c r="Z5" s="8" t="s">
        <v>969</v>
      </c>
      <c r="AA5" s="8" t="s">
        <v>1050</v>
      </c>
      <c r="AB5" s="8" t="s">
        <v>1051</v>
      </c>
      <c r="AC5" s="8" t="s">
        <v>969</v>
      </c>
      <c r="AD5" s="8" t="s">
        <v>969</v>
      </c>
      <c r="AE5" s="8" t="s">
        <v>969</v>
      </c>
      <c r="AF5" s="8" t="s">
        <v>969</v>
      </c>
      <c r="AG5" s="8">
        <v>72.0</v>
      </c>
      <c r="AH5" s="8">
        <v>261.0</v>
      </c>
      <c r="AI5" s="8">
        <v>312.0</v>
      </c>
      <c r="AJ5" s="8">
        <v>1.0</v>
      </c>
      <c r="AK5" s="8">
        <v>159.0</v>
      </c>
      <c r="AL5" s="8" t="s">
        <v>980</v>
      </c>
      <c r="AM5" s="8" t="s">
        <v>981</v>
      </c>
      <c r="AN5" s="8" t="s">
        <v>982</v>
      </c>
      <c r="AO5" s="8" t="s">
        <v>1052</v>
      </c>
      <c r="AP5" s="8" t="s">
        <v>969</v>
      </c>
      <c r="AQ5" s="8" t="s">
        <v>969</v>
      </c>
      <c r="AR5" s="8" t="s">
        <v>1053</v>
      </c>
      <c r="AS5" s="8" t="s">
        <v>1054</v>
      </c>
      <c r="AT5" s="8" t="s">
        <v>1055</v>
      </c>
      <c r="AU5" s="8">
        <v>2001.0</v>
      </c>
      <c r="AV5" s="8">
        <v>70.0</v>
      </c>
      <c r="AW5" s="8">
        <v>2.0</v>
      </c>
      <c r="AX5" s="8" t="s">
        <v>969</v>
      </c>
      <c r="AY5" s="8" t="s">
        <v>969</v>
      </c>
      <c r="AZ5" s="8" t="s">
        <v>969</v>
      </c>
      <c r="BA5" s="8" t="s">
        <v>969</v>
      </c>
      <c r="BB5" s="8">
        <v>201.0</v>
      </c>
      <c r="BC5" s="8">
        <v>217.0</v>
      </c>
      <c r="BD5" s="8" t="s">
        <v>969</v>
      </c>
      <c r="BE5" s="8" t="s">
        <v>617</v>
      </c>
      <c r="BF5" s="13" t="str">
        <f>HYPERLINK("http://dx.doi.org/10.1046/j.1365-2656.2001.00480.x","http://dx.doi.org/10.1046/j.1365-2656.2001.00480.x")</f>
        <v>http://dx.doi.org/10.1046/j.1365-2656.2001.00480.x</v>
      </c>
      <c r="BG5" s="8" t="s">
        <v>969</v>
      </c>
      <c r="BH5" s="8" t="s">
        <v>969</v>
      </c>
      <c r="BI5" s="8">
        <v>17.0</v>
      </c>
      <c r="BJ5" s="8" t="s">
        <v>1056</v>
      </c>
      <c r="BK5" s="8" t="s">
        <v>988</v>
      </c>
      <c r="BL5" s="8" t="s">
        <v>1057</v>
      </c>
      <c r="BM5" s="8" t="s">
        <v>1058</v>
      </c>
      <c r="BN5" s="8" t="s">
        <v>969</v>
      </c>
      <c r="BO5" s="8" t="s">
        <v>969</v>
      </c>
      <c r="BP5" s="8" t="s">
        <v>969</v>
      </c>
      <c r="BQ5" s="8" t="s">
        <v>969</v>
      </c>
      <c r="BR5" s="8" t="s">
        <v>991</v>
      </c>
      <c r="BS5" s="8" t="s">
        <v>1059</v>
      </c>
      <c r="BT5" s="8" t="s">
        <v>1021</v>
      </c>
      <c r="BW5" s="8" t="s">
        <v>33</v>
      </c>
      <c r="BX5" s="8" t="s">
        <v>995</v>
      </c>
      <c r="CA5" s="8" t="str">
        <f>HYPERLINK("https%3A%2F%2Fwww.webofscience.com%2Fwos%2Fwoscc%2Ffull-record%2FWOS:000169014300004","View Full Record in Web of Science")</f>
        <v>View Full Record in Web of Science</v>
      </c>
    </row>
    <row r="6" ht="12.75" customHeight="1">
      <c r="A6" s="8" t="s">
        <v>967</v>
      </c>
      <c r="B6" s="8" t="s">
        <v>1060</v>
      </c>
      <c r="C6" s="8" t="s">
        <v>969</v>
      </c>
      <c r="D6" s="8" t="s">
        <v>969</v>
      </c>
      <c r="E6" s="8" t="s">
        <v>969</v>
      </c>
      <c r="F6" s="8" t="s">
        <v>1060</v>
      </c>
      <c r="G6" s="8" t="s">
        <v>969</v>
      </c>
      <c r="H6" s="8" t="s">
        <v>969</v>
      </c>
      <c r="I6" s="8" t="s">
        <v>1061</v>
      </c>
      <c r="J6" s="8" t="s">
        <v>1062</v>
      </c>
      <c r="K6" s="8" t="s">
        <v>969</v>
      </c>
      <c r="L6" s="8" t="s">
        <v>969</v>
      </c>
      <c r="M6" s="8" t="s">
        <v>972</v>
      </c>
      <c r="N6" s="8" t="s">
        <v>973</v>
      </c>
      <c r="O6" s="8" t="s">
        <v>969</v>
      </c>
      <c r="P6" s="8" t="s">
        <v>969</v>
      </c>
      <c r="Q6" s="8" t="s">
        <v>969</v>
      </c>
      <c r="R6" s="8" t="s">
        <v>969</v>
      </c>
      <c r="S6" s="8" t="s">
        <v>969</v>
      </c>
      <c r="T6" s="8" t="s">
        <v>969</v>
      </c>
      <c r="U6" s="8" t="s">
        <v>1063</v>
      </c>
      <c r="V6" s="8" t="s">
        <v>1064</v>
      </c>
      <c r="W6" s="8" t="s">
        <v>1065</v>
      </c>
      <c r="X6" s="8" t="s">
        <v>1066</v>
      </c>
      <c r="Y6" s="8" t="s">
        <v>1067</v>
      </c>
      <c r="Z6" s="8" t="s">
        <v>969</v>
      </c>
      <c r="AA6" s="8" t="s">
        <v>1068</v>
      </c>
      <c r="AB6" s="8" t="s">
        <v>1069</v>
      </c>
      <c r="AC6" s="8" t="s">
        <v>969</v>
      </c>
      <c r="AD6" s="8" t="s">
        <v>969</v>
      </c>
      <c r="AE6" s="8" t="s">
        <v>969</v>
      </c>
      <c r="AF6" s="8" t="s">
        <v>969</v>
      </c>
      <c r="AG6" s="8">
        <v>29.0</v>
      </c>
      <c r="AH6" s="8">
        <v>655.0</v>
      </c>
      <c r="AI6" s="8">
        <v>792.0</v>
      </c>
      <c r="AJ6" s="8">
        <v>1.0</v>
      </c>
      <c r="AK6" s="8">
        <v>206.0</v>
      </c>
      <c r="AL6" s="8" t="s">
        <v>1070</v>
      </c>
      <c r="AM6" s="8" t="s">
        <v>1071</v>
      </c>
      <c r="AN6" s="8" t="s">
        <v>1072</v>
      </c>
      <c r="AO6" s="8" t="s">
        <v>1073</v>
      </c>
      <c r="AP6" s="8" t="s">
        <v>969</v>
      </c>
      <c r="AQ6" s="8" t="s">
        <v>969</v>
      </c>
      <c r="AR6" s="8" t="s">
        <v>1062</v>
      </c>
      <c r="AS6" s="8" t="s">
        <v>1074</v>
      </c>
      <c r="AT6" s="8" t="s">
        <v>1075</v>
      </c>
      <c r="AU6" s="8">
        <v>2002.0</v>
      </c>
      <c r="AV6" s="8">
        <v>416.0</v>
      </c>
      <c r="AW6" s="8">
        <v>6881.0</v>
      </c>
      <c r="AX6" s="8" t="s">
        <v>969</v>
      </c>
      <c r="AY6" s="8" t="s">
        <v>969</v>
      </c>
      <c r="AZ6" s="8" t="s">
        <v>969</v>
      </c>
      <c r="BA6" s="8" t="s">
        <v>969</v>
      </c>
      <c r="BB6" s="8">
        <v>626.0</v>
      </c>
      <c r="BC6" s="8">
        <v>629.0</v>
      </c>
      <c r="BD6" s="8" t="s">
        <v>969</v>
      </c>
      <c r="BE6" s="8" t="s">
        <v>590</v>
      </c>
      <c r="BF6" s="13" t="str">
        <f>HYPERLINK("http://dx.doi.org/10.1038/416626a","http://dx.doi.org/10.1038/416626a")</f>
        <v>http://dx.doi.org/10.1038/416626a</v>
      </c>
      <c r="BG6" s="8" t="s">
        <v>969</v>
      </c>
      <c r="BH6" s="8" t="s">
        <v>969</v>
      </c>
      <c r="BI6" s="8">
        <v>5.0</v>
      </c>
      <c r="BJ6" s="8" t="s">
        <v>1076</v>
      </c>
      <c r="BK6" s="8" t="s">
        <v>988</v>
      </c>
      <c r="BL6" s="8" t="s">
        <v>1077</v>
      </c>
      <c r="BM6" s="8" t="s">
        <v>1078</v>
      </c>
      <c r="BN6" s="8">
        <v>1.1948349E7</v>
      </c>
      <c r="BO6" s="8" t="s">
        <v>969</v>
      </c>
      <c r="BP6" s="8" t="s">
        <v>969</v>
      </c>
      <c r="BQ6" s="8" t="s">
        <v>969</v>
      </c>
      <c r="BR6" s="8" t="s">
        <v>991</v>
      </c>
      <c r="BS6" s="8" t="s">
        <v>1079</v>
      </c>
      <c r="BT6" s="8" t="s">
        <v>993</v>
      </c>
      <c r="BU6" s="8" t="s">
        <v>994</v>
      </c>
      <c r="BW6" s="8" t="s">
        <v>114</v>
      </c>
      <c r="BX6" s="8" t="s">
        <v>995</v>
      </c>
      <c r="BY6" s="8" t="s">
        <v>996</v>
      </c>
      <c r="BZ6" s="8" t="s">
        <v>997</v>
      </c>
      <c r="CA6" s="8" t="str">
        <f>HYPERLINK("https%3A%2F%2Fwww.webofscience.com%2Fwos%2Fwoscc%2Ffull-record%2FWOS:000174901900041","View Full Record in Web of Science")</f>
        <v>View Full Record in Web of Science</v>
      </c>
    </row>
    <row r="7" ht="12.75" customHeight="1">
      <c r="A7" s="8" t="s">
        <v>967</v>
      </c>
      <c r="B7" s="8" t="s">
        <v>1080</v>
      </c>
      <c r="C7" s="8" t="s">
        <v>969</v>
      </c>
      <c r="D7" s="8" t="s">
        <v>969</v>
      </c>
      <c r="E7" s="8" t="s">
        <v>969</v>
      </c>
      <c r="F7" s="8" t="s">
        <v>1080</v>
      </c>
      <c r="G7" s="8" t="s">
        <v>969</v>
      </c>
      <c r="H7" s="8" t="s">
        <v>969</v>
      </c>
      <c r="I7" s="8" t="s">
        <v>1081</v>
      </c>
      <c r="J7" s="8" t="s">
        <v>971</v>
      </c>
      <c r="K7" s="8" t="s">
        <v>969</v>
      </c>
      <c r="L7" s="8" t="s">
        <v>969</v>
      </c>
      <c r="M7" s="8" t="s">
        <v>972</v>
      </c>
      <c r="N7" s="8" t="s">
        <v>973</v>
      </c>
      <c r="O7" s="8" t="s">
        <v>969</v>
      </c>
      <c r="P7" s="8" t="s">
        <v>969</v>
      </c>
      <c r="Q7" s="8" t="s">
        <v>969</v>
      </c>
      <c r="R7" s="8" t="s">
        <v>969</v>
      </c>
      <c r="S7" s="8" t="s">
        <v>969</v>
      </c>
      <c r="T7" s="8" t="s">
        <v>1082</v>
      </c>
      <c r="U7" s="8" t="s">
        <v>1083</v>
      </c>
      <c r="V7" s="8" t="s">
        <v>1084</v>
      </c>
      <c r="W7" s="8" t="s">
        <v>1085</v>
      </c>
      <c r="X7" s="8" t="s">
        <v>1086</v>
      </c>
      <c r="Y7" s="8" t="s">
        <v>1087</v>
      </c>
      <c r="Z7" s="8" t="s">
        <v>1088</v>
      </c>
      <c r="AA7" s="8" t="s">
        <v>1089</v>
      </c>
      <c r="AB7" s="8" t="s">
        <v>1090</v>
      </c>
      <c r="AC7" s="8" t="s">
        <v>969</v>
      </c>
      <c r="AD7" s="8" t="s">
        <v>969</v>
      </c>
      <c r="AE7" s="8" t="s">
        <v>969</v>
      </c>
      <c r="AF7" s="8" t="s">
        <v>969</v>
      </c>
      <c r="AG7" s="8">
        <v>96.0</v>
      </c>
      <c r="AH7" s="8">
        <v>233.0</v>
      </c>
      <c r="AI7" s="8">
        <v>294.0</v>
      </c>
      <c r="AJ7" s="8">
        <v>1.0</v>
      </c>
      <c r="AK7" s="8">
        <v>89.0</v>
      </c>
      <c r="AL7" s="8" t="s">
        <v>1091</v>
      </c>
      <c r="AM7" s="8" t="s">
        <v>1092</v>
      </c>
      <c r="AN7" s="8" t="s">
        <v>1093</v>
      </c>
      <c r="AO7" s="8" t="s">
        <v>983</v>
      </c>
      <c r="AP7" s="8" t="s">
        <v>1094</v>
      </c>
      <c r="AQ7" s="8" t="s">
        <v>969</v>
      </c>
      <c r="AR7" s="8" t="s">
        <v>1095</v>
      </c>
      <c r="AS7" s="8" t="s">
        <v>985</v>
      </c>
      <c r="AT7" s="8" t="s">
        <v>1096</v>
      </c>
      <c r="AU7" s="8">
        <v>2002.0</v>
      </c>
      <c r="AV7" s="8">
        <v>8.0</v>
      </c>
      <c r="AW7" s="8">
        <v>7.0</v>
      </c>
      <c r="AX7" s="8" t="s">
        <v>969</v>
      </c>
      <c r="AY7" s="8" t="s">
        <v>969</v>
      </c>
      <c r="AZ7" s="8" t="s">
        <v>969</v>
      </c>
      <c r="BA7" s="8" t="s">
        <v>969</v>
      </c>
      <c r="BB7" s="8">
        <v>679.0</v>
      </c>
      <c r="BC7" s="8">
        <v>693.0</v>
      </c>
      <c r="BD7" s="8" t="s">
        <v>969</v>
      </c>
      <c r="BE7" s="8" t="s">
        <v>611</v>
      </c>
      <c r="BF7" s="13" t="str">
        <f>HYPERLINK("http://dx.doi.org/10.1046/j.1365-2486.2002.00502.x","http://dx.doi.org/10.1046/j.1365-2486.2002.00502.x")</f>
        <v>http://dx.doi.org/10.1046/j.1365-2486.2002.00502.x</v>
      </c>
      <c r="BG7" s="8" t="s">
        <v>969</v>
      </c>
      <c r="BH7" s="8" t="s">
        <v>969</v>
      </c>
      <c r="BI7" s="8">
        <v>15.0</v>
      </c>
      <c r="BJ7" s="8" t="s">
        <v>987</v>
      </c>
      <c r="BK7" s="8" t="s">
        <v>988</v>
      </c>
      <c r="BL7" s="8" t="s">
        <v>989</v>
      </c>
      <c r="BM7" s="8" t="s">
        <v>1097</v>
      </c>
      <c r="BN7" s="8" t="s">
        <v>969</v>
      </c>
      <c r="BO7" s="8" t="s">
        <v>969</v>
      </c>
      <c r="BP7" s="8" t="s">
        <v>969</v>
      </c>
      <c r="BQ7" s="8" t="s">
        <v>969</v>
      </c>
      <c r="BR7" s="8" t="s">
        <v>991</v>
      </c>
      <c r="BS7" s="8" t="s">
        <v>1098</v>
      </c>
      <c r="BT7" s="8" t="s">
        <v>1099</v>
      </c>
      <c r="BW7" s="8" t="s">
        <v>135</v>
      </c>
      <c r="BX7" s="8" t="s">
        <v>995</v>
      </c>
      <c r="CA7" s="8" t="str">
        <f>HYPERLINK("https%3A%2F%2Fwww.webofscience.com%2Fwos%2Fwoscc%2Ffull-record%2FWOS:000176055800007","View Full Record in Web of Science")</f>
        <v>View Full Record in Web of Science</v>
      </c>
    </row>
    <row r="8" ht="12.75" customHeight="1">
      <c r="A8" s="8" t="s">
        <v>967</v>
      </c>
      <c r="B8" s="8" t="s">
        <v>1100</v>
      </c>
      <c r="C8" s="8" t="s">
        <v>969</v>
      </c>
      <c r="D8" s="8" t="s">
        <v>969</v>
      </c>
      <c r="E8" s="8" t="s">
        <v>969</v>
      </c>
      <c r="F8" s="8" t="s">
        <v>1100</v>
      </c>
      <c r="G8" s="8" t="s">
        <v>969</v>
      </c>
      <c r="H8" s="8" t="s">
        <v>969</v>
      </c>
      <c r="I8" s="8" t="s">
        <v>1101</v>
      </c>
      <c r="J8" s="8" t="s">
        <v>971</v>
      </c>
      <c r="K8" s="8" t="s">
        <v>969</v>
      </c>
      <c r="L8" s="8" t="s">
        <v>969</v>
      </c>
      <c r="M8" s="8" t="s">
        <v>972</v>
      </c>
      <c r="N8" s="8" t="s">
        <v>973</v>
      </c>
      <c r="O8" s="8" t="s">
        <v>969</v>
      </c>
      <c r="P8" s="8" t="s">
        <v>969</v>
      </c>
      <c r="Q8" s="8" t="s">
        <v>969</v>
      </c>
      <c r="R8" s="8" t="s">
        <v>969</v>
      </c>
      <c r="S8" s="8" t="s">
        <v>969</v>
      </c>
      <c r="T8" s="8" t="s">
        <v>1102</v>
      </c>
      <c r="U8" s="8" t="s">
        <v>1103</v>
      </c>
      <c r="V8" s="8" t="s">
        <v>1104</v>
      </c>
      <c r="W8" s="8" t="s">
        <v>1105</v>
      </c>
      <c r="X8" s="8" t="s">
        <v>1106</v>
      </c>
      <c r="Y8" s="8" t="s">
        <v>1107</v>
      </c>
      <c r="Z8" s="8" t="s">
        <v>969</v>
      </c>
      <c r="AA8" s="8" t="s">
        <v>1108</v>
      </c>
      <c r="AB8" s="8" t="s">
        <v>1109</v>
      </c>
      <c r="AC8" s="8" t="s">
        <v>969</v>
      </c>
      <c r="AD8" s="8" t="s">
        <v>969</v>
      </c>
      <c r="AE8" s="8" t="s">
        <v>969</v>
      </c>
      <c r="AF8" s="8" t="s">
        <v>969</v>
      </c>
      <c r="AG8" s="8">
        <v>61.0</v>
      </c>
      <c r="AH8" s="8">
        <v>115.0</v>
      </c>
      <c r="AI8" s="8">
        <v>147.0</v>
      </c>
      <c r="AJ8" s="8">
        <v>1.0</v>
      </c>
      <c r="AK8" s="8">
        <v>93.0</v>
      </c>
      <c r="AL8" s="8" t="s">
        <v>1110</v>
      </c>
      <c r="AM8" s="8" t="s">
        <v>981</v>
      </c>
      <c r="AN8" s="8" t="s">
        <v>1111</v>
      </c>
      <c r="AO8" s="8" t="s">
        <v>983</v>
      </c>
      <c r="AP8" s="8" t="s">
        <v>969</v>
      </c>
      <c r="AQ8" s="8" t="s">
        <v>969</v>
      </c>
      <c r="AR8" s="8" t="s">
        <v>1095</v>
      </c>
      <c r="AS8" s="8" t="s">
        <v>985</v>
      </c>
      <c r="AT8" s="8" t="s">
        <v>1112</v>
      </c>
      <c r="AU8" s="8">
        <v>2002.0</v>
      </c>
      <c r="AV8" s="8">
        <v>8.0</v>
      </c>
      <c r="AW8" s="8">
        <v>10.0</v>
      </c>
      <c r="AX8" s="8" t="s">
        <v>969</v>
      </c>
      <c r="AY8" s="8" t="s">
        <v>969</v>
      </c>
      <c r="AZ8" s="8" t="s">
        <v>969</v>
      </c>
      <c r="BA8" s="8" t="s">
        <v>969</v>
      </c>
      <c r="BB8" s="8">
        <v>954.0</v>
      </c>
      <c r="BC8" s="8">
        <v>971.0</v>
      </c>
      <c r="BD8" s="8" t="s">
        <v>969</v>
      </c>
      <c r="BE8" s="8" t="s">
        <v>608</v>
      </c>
      <c r="BF8" s="13" t="str">
        <f>HYPERLINK("http://dx.doi.org/10.1046/j.1365-2486.2002.00490.x","http://dx.doi.org/10.1046/j.1365-2486.2002.00490.x")</f>
        <v>http://dx.doi.org/10.1046/j.1365-2486.2002.00490.x</v>
      </c>
      <c r="BG8" s="8" t="s">
        <v>969</v>
      </c>
      <c r="BH8" s="8" t="s">
        <v>969</v>
      </c>
      <c r="BI8" s="8">
        <v>18.0</v>
      </c>
      <c r="BJ8" s="8" t="s">
        <v>987</v>
      </c>
      <c r="BK8" s="8" t="s">
        <v>988</v>
      </c>
      <c r="BL8" s="8" t="s">
        <v>989</v>
      </c>
      <c r="BM8" s="8" t="s">
        <v>1113</v>
      </c>
      <c r="BN8" s="8" t="s">
        <v>969</v>
      </c>
      <c r="BO8" s="8" t="s">
        <v>969</v>
      </c>
      <c r="BP8" s="8" t="s">
        <v>969</v>
      </c>
      <c r="BQ8" s="8" t="s">
        <v>969</v>
      </c>
      <c r="BR8" s="8" t="s">
        <v>991</v>
      </c>
      <c r="BS8" s="8" t="s">
        <v>1114</v>
      </c>
      <c r="BT8" s="8" t="s">
        <v>1115</v>
      </c>
      <c r="BU8" s="8" t="s">
        <v>1116</v>
      </c>
      <c r="BV8" s="8" t="s">
        <v>1117</v>
      </c>
      <c r="BW8" s="8" t="s">
        <v>33</v>
      </c>
      <c r="BX8" s="8" t="s">
        <v>995</v>
      </c>
      <c r="CA8" s="8" t="str">
        <f>HYPERLINK("https%3A%2F%2Fwww.webofscience.com%2Fwos%2Fwoscc%2Ffull-record%2FWOS:000177853000003","View Full Record in Web of Science")</f>
        <v>View Full Record in Web of Science</v>
      </c>
    </row>
    <row r="9" ht="12.75" customHeight="1">
      <c r="A9" s="8" t="s">
        <v>967</v>
      </c>
      <c r="B9" s="8" t="s">
        <v>1118</v>
      </c>
      <c r="C9" s="8" t="s">
        <v>969</v>
      </c>
      <c r="D9" s="8" t="s">
        <v>969</v>
      </c>
      <c r="E9" s="8" t="s">
        <v>969</v>
      </c>
      <c r="F9" s="8" t="s">
        <v>1118</v>
      </c>
      <c r="G9" s="8" t="s">
        <v>969</v>
      </c>
      <c r="H9" s="8" t="s">
        <v>969</v>
      </c>
      <c r="I9" s="8" t="s">
        <v>1119</v>
      </c>
      <c r="J9" s="8" t="s">
        <v>1120</v>
      </c>
      <c r="K9" s="8" t="s">
        <v>969</v>
      </c>
      <c r="L9" s="8" t="s">
        <v>969</v>
      </c>
      <c r="M9" s="8" t="s">
        <v>972</v>
      </c>
      <c r="N9" s="8" t="s">
        <v>973</v>
      </c>
      <c r="O9" s="8" t="s">
        <v>969</v>
      </c>
      <c r="P9" s="8" t="s">
        <v>969</v>
      </c>
      <c r="Q9" s="8" t="s">
        <v>969</v>
      </c>
      <c r="R9" s="8" t="s">
        <v>969</v>
      </c>
      <c r="S9" s="8" t="s">
        <v>969</v>
      </c>
      <c r="T9" s="8" t="s">
        <v>1121</v>
      </c>
      <c r="U9" s="8" t="s">
        <v>1122</v>
      </c>
      <c r="V9" s="8" t="s">
        <v>1123</v>
      </c>
      <c r="W9" s="8" t="s">
        <v>1124</v>
      </c>
      <c r="X9" s="8" t="s">
        <v>1125</v>
      </c>
      <c r="Y9" s="8" t="s">
        <v>1126</v>
      </c>
      <c r="Z9" s="8" t="s">
        <v>1127</v>
      </c>
      <c r="AA9" s="8" t="s">
        <v>1128</v>
      </c>
      <c r="AB9" s="8" t="s">
        <v>1129</v>
      </c>
      <c r="AC9" s="8" t="s">
        <v>969</v>
      </c>
      <c r="AD9" s="8" t="s">
        <v>969</v>
      </c>
      <c r="AE9" s="8" t="s">
        <v>969</v>
      </c>
      <c r="AF9" s="8" t="s">
        <v>969</v>
      </c>
      <c r="AG9" s="8">
        <v>33.0</v>
      </c>
      <c r="AH9" s="8">
        <v>325.0</v>
      </c>
      <c r="AI9" s="8">
        <v>372.0</v>
      </c>
      <c r="AJ9" s="8">
        <v>2.0</v>
      </c>
      <c r="AK9" s="8">
        <v>156.0</v>
      </c>
      <c r="AL9" s="8" t="s">
        <v>1130</v>
      </c>
      <c r="AM9" s="8" t="s">
        <v>1071</v>
      </c>
      <c r="AN9" s="8" t="s">
        <v>1131</v>
      </c>
      <c r="AO9" s="8" t="s">
        <v>1132</v>
      </c>
      <c r="AP9" s="8" t="s">
        <v>1133</v>
      </c>
      <c r="AQ9" s="8" t="s">
        <v>969</v>
      </c>
      <c r="AR9" s="8" t="s">
        <v>1134</v>
      </c>
      <c r="AS9" s="8" t="s">
        <v>1135</v>
      </c>
      <c r="AT9" s="8" t="s">
        <v>1136</v>
      </c>
      <c r="AU9" s="8">
        <v>2002.0</v>
      </c>
      <c r="AV9" s="8">
        <v>269.0</v>
      </c>
      <c r="AW9" s="8">
        <v>1505.0</v>
      </c>
      <c r="AX9" s="8" t="s">
        <v>969</v>
      </c>
      <c r="AY9" s="8" t="s">
        <v>969</v>
      </c>
      <c r="AZ9" s="8" t="s">
        <v>969</v>
      </c>
      <c r="BA9" s="8" t="s">
        <v>969</v>
      </c>
      <c r="BB9" s="8">
        <v>2163.0</v>
      </c>
      <c r="BC9" s="8">
        <v>2171.0</v>
      </c>
      <c r="BD9" s="8" t="s">
        <v>969</v>
      </c>
      <c r="BE9" s="8" t="s">
        <v>656</v>
      </c>
      <c r="BF9" s="13" t="str">
        <f>HYPERLINK("http://dx.doi.org/10.1098/rspb.2002.2134","http://dx.doi.org/10.1098/rspb.2002.2134")</f>
        <v>http://dx.doi.org/10.1098/rspb.2002.2134</v>
      </c>
      <c r="BG9" s="8" t="s">
        <v>969</v>
      </c>
      <c r="BH9" s="8" t="s">
        <v>969</v>
      </c>
      <c r="BI9" s="8">
        <v>9.0</v>
      </c>
      <c r="BJ9" s="8" t="s">
        <v>1137</v>
      </c>
      <c r="BK9" s="8" t="s">
        <v>988</v>
      </c>
      <c r="BL9" s="8" t="s">
        <v>1138</v>
      </c>
      <c r="BM9" s="8" t="s">
        <v>1139</v>
      </c>
      <c r="BN9" s="8">
        <v>1.2396492E7</v>
      </c>
      <c r="BO9" s="8" t="s">
        <v>1140</v>
      </c>
      <c r="BP9" s="8" t="s">
        <v>969</v>
      </c>
      <c r="BQ9" s="8" t="s">
        <v>969</v>
      </c>
      <c r="BR9" s="8" t="s">
        <v>991</v>
      </c>
      <c r="BS9" s="8" t="s">
        <v>1141</v>
      </c>
      <c r="BT9" s="8" t="s">
        <v>1021</v>
      </c>
      <c r="BW9" s="8" t="s">
        <v>33</v>
      </c>
      <c r="BX9" s="8" t="s">
        <v>995</v>
      </c>
      <c r="CA9" s="8" t="str">
        <f>HYPERLINK("https%3A%2F%2Fwww.webofscience.com%2Fwos%2Fwoscc%2Ffull-record%2FWOS:000178814700013","View Full Record in Web of Science")</f>
        <v>View Full Record in Web of Science</v>
      </c>
    </row>
    <row r="10" ht="12.75" customHeight="1">
      <c r="A10" s="8" t="s">
        <v>967</v>
      </c>
      <c r="B10" s="8" t="s">
        <v>1142</v>
      </c>
      <c r="C10" s="8" t="s">
        <v>969</v>
      </c>
      <c r="D10" s="8" t="s">
        <v>969</v>
      </c>
      <c r="E10" s="8" t="s">
        <v>969</v>
      </c>
      <c r="F10" s="8" t="s">
        <v>1142</v>
      </c>
      <c r="G10" s="8" t="s">
        <v>969</v>
      </c>
      <c r="H10" s="8" t="s">
        <v>969</v>
      </c>
      <c r="I10" s="8" t="s">
        <v>1143</v>
      </c>
      <c r="J10" s="8" t="s">
        <v>1144</v>
      </c>
      <c r="K10" s="8" t="s">
        <v>969</v>
      </c>
      <c r="L10" s="8" t="s">
        <v>969</v>
      </c>
      <c r="M10" s="8" t="s">
        <v>972</v>
      </c>
      <c r="N10" s="8" t="s">
        <v>1145</v>
      </c>
      <c r="O10" s="8" t="s">
        <v>1146</v>
      </c>
      <c r="P10" s="8" t="s">
        <v>1147</v>
      </c>
      <c r="Q10" s="8" t="s">
        <v>1148</v>
      </c>
      <c r="R10" s="8" t="s">
        <v>1149</v>
      </c>
      <c r="S10" s="8" t="s">
        <v>969</v>
      </c>
      <c r="T10" s="8" t="s">
        <v>1150</v>
      </c>
      <c r="U10" s="8" t="s">
        <v>1151</v>
      </c>
      <c r="V10" s="8" t="s">
        <v>1152</v>
      </c>
      <c r="W10" s="8" t="s">
        <v>1153</v>
      </c>
      <c r="X10" s="8" t="s">
        <v>1154</v>
      </c>
      <c r="Y10" s="8" t="s">
        <v>1155</v>
      </c>
      <c r="Z10" s="8" t="s">
        <v>1156</v>
      </c>
      <c r="AA10" s="8" t="s">
        <v>1157</v>
      </c>
      <c r="AB10" s="8" t="s">
        <v>1158</v>
      </c>
      <c r="AC10" s="8" t="s">
        <v>969</v>
      </c>
      <c r="AD10" s="8" t="s">
        <v>969</v>
      </c>
      <c r="AE10" s="8" t="s">
        <v>969</v>
      </c>
      <c r="AF10" s="8" t="s">
        <v>969</v>
      </c>
      <c r="AG10" s="8">
        <v>32.0</v>
      </c>
      <c r="AH10" s="8">
        <v>302.0</v>
      </c>
      <c r="AI10" s="8">
        <v>360.0</v>
      </c>
      <c r="AJ10" s="8">
        <v>2.0</v>
      </c>
      <c r="AK10" s="8">
        <v>144.0</v>
      </c>
      <c r="AL10" s="8" t="s">
        <v>1091</v>
      </c>
      <c r="AM10" s="8" t="s">
        <v>1092</v>
      </c>
      <c r="AN10" s="8" t="s">
        <v>1093</v>
      </c>
      <c r="AO10" s="8" t="s">
        <v>1159</v>
      </c>
      <c r="AP10" s="8" t="s">
        <v>1160</v>
      </c>
      <c r="AQ10" s="8" t="s">
        <v>969</v>
      </c>
      <c r="AR10" s="8" t="s">
        <v>1161</v>
      </c>
      <c r="AS10" s="8" t="s">
        <v>1162</v>
      </c>
      <c r="AT10" s="8" t="s">
        <v>1163</v>
      </c>
      <c r="AU10" s="8">
        <v>2002.0</v>
      </c>
      <c r="AV10" s="8">
        <v>11.0</v>
      </c>
      <c r="AW10" s="8">
        <v>6.0</v>
      </c>
      <c r="AX10" s="8" t="s">
        <v>969</v>
      </c>
      <c r="AY10" s="8" t="s">
        <v>969</v>
      </c>
      <c r="AZ10" s="8" t="s">
        <v>969</v>
      </c>
      <c r="BA10" s="8" t="s">
        <v>969</v>
      </c>
      <c r="BB10" s="8">
        <v>445.0</v>
      </c>
      <c r="BC10" s="8">
        <v>451.0</v>
      </c>
      <c r="BD10" s="8" t="s">
        <v>969</v>
      </c>
      <c r="BE10" s="8" t="s">
        <v>626</v>
      </c>
      <c r="BF10" s="13" t="str">
        <f>HYPERLINK("http://dx.doi.org/10.1046/j.1466-822X.2002.00307.x","http://dx.doi.org/10.1046/j.1466-822X.2002.00307.x")</f>
        <v>http://dx.doi.org/10.1046/j.1466-822X.2002.00307.x</v>
      </c>
      <c r="BG10" s="8" t="s">
        <v>969</v>
      </c>
      <c r="BH10" s="8" t="s">
        <v>969</v>
      </c>
      <c r="BI10" s="8">
        <v>7.0</v>
      </c>
      <c r="BJ10" s="8" t="s">
        <v>1017</v>
      </c>
      <c r="BK10" s="8" t="s">
        <v>1164</v>
      </c>
      <c r="BL10" s="8" t="s">
        <v>1018</v>
      </c>
      <c r="BM10" s="8" t="s">
        <v>1165</v>
      </c>
      <c r="BN10" s="8" t="s">
        <v>969</v>
      </c>
      <c r="BO10" s="8" t="s">
        <v>969</v>
      </c>
      <c r="BP10" s="8" t="s">
        <v>969</v>
      </c>
      <c r="BQ10" s="8" t="s">
        <v>969</v>
      </c>
      <c r="BR10" s="8" t="s">
        <v>991</v>
      </c>
      <c r="BS10" s="8" t="s">
        <v>1166</v>
      </c>
      <c r="BT10" s="8" t="s">
        <v>1099</v>
      </c>
      <c r="BW10" s="8" t="s">
        <v>51</v>
      </c>
      <c r="BX10" s="8" t="s">
        <v>1022</v>
      </c>
      <c r="CA10" s="8" t="str">
        <f>HYPERLINK("https%3A%2F%2Fwww.webofscience.com%2Fwos%2Fwoscc%2Ffull-record%2FWOS:000179978200002","View Full Record in Web of Science")</f>
        <v>View Full Record in Web of Science</v>
      </c>
    </row>
    <row r="11" ht="12.75" customHeight="1">
      <c r="A11" s="8" t="s">
        <v>967</v>
      </c>
      <c r="B11" s="8" t="s">
        <v>1167</v>
      </c>
      <c r="C11" s="8" t="s">
        <v>969</v>
      </c>
      <c r="D11" s="8" t="s">
        <v>969</v>
      </c>
      <c r="E11" s="8" t="s">
        <v>969</v>
      </c>
      <c r="F11" s="8" t="s">
        <v>1167</v>
      </c>
      <c r="G11" s="8" t="s">
        <v>969</v>
      </c>
      <c r="H11" s="8" t="s">
        <v>969</v>
      </c>
      <c r="I11" s="8" t="s">
        <v>1168</v>
      </c>
      <c r="J11" s="8" t="s">
        <v>971</v>
      </c>
      <c r="K11" s="8" t="s">
        <v>969</v>
      </c>
      <c r="L11" s="8" t="s">
        <v>969</v>
      </c>
      <c r="M11" s="8" t="s">
        <v>972</v>
      </c>
      <c r="N11" s="8" t="s">
        <v>973</v>
      </c>
      <c r="O11" s="8" t="s">
        <v>969</v>
      </c>
      <c r="P11" s="8" t="s">
        <v>969</v>
      </c>
      <c r="Q11" s="8" t="s">
        <v>969</v>
      </c>
      <c r="R11" s="8" t="s">
        <v>969</v>
      </c>
      <c r="S11" s="8" t="s">
        <v>969</v>
      </c>
      <c r="T11" s="8" t="s">
        <v>1169</v>
      </c>
      <c r="U11" s="8" t="s">
        <v>1170</v>
      </c>
      <c r="V11" s="8" t="s">
        <v>1171</v>
      </c>
      <c r="W11" s="8" t="s">
        <v>1172</v>
      </c>
      <c r="X11" s="8" t="s">
        <v>1173</v>
      </c>
      <c r="Y11" s="8" t="s">
        <v>1067</v>
      </c>
      <c r="Z11" s="8" t="s">
        <v>1174</v>
      </c>
      <c r="AA11" s="8" t="s">
        <v>1175</v>
      </c>
      <c r="AB11" s="8" t="s">
        <v>1176</v>
      </c>
      <c r="AC11" s="8" t="s">
        <v>969</v>
      </c>
      <c r="AD11" s="8" t="s">
        <v>969</v>
      </c>
      <c r="AE11" s="8" t="s">
        <v>969</v>
      </c>
      <c r="AF11" s="8" t="s">
        <v>969</v>
      </c>
      <c r="AG11" s="8">
        <v>44.0</v>
      </c>
      <c r="AH11" s="8">
        <v>132.0</v>
      </c>
      <c r="AI11" s="8">
        <v>165.0</v>
      </c>
      <c r="AJ11" s="8">
        <v>0.0</v>
      </c>
      <c r="AK11" s="8">
        <v>93.0</v>
      </c>
      <c r="AL11" s="8" t="s">
        <v>1091</v>
      </c>
      <c r="AM11" s="8" t="s">
        <v>1092</v>
      </c>
      <c r="AN11" s="8" t="s">
        <v>1093</v>
      </c>
      <c r="AO11" s="8" t="s">
        <v>983</v>
      </c>
      <c r="AP11" s="8" t="s">
        <v>1094</v>
      </c>
      <c r="AQ11" s="8" t="s">
        <v>969</v>
      </c>
      <c r="AR11" s="8" t="s">
        <v>1095</v>
      </c>
      <c r="AS11" s="8" t="s">
        <v>985</v>
      </c>
      <c r="AT11" s="8" t="s">
        <v>1177</v>
      </c>
      <c r="AU11" s="8">
        <v>2003.0</v>
      </c>
      <c r="AV11" s="8">
        <v>9.0</v>
      </c>
      <c r="AW11" s="8">
        <v>5.0</v>
      </c>
      <c r="AX11" s="8" t="s">
        <v>969</v>
      </c>
      <c r="AY11" s="8" t="s">
        <v>969</v>
      </c>
      <c r="AZ11" s="8" t="s">
        <v>969</v>
      </c>
      <c r="BA11" s="8" t="s">
        <v>969</v>
      </c>
      <c r="BB11" s="8">
        <v>647.0</v>
      </c>
      <c r="BC11" s="8">
        <v>655.0</v>
      </c>
      <c r="BD11" s="8" t="s">
        <v>969</v>
      </c>
      <c r="BE11" s="8" t="s">
        <v>614</v>
      </c>
      <c r="BF11" s="13" t="str">
        <f>HYPERLINK("http://dx.doi.org/10.1046/j.1365-2486.2003.00616.x","http://dx.doi.org/10.1046/j.1365-2486.2003.00616.x")</f>
        <v>http://dx.doi.org/10.1046/j.1365-2486.2003.00616.x</v>
      </c>
      <c r="BG11" s="8" t="s">
        <v>969</v>
      </c>
      <c r="BH11" s="8" t="s">
        <v>969</v>
      </c>
      <c r="BI11" s="8">
        <v>9.0</v>
      </c>
      <c r="BJ11" s="8" t="s">
        <v>987</v>
      </c>
      <c r="BK11" s="8" t="s">
        <v>988</v>
      </c>
      <c r="BL11" s="8" t="s">
        <v>989</v>
      </c>
      <c r="BM11" s="8" t="s">
        <v>1178</v>
      </c>
      <c r="BN11" s="8" t="s">
        <v>969</v>
      </c>
      <c r="BO11" s="8" t="s">
        <v>969</v>
      </c>
      <c r="BP11" s="8" t="s">
        <v>969</v>
      </c>
      <c r="BQ11" s="8" t="s">
        <v>969</v>
      </c>
      <c r="BR11" s="8" t="s">
        <v>991</v>
      </c>
      <c r="BS11" s="8" t="s">
        <v>1179</v>
      </c>
      <c r="BT11" s="8" t="s">
        <v>993</v>
      </c>
      <c r="BU11" s="8" t="s">
        <v>994</v>
      </c>
      <c r="BW11" s="8" t="s">
        <v>81</v>
      </c>
      <c r="BX11" s="8" t="s">
        <v>995</v>
      </c>
      <c r="BY11" s="8" t="s">
        <v>996</v>
      </c>
      <c r="BZ11" s="8" t="s">
        <v>1180</v>
      </c>
      <c r="CA11" s="8" t="str">
        <f>HYPERLINK("https%3A%2F%2Fwww.webofscience.com%2Fwos%2Fwoscc%2Ffull-record%2FWOS:000182653700001","View Full Record in Web of Science")</f>
        <v>View Full Record in Web of Science</v>
      </c>
    </row>
    <row r="12" ht="12.75" customHeight="1">
      <c r="A12" s="8" t="s">
        <v>967</v>
      </c>
      <c r="B12" s="8" t="s">
        <v>1181</v>
      </c>
      <c r="C12" s="8" t="s">
        <v>969</v>
      </c>
      <c r="D12" s="8" t="s">
        <v>969</v>
      </c>
      <c r="E12" s="8" t="s">
        <v>969</v>
      </c>
      <c r="F12" s="8" t="s">
        <v>1181</v>
      </c>
      <c r="G12" s="8" t="s">
        <v>969</v>
      </c>
      <c r="H12" s="8" t="s">
        <v>969</v>
      </c>
      <c r="I12" s="8" t="s">
        <v>1182</v>
      </c>
      <c r="J12" s="8" t="s">
        <v>1183</v>
      </c>
      <c r="K12" s="8" t="s">
        <v>969</v>
      </c>
      <c r="L12" s="8" t="s">
        <v>969</v>
      </c>
      <c r="M12" s="8" t="s">
        <v>972</v>
      </c>
      <c r="N12" s="8" t="s">
        <v>973</v>
      </c>
      <c r="O12" s="8" t="s">
        <v>969</v>
      </c>
      <c r="P12" s="8" t="s">
        <v>969</v>
      </c>
      <c r="Q12" s="8" t="s">
        <v>969</v>
      </c>
      <c r="R12" s="8" t="s">
        <v>969</v>
      </c>
      <c r="S12" s="8" t="s">
        <v>969</v>
      </c>
      <c r="T12" s="8" t="s">
        <v>1184</v>
      </c>
      <c r="U12" s="8" t="s">
        <v>1185</v>
      </c>
      <c r="V12" s="8" t="s">
        <v>1186</v>
      </c>
      <c r="W12" s="8" t="s">
        <v>1187</v>
      </c>
      <c r="X12" s="8" t="s">
        <v>1188</v>
      </c>
      <c r="Y12" s="8" t="s">
        <v>1189</v>
      </c>
      <c r="Z12" s="8" t="s">
        <v>1156</v>
      </c>
      <c r="AA12" s="8" t="s">
        <v>1190</v>
      </c>
      <c r="AB12" s="8" t="s">
        <v>1191</v>
      </c>
      <c r="AC12" s="8" t="s">
        <v>969</v>
      </c>
      <c r="AD12" s="8" t="s">
        <v>969</v>
      </c>
      <c r="AE12" s="8" t="s">
        <v>969</v>
      </c>
      <c r="AF12" s="8" t="s">
        <v>969</v>
      </c>
      <c r="AG12" s="8">
        <v>48.0</v>
      </c>
      <c r="AH12" s="8">
        <v>218.0</v>
      </c>
      <c r="AI12" s="8">
        <v>254.0</v>
      </c>
      <c r="AJ12" s="8">
        <v>0.0</v>
      </c>
      <c r="AK12" s="8">
        <v>60.0</v>
      </c>
      <c r="AL12" s="8" t="s">
        <v>1192</v>
      </c>
      <c r="AM12" s="8" t="s">
        <v>1193</v>
      </c>
      <c r="AN12" s="8" t="s">
        <v>1194</v>
      </c>
      <c r="AO12" s="8" t="s">
        <v>1195</v>
      </c>
      <c r="AP12" s="8" t="s">
        <v>1196</v>
      </c>
      <c r="AQ12" s="8" t="s">
        <v>969</v>
      </c>
      <c r="AR12" s="8" t="s">
        <v>1197</v>
      </c>
      <c r="AS12" s="8" t="s">
        <v>1198</v>
      </c>
      <c r="AT12" s="8" t="s">
        <v>1199</v>
      </c>
      <c r="AU12" s="8">
        <v>2003.0</v>
      </c>
      <c r="AV12" s="8">
        <v>112.0</v>
      </c>
      <c r="AW12" s="8" t="s">
        <v>1200</v>
      </c>
      <c r="AX12" s="8" t="s">
        <v>969</v>
      </c>
      <c r="AY12" s="8" t="s">
        <v>969</v>
      </c>
      <c r="AZ12" s="8" t="s">
        <v>969</v>
      </c>
      <c r="BA12" s="8" t="s">
        <v>969</v>
      </c>
      <c r="BB12" s="8">
        <v>87.0</v>
      </c>
      <c r="BC12" s="8">
        <v>97.0</v>
      </c>
      <c r="BD12" s="8" t="s">
        <v>969</v>
      </c>
      <c r="BE12" s="8" t="s">
        <v>581</v>
      </c>
      <c r="BF12" s="13" t="str">
        <f>HYPERLINK("http://dx.doi.org/10.1016/S0006-3207(02)00414-7","http://dx.doi.org/10.1016/S0006-3207(02)00414-7")</f>
        <v>http://dx.doi.org/10.1016/S0006-3207(02)00414-7</v>
      </c>
      <c r="BG12" s="8" t="s">
        <v>969</v>
      </c>
      <c r="BH12" s="8" t="s">
        <v>969</v>
      </c>
      <c r="BI12" s="8">
        <v>11.0</v>
      </c>
      <c r="BJ12" s="8" t="s">
        <v>987</v>
      </c>
      <c r="BK12" s="8" t="s">
        <v>988</v>
      </c>
      <c r="BL12" s="8" t="s">
        <v>989</v>
      </c>
      <c r="BM12" s="8" t="s">
        <v>1201</v>
      </c>
      <c r="BN12" s="8" t="s">
        <v>969</v>
      </c>
      <c r="BO12" s="8" t="s">
        <v>969</v>
      </c>
      <c r="BP12" s="8" t="s">
        <v>969</v>
      </c>
      <c r="BQ12" s="8" t="s">
        <v>969</v>
      </c>
      <c r="BR12" s="8" t="s">
        <v>991</v>
      </c>
      <c r="BS12" s="8" t="s">
        <v>1202</v>
      </c>
      <c r="BT12" s="8" t="s">
        <v>1099</v>
      </c>
      <c r="BW12" s="8" t="s">
        <v>51</v>
      </c>
      <c r="BX12" s="8" t="s">
        <v>1022</v>
      </c>
      <c r="CA12" s="8" t="str">
        <f>HYPERLINK("https%3A%2F%2Fwww.webofscience.com%2Fwos%2Fwoscc%2Ffull-record%2FWOS:000182913800006","View Full Record in Web of Science")</f>
        <v>View Full Record in Web of Science</v>
      </c>
    </row>
    <row r="13" ht="12.75" customHeight="1">
      <c r="A13" s="8" t="s">
        <v>967</v>
      </c>
      <c r="B13" s="8" t="s">
        <v>1203</v>
      </c>
      <c r="C13" s="8" t="s">
        <v>969</v>
      </c>
      <c r="D13" s="8" t="s">
        <v>969</v>
      </c>
      <c r="E13" s="8" t="s">
        <v>969</v>
      </c>
      <c r="F13" s="8" t="s">
        <v>1203</v>
      </c>
      <c r="G13" s="8" t="s">
        <v>969</v>
      </c>
      <c r="H13" s="8" t="s">
        <v>969</v>
      </c>
      <c r="I13" s="8" t="s">
        <v>1204</v>
      </c>
      <c r="J13" s="8" t="s">
        <v>1025</v>
      </c>
      <c r="K13" s="8" t="s">
        <v>969</v>
      </c>
      <c r="L13" s="8" t="s">
        <v>969</v>
      </c>
      <c r="M13" s="8" t="s">
        <v>972</v>
      </c>
      <c r="N13" s="8" t="s">
        <v>973</v>
      </c>
      <c r="O13" s="8" t="s">
        <v>969</v>
      </c>
      <c r="P13" s="8" t="s">
        <v>969</v>
      </c>
      <c r="Q13" s="8" t="s">
        <v>969</v>
      </c>
      <c r="R13" s="8" t="s">
        <v>969</v>
      </c>
      <c r="S13" s="8" t="s">
        <v>969</v>
      </c>
      <c r="T13" s="8" t="s">
        <v>969</v>
      </c>
      <c r="U13" s="8" t="s">
        <v>1205</v>
      </c>
      <c r="V13" s="8" t="s">
        <v>1206</v>
      </c>
      <c r="W13" s="8" t="s">
        <v>1207</v>
      </c>
      <c r="X13" s="8" t="s">
        <v>1208</v>
      </c>
      <c r="Y13" s="8" t="s">
        <v>1209</v>
      </c>
      <c r="Z13" s="8" t="s">
        <v>969</v>
      </c>
      <c r="AA13" s="8" t="s">
        <v>969</v>
      </c>
      <c r="AB13" s="8" t="s">
        <v>969</v>
      </c>
      <c r="AC13" s="8" t="s">
        <v>969</v>
      </c>
      <c r="AD13" s="8" t="s">
        <v>969</v>
      </c>
      <c r="AE13" s="8" t="s">
        <v>969</v>
      </c>
      <c r="AF13" s="8" t="s">
        <v>969</v>
      </c>
      <c r="AG13" s="8">
        <v>26.0</v>
      </c>
      <c r="AH13" s="8">
        <v>236.0</v>
      </c>
      <c r="AI13" s="8">
        <v>277.0</v>
      </c>
      <c r="AJ13" s="8">
        <v>1.0</v>
      </c>
      <c r="AK13" s="8">
        <v>75.0</v>
      </c>
      <c r="AL13" s="8" t="s">
        <v>1031</v>
      </c>
      <c r="AM13" s="8" t="s">
        <v>1032</v>
      </c>
      <c r="AN13" s="8" t="s">
        <v>1210</v>
      </c>
      <c r="AO13" s="8" t="s">
        <v>1034</v>
      </c>
      <c r="AP13" s="8" t="s">
        <v>969</v>
      </c>
      <c r="AQ13" s="8" t="s">
        <v>969</v>
      </c>
      <c r="AR13" s="8" t="s">
        <v>1025</v>
      </c>
      <c r="AS13" s="8" t="s">
        <v>1035</v>
      </c>
      <c r="AT13" s="8" t="s">
        <v>1211</v>
      </c>
      <c r="AU13" s="8">
        <v>2003.0</v>
      </c>
      <c r="AV13" s="8">
        <v>59.0</v>
      </c>
      <c r="AW13" s="8">
        <v>3.0</v>
      </c>
      <c r="AX13" s="8" t="s">
        <v>969</v>
      </c>
      <c r="AY13" s="8" t="s">
        <v>969</v>
      </c>
      <c r="AZ13" s="8" t="s">
        <v>969</v>
      </c>
      <c r="BA13" s="8" t="s">
        <v>969</v>
      </c>
      <c r="BB13" s="8">
        <v>389.0</v>
      </c>
      <c r="BC13" s="8">
        <v>409.0</v>
      </c>
      <c r="BD13" s="8" t="s">
        <v>969</v>
      </c>
      <c r="BE13" s="8" t="s">
        <v>587</v>
      </c>
      <c r="BF13" s="13" t="str">
        <f>HYPERLINK("http://dx.doi.org/10.1023/A:1024847723344","http://dx.doi.org/10.1023/A:1024847723344")</f>
        <v>http://dx.doi.org/10.1023/A:1024847723344</v>
      </c>
      <c r="BG13" s="8" t="s">
        <v>969</v>
      </c>
      <c r="BH13" s="8" t="s">
        <v>969</v>
      </c>
      <c r="BI13" s="8">
        <v>21.0</v>
      </c>
      <c r="BJ13" s="8" t="s">
        <v>1037</v>
      </c>
      <c r="BK13" s="8" t="s">
        <v>988</v>
      </c>
      <c r="BL13" s="8" t="s">
        <v>1038</v>
      </c>
      <c r="BM13" s="8" t="s">
        <v>1212</v>
      </c>
      <c r="BN13" s="8" t="s">
        <v>969</v>
      </c>
      <c r="BO13" s="8" t="s">
        <v>969</v>
      </c>
      <c r="BP13" s="8" t="s">
        <v>969</v>
      </c>
      <c r="BQ13" s="8" t="s">
        <v>969</v>
      </c>
      <c r="BR13" s="8" t="s">
        <v>991</v>
      </c>
      <c r="BS13" s="8" t="s">
        <v>1213</v>
      </c>
      <c r="BT13" s="8" t="s">
        <v>993</v>
      </c>
      <c r="BU13" s="8" t="s">
        <v>994</v>
      </c>
      <c r="BW13" s="8" t="s">
        <v>67</v>
      </c>
      <c r="CA13" s="8" t="str">
        <f>HYPERLINK("https%3A%2F%2Fwww.webofscience.com%2Fwos%2Fwoscc%2Ffull-record%2FWOS:000184319800006","View Full Record in Web of Science")</f>
        <v>View Full Record in Web of Science</v>
      </c>
    </row>
    <row r="14" ht="12.75" customHeight="1">
      <c r="A14" s="8" t="s">
        <v>967</v>
      </c>
      <c r="B14" s="8" t="s">
        <v>1214</v>
      </c>
      <c r="C14" s="8" t="s">
        <v>969</v>
      </c>
      <c r="D14" s="8" t="s">
        <v>969</v>
      </c>
      <c r="E14" s="8" t="s">
        <v>969</v>
      </c>
      <c r="F14" s="8" t="s">
        <v>1214</v>
      </c>
      <c r="G14" s="8" t="s">
        <v>969</v>
      </c>
      <c r="H14" s="8" t="s">
        <v>969</v>
      </c>
      <c r="I14" s="8" t="s">
        <v>1215</v>
      </c>
      <c r="J14" s="8" t="s">
        <v>1120</v>
      </c>
      <c r="K14" s="8" t="s">
        <v>969</v>
      </c>
      <c r="L14" s="8" t="s">
        <v>969</v>
      </c>
      <c r="M14" s="8" t="s">
        <v>972</v>
      </c>
      <c r="N14" s="8" t="s">
        <v>973</v>
      </c>
      <c r="O14" s="8" t="s">
        <v>969</v>
      </c>
      <c r="P14" s="8" t="s">
        <v>969</v>
      </c>
      <c r="Q14" s="8" t="s">
        <v>969</v>
      </c>
      <c r="R14" s="8" t="s">
        <v>969</v>
      </c>
      <c r="S14" s="8" t="s">
        <v>969</v>
      </c>
      <c r="T14" s="8" t="s">
        <v>1216</v>
      </c>
      <c r="U14" s="8" t="s">
        <v>1217</v>
      </c>
      <c r="V14" s="8" t="s">
        <v>1218</v>
      </c>
      <c r="W14" s="8" t="s">
        <v>1219</v>
      </c>
      <c r="X14" s="8" t="s">
        <v>1220</v>
      </c>
      <c r="Y14" s="8" t="s">
        <v>1221</v>
      </c>
      <c r="Z14" s="8" t="s">
        <v>1222</v>
      </c>
      <c r="AA14" s="8" t="s">
        <v>1223</v>
      </c>
      <c r="AB14" s="8" t="s">
        <v>1224</v>
      </c>
      <c r="AC14" s="8" t="s">
        <v>969</v>
      </c>
      <c r="AD14" s="8" t="s">
        <v>969</v>
      </c>
      <c r="AE14" s="8" t="s">
        <v>969</v>
      </c>
      <c r="AF14" s="8" t="s">
        <v>969</v>
      </c>
      <c r="AG14" s="8">
        <v>38.0</v>
      </c>
      <c r="AH14" s="8">
        <v>392.0</v>
      </c>
      <c r="AI14" s="8">
        <v>473.0</v>
      </c>
      <c r="AJ14" s="8">
        <v>0.0</v>
      </c>
      <c r="AK14" s="8">
        <v>245.0</v>
      </c>
      <c r="AL14" s="8" t="s">
        <v>1130</v>
      </c>
      <c r="AM14" s="8" t="s">
        <v>1071</v>
      </c>
      <c r="AN14" s="8" t="s">
        <v>1131</v>
      </c>
      <c r="AO14" s="8" t="s">
        <v>1132</v>
      </c>
      <c r="AP14" s="8" t="s">
        <v>969</v>
      </c>
      <c r="AQ14" s="8" t="s">
        <v>969</v>
      </c>
      <c r="AR14" s="8" t="s">
        <v>1134</v>
      </c>
      <c r="AS14" s="8" t="s">
        <v>1135</v>
      </c>
      <c r="AT14" s="8" t="s">
        <v>1225</v>
      </c>
      <c r="AU14" s="8">
        <v>2003.0</v>
      </c>
      <c r="AV14" s="8">
        <v>270.0</v>
      </c>
      <c r="AW14" s="8">
        <v>1527.0</v>
      </c>
      <c r="AX14" s="8" t="s">
        <v>969</v>
      </c>
      <c r="AY14" s="8" t="s">
        <v>969</v>
      </c>
      <c r="AZ14" s="8" t="s">
        <v>969</v>
      </c>
      <c r="BA14" s="8" t="s">
        <v>969</v>
      </c>
      <c r="BB14" s="8">
        <v>1887.0</v>
      </c>
      <c r="BC14" s="8">
        <v>1892.0</v>
      </c>
      <c r="BD14" s="8" t="s">
        <v>969</v>
      </c>
      <c r="BE14" s="8" t="s">
        <v>659</v>
      </c>
      <c r="BF14" s="13" t="str">
        <f>HYPERLINK("http://dx.doi.org/10.1098/rspb.2003.2464","http://dx.doi.org/10.1098/rspb.2003.2464")</f>
        <v>http://dx.doi.org/10.1098/rspb.2003.2464</v>
      </c>
      <c r="BG14" s="8" t="s">
        <v>969</v>
      </c>
      <c r="BH14" s="8" t="s">
        <v>969</v>
      </c>
      <c r="BI14" s="8">
        <v>6.0</v>
      </c>
      <c r="BJ14" s="8" t="s">
        <v>1137</v>
      </c>
      <c r="BK14" s="8" t="s">
        <v>988</v>
      </c>
      <c r="BL14" s="8" t="s">
        <v>1138</v>
      </c>
      <c r="BM14" s="8" t="s">
        <v>1226</v>
      </c>
      <c r="BN14" s="8">
        <v>1.4561301E7</v>
      </c>
      <c r="BO14" s="8" t="s">
        <v>1227</v>
      </c>
      <c r="BP14" s="8" t="s">
        <v>969</v>
      </c>
      <c r="BQ14" s="8" t="s">
        <v>969</v>
      </c>
      <c r="BR14" s="8" t="s">
        <v>991</v>
      </c>
      <c r="BS14" s="8" t="s">
        <v>1228</v>
      </c>
      <c r="BT14" s="8" t="s">
        <v>1115</v>
      </c>
      <c r="BU14" s="8" t="s">
        <v>1116</v>
      </c>
      <c r="BV14" s="8" t="s">
        <v>1117</v>
      </c>
      <c r="BW14" s="8" t="s">
        <v>171</v>
      </c>
      <c r="BX14" s="8" t="s">
        <v>995</v>
      </c>
      <c r="BY14" s="8" t="s">
        <v>996</v>
      </c>
      <c r="CA14" s="8" t="str">
        <f>HYPERLINK("https%3A%2F%2Fwww.webofscience.com%2Fwos%2Fwoscc%2Ffull-record%2FWOS:000185482500003","View Full Record in Web of Science")</f>
        <v>View Full Record in Web of Science</v>
      </c>
    </row>
    <row r="15" ht="12.75" customHeight="1">
      <c r="A15" s="8" t="s">
        <v>967</v>
      </c>
      <c r="B15" s="8" t="s">
        <v>1229</v>
      </c>
      <c r="C15" s="8" t="s">
        <v>969</v>
      </c>
      <c r="D15" s="8" t="s">
        <v>969</v>
      </c>
      <c r="E15" s="8" t="s">
        <v>969</v>
      </c>
      <c r="F15" s="8" t="s">
        <v>1229</v>
      </c>
      <c r="G15" s="8" t="s">
        <v>969</v>
      </c>
      <c r="H15" s="8" t="s">
        <v>969</v>
      </c>
      <c r="I15" s="8" t="s">
        <v>1230</v>
      </c>
      <c r="J15" s="8" t="s">
        <v>1062</v>
      </c>
      <c r="K15" s="8" t="s">
        <v>969</v>
      </c>
      <c r="L15" s="8" t="s">
        <v>969</v>
      </c>
      <c r="M15" s="8" t="s">
        <v>972</v>
      </c>
      <c r="N15" s="8" t="s">
        <v>973</v>
      </c>
      <c r="O15" s="8" t="s">
        <v>969</v>
      </c>
      <c r="P15" s="8" t="s">
        <v>969</v>
      </c>
      <c r="Q15" s="8" t="s">
        <v>969</v>
      </c>
      <c r="R15" s="8" t="s">
        <v>969</v>
      </c>
      <c r="S15" s="8" t="s">
        <v>969</v>
      </c>
      <c r="T15" s="8" t="s">
        <v>969</v>
      </c>
      <c r="U15" s="8" t="s">
        <v>1231</v>
      </c>
      <c r="V15" s="8" t="s">
        <v>1232</v>
      </c>
      <c r="W15" s="8" t="s">
        <v>1233</v>
      </c>
      <c r="X15" s="8" t="s">
        <v>1234</v>
      </c>
      <c r="Y15" s="8" t="s">
        <v>1235</v>
      </c>
      <c r="Z15" s="8" t="s">
        <v>1236</v>
      </c>
      <c r="AA15" s="8" t="s">
        <v>1237</v>
      </c>
      <c r="AB15" s="8" t="s">
        <v>1238</v>
      </c>
      <c r="AC15" s="8" t="s">
        <v>1239</v>
      </c>
      <c r="AD15" s="8" t="s">
        <v>1240</v>
      </c>
      <c r="AE15" s="8" t="s">
        <v>969</v>
      </c>
      <c r="AF15" s="8" t="s">
        <v>969</v>
      </c>
      <c r="AG15" s="8">
        <v>30.0</v>
      </c>
      <c r="AH15" s="8">
        <v>5481.0</v>
      </c>
      <c r="AI15" s="8">
        <v>6628.0</v>
      </c>
      <c r="AJ15" s="8">
        <v>45.0</v>
      </c>
      <c r="AK15" s="8">
        <v>6064.0</v>
      </c>
      <c r="AL15" s="8" t="s">
        <v>1241</v>
      </c>
      <c r="AM15" s="8" t="s">
        <v>1242</v>
      </c>
      <c r="AN15" s="8" t="s">
        <v>1243</v>
      </c>
      <c r="AO15" s="8" t="s">
        <v>1073</v>
      </c>
      <c r="AP15" s="8" t="s">
        <v>1244</v>
      </c>
      <c r="AQ15" s="8" t="s">
        <v>969</v>
      </c>
      <c r="AR15" s="8" t="s">
        <v>1062</v>
      </c>
      <c r="AS15" s="8" t="s">
        <v>1074</v>
      </c>
      <c r="AT15" s="8" t="s">
        <v>1245</v>
      </c>
      <c r="AU15" s="8">
        <v>2004.0</v>
      </c>
      <c r="AV15" s="8">
        <v>427.0</v>
      </c>
      <c r="AW15" s="8">
        <v>6970.0</v>
      </c>
      <c r="AX15" s="8" t="s">
        <v>969</v>
      </c>
      <c r="AY15" s="8" t="s">
        <v>969</v>
      </c>
      <c r="AZ15" s="8" t="s">
        <v>969</v>
      </c>
      <c r="BA15" s="8" t="s">
        <v>969</v>
      </c>
      <c r="BB15" s="8">
        <v>145.0</v>
      </c>
      <c r="BC15" s="8">
        <v>148.0</v>
      </c>
      <c r="BD15" s="8" t="s">
        <v>969</v>
      </c>
      <c r="BE15" s="8" t="s">
        <v>593</v>
      </c>
      <c r="BF15" s="13" t="str">
        <f>HYPERLINK("http://dx.doi.org/10.1038/nature02121","http://dx.doi.org/10.1038/nature02121")</f>
        <v>http://dx.doi.org/10.1038/nature02121</v>
      </c>
      <c r="BG15" s="8" t="s">
        <v>969</v>
      </c>
      <c r="BH15" s="8" t="s">
        <v>969</v>
      </c>
      <c r="BI15" s="8">
        <v>4.0</v>
      </c>
      <c r="BJ15" s="8" t="s">
        <v>1076</v>
      </c>
      <c r="BK15" s="8" t="s">
        <v>988</v>
      </c>
      <c r="BL15" s="8" t="s">
        <v>1077</v>
      </c>
      <c r="BM15" s="8" t="s">
        <v>1246</v>
      </c>
      <c r="BN15" s="8">
        <v>1.4712274E7</v>
      </c>
      <c r="BO15" s="8" t="s">
        <v>1247</v>
      </c>
      <c r="BP15" s="8" t="s">
        <v>969</v>
      </c>
      <c r="BQ15" s="8" t="s">
        <v>969</v>
      </c>
      <c r="BR15" s="8" t="s">
        <v>991</v>
      </c>
      <c r="BS15" s="8" t="s">
        <v>1248</v>
      </c>
      <c r="BT15" s="8" t="s">
        <v>1249</v>
      </c>
      <c r="BW15" s="8" t="s">
        <v>118</v>
      </c>
      <c r="BX15" s="8" t="s">
        <v>995</v>
      </c>
      <c r="BY15" s="8" t="s">
        <v>996</v>
      </c>
      <c r="BZ15" s="8" t="s">
        <v>997</v>
      </c>
      <c r="CA15" s="8" t="str">
        <f>HYPERLINK("https%3A%2F%2Fwww.webofscience.com%2Fwos%2Fwoscc%2Ffull-record%2FWOS:000187863900033","View Full Record in Web of Science")</f>
        <v>View Full Record in Web of Science</v>
      </c>
    </row>
    <row r="16" ht="12.75" customHeight="1">
      <c r="A16" s="8" t="s">
        <v>967</v>
      </c>
      <c r="B16" s="8" t="s">
        <v>1250</v>
      </c>
      <c r="C16" s="8" t="s">
        <v>969</v>
      </c>
      <c r="D16" s="8" t="s">
        <v>969</v>
      </c>
      <c r="E16" s="8" t="s">
        <v>969</v>
      </c>
      <c r="F16" s="8" t="s">
        <v>1250</v>
      </c>
      <c r="G16" s="8" t="s">
        <v>969</v>
      </c>
      <c r="H16" s="8" t="s">
        <v>969</v>
      </c>
      <c r="I16" s="8" t="s">
        <v>1251</v>
      </c>
      <c r="J16" s="8" t="s">
        <v>1252</v>
      </c>
      <c r="K16" s="8" t="s">
        <v>969</v>
      </c>
      <c r="L16" s="8" t="s">
        <v>969</v>
      </c>
      <c r="M16" s="8" t="s">
        <v>972</v>
      </c>
      <c r="N16" s="8" t="s">
        <v>973</v>
      </c>
      <c r="O16" s="8" t="s">
        <v>969</v>
      </c>
      <c r="P16" s="8" t="s">
        <v>969</v>
      </c>
      <c r="Q16" s="8" t="s">
        <v>969</v>
      </c>
      <c r="R16" s="8" t="s">
        <v>969</v>
      </c>
      <c r="S16" s="8" t="s">
        <v>969</v>
      </c>
      <c r="T16" s="8" t="s">
        <v>1253</v>
      </c>
      <c r="U16" s="8" t="s">
        <v>1254</v>
      </c>
      <c r="V16" s="8" t="s">
        <v>1255</v>
      </c>
      <c r="W16" s="8" t="s">
        <v>1256</v>
      </c>
      <c r="X16" s="8" t="s">
        <v>1220</v>
      </c>
      <c r="Y16" s="8" t="s">
        <v>1257</v>
      </c>
      <c r="Z16" s="8" t="s">
        <v>1258</v>
      </c>
      <c r="AA16" s="8" t="s">
        <v>969</v>
      </c>
      <c r="AB16" s="8" t="s">
        <v>1259</v>
      </c>
      <c r="AC16" s="8" t="s">
        <v>969</v>
      </c>
      <c r="AD16" s="8" t="s">
        <v>969</v>
      </c>
      <c r="AE16" s="8" t="s">
        <v>969</v>
      </c>
      <c r="AF16" s="8" t="s">
        <v>969</v>
      </c>
      <c r="AG16" s="8">
        <v>49.0</v>
      </c>
      <c r="AH16" s="8">
        <v>48.0</v>
      </c>
      <c r="AI16" s="8">
        <v>61.0</v>
      </c>
      <c r="AJ16" s="8">
        <v>2.0</v>
      </c>
      <c r="AK16" s="8">
        <v>70.0</v>
      </c>
      <c r="AL16" s="8" t="s">
        <v>1260</v>
      </c>
      <c r="AM16" s="8" t="s">
        <v>1261</v>
      </c>
      <c r="AN16" s="8" t="s">
        <v>1262</v>
      </c>
      <c r="AO16" s="8" t="s">
        <v>1263</v>
      </c>
      <c r="AP16" s="8" t="s">
        <v>969</v>
      </c>
      <c r="AQ16" s="8" t="s">
        <v>969</v>
      </c>
      <c r="AR16" s="8" t="s">
        <v>1264</v>
      </c>
      <c r="AS16" s="8" t="s">
        <v>1265</v>
      </c>
      <c r="AT16" s="8" t="s">
        <v>1266</v>
      </c>
      <c r="AU16" s="8">
        <v>2004.0</v>
      </c>
      <c r="AV16" s="8">
        <v>174.0</v>
      </c>
      <c r="AW16" s="8">
        <v>4.0</v>
      </c>
      <c r="AX16" s="8" t="s">
        <v>969</v>
      </c>
      <c r="AY16" s="8" t="s">
        <v>969</v>
      </c>
      <c r="AZ16" s="8" t="s">
        <v>969</v>
      </c>
      <c r="BA16" s="8" t="s">
        <v>969</v>
      </c>
      <c r="BB16" s="8">
        <v>347.0</v>
      </c>
      <c r="BC16" s="8">
        <v>357.0</v>
      </c>
      <c r="BD16" s="8" t="s">
        <v>969</v>
      </c>
      <c r="BE16" s="8" t="s">
        <v>557</v>
      </c>
      <c r="BF16" s="13" t="str">
        <f>HYPERLINK("http://dx.doi.org/10.1016/j.ecolmodel.2003.07.012","http://dx.doi.org/10.1016/j.ecolmodel.2003.07.012")</f>
        <v>http://dx.doi.org/10.1016/j.ecolmodel.2003.07.012</v>
      </c>
      <c r="BG16" s="8" t="s">
        <v>969</v>
      </c>
      <c r="BH16" s="8" t="s">
        <v>969</v>
      </c>
      <c r="BI16" s="8">
        <v>11.0</v>
      </c>
      <c r="BJ16" s="8" t="s">
        <v>1267</v>
      </c>
      <c r="BK16" s="8" t="s">
        <v>988</v>
      </c>
      <c r="BL16" s="8" t="s">
        <v>1268</v>
      </c>
      <c r="BM16" s="8" t="s">
        <v>1269</v>
      </c>
      <c r="BN16" s="8" t="s">
        <v>969</v>
      </c>
      <c r="BO16" s="8" t="s">
        <v>969</v>
      </c>
      <c r="BP16" s="8" t="s">
        <v>969</v>
      </c>
      <c r="BQ16" s="8" t="s">
        <v>969</v>
      </c>
      <c r="BR16" s="8" t="s">
        <v>991</v>
      </c>
      <c r="BS16" s="8" t="s">
        <v>1270</v>
      </c>
      <c r="BT16" s="8" t="s">
        <v>1115</v>
      </c>
      <c r="BU16" s="8" t="s">
        <v>1116</v>
      </c>
      <c r="BV16" s="8" t="s">
        <v>1117</v>
      </c>
      <c r="BW16" s="8" t="s">
        <v>88</v>
      </c>
      <c r="BX16" s="8" t="s">
        <v>995</v>
      </c>
      <c r="BY16" s="8" t="s">
        <v>996</v>
      </c>
      <c r="BZ16" s="8" t="s">
        <v>997</v>
      </c>
      <c r="CA16" s="8" t="str">
        <f>HYPERLINK("https%3A%2F%2Fwww.webofscience.com%2Fwos%2Fwoscc%2Ffull-record%2FWOS:000221284100002","View Full Record in Web of Science")</f>
        <v>View Full Record in Web of Science</v>
      </c>
    </row>
    <row r="17" ht="12.75" customHeight="1">
      <c r="A17" s="8" t="s">
        <v>967</v>
      </c>
      <c r="B17" s="8" t="s">
        <v>1271</v>
      </c>
      <c r="C17" s="8" t="s">
        <v>969</v>
      </c>
      <c r="D17" s="8" t="s">
        <v>969</v>
      </c>
      <c r="E17" s="8" t="s">
        <v>969</v>
      </c>
      <c r="F17" s="8" t="s">
        <v>1271</v>
      </c>
      <c r="G17" s="8" t="s">
        <v>969</v>
      </c>
      <c r="H17" s="8" t="s">
        <v>969</v>
      </c>
      <c r="I17" s="8" t="s">
        <v>1272</v>
      </c>
      <c r="J17" s="8" t="s">
        <v>1273</v>
      </c>
      <c r="K17" s="8" t="s">
        <v>969</v>
      </c>
      <c r="L17" s="8" t="s">
        <v>969</v>
      </c>
      <c r="M17" s="8" t="s">
        <v>972</v>
      </c>
      <c r="N17" s="8" t="s">
        <v>973</v>
      </c>
      <c r="O17" s="8" t="s">
        <v>969</v>
      </c>
      <c r="P17" s="8" t="s">
        <v>969</v>
      </c>
      <c r="Q17" s="8" t="s">
        <v>969</v>
      </c>
      <c r="R17" s="8" t="s">
        <v>969</v>
      </c>
      <c r="S17" s="8" t="s">
        <v>969</v>
      </c>
      <c r="T17" s="8" t="s">
        <v>969</v>
      </c>
      <c r="U17" s="8" t="s">
        <v>1274</v>
      </c>
      <c r="V17" s="8" t="s">
        <v>1275</v>
      </c>
      <c r="W17" s="8" t="s">
        <v>1276</v>
      </c>
      <c r="X17" s="8" t="s">
        <v>1277</v>
      </c>
      <c r="Y17" s="8" t="s">
        <v>1278</v>
      </c>
      <c r="Z17" s="8" t="s">
        <v>1279</v>
      </c>
      <c r="AA17" s="8" t="s">
        <v>1280</v>
      </c>
      <c r="AB17" s="8" t="s">
        <v>1281</v>
      </c>
      <c r="AC17" s="8" t="s">
        <v>969</v>
      </c>
      <c r="AD17" s="8" t="s">
        <v>969</v>
      </c>
      <c r="AE17" s="8" t="s">
        <v>969</v>
      </c>
      <c r="AF17" s="8" t="s">
        <v>969</v>
      </c>
      <c r="AG17" s="8">
        <v>83.0</v>
      </c>
      <c r="AH17" s="8">
        <v>207.0</v>
      </c>
      <c r="AI17" s="8">
        <v>232.0</v>
      </c>
      <c r="AJ17" s="8">
        <v>0.0</v>
      </c>
      <c r="AK17" s="8">
        <v>94.0</v>
      </c>
      <c r="AL17" s="8" t="s">
        <v>1091</v>
      </c>
      <c r="AM17" s="8" t="s">
        <v>1092</v>
      </c>
      <c r="AN17" s="8" t="s">
        <v>1093</v>
      </c>
      <c r="AO17" s="8" t="s">
        <v>1282</v>
      </c>
      <c r="AP17" s="8" t="s">
        <v>1283</v>
      </c>
      <c r="AQ17" s="8" t="s">
        <v>969</v>
      </c>
      <c r="AR17" s="8" t="s">
        <v>1273</v>
      </c>
      <c r="AS17" s="8" t="s">
        <v>1284</v>
      </c>
      <c r="AT17" s="8" t="s">
        <v>1285</v>
      </c>
      <c r="AU17" s="8">
        <v>2004.0</v>
      </c>
      <c r="AV17" s="8">
        <v>27.0</v>
      </c>
      <c r="AW17" s="8">
        <v>3.0</v>
      </c>
      <c r="AX17" s="8" t="s">
        <v>969</v>
      </c>
      <c r="AY17" s="8" t="s">
        <v>969</v>
      </c>
      <c r="AZ17" s="8" t="s">
        <v>969</v>
      </c>
      <c r="BA17" s="8" t="s">
        <v>969</v>
      </c>
      <c r="BB17" s="8">
        <v>366.0</v>
      </c>
      <c r="BC17" s="8">
        <v>380.0</v>
      </c>
      <c r="BD17" s="8" t="s">
        <v>969</v>
      </c>
      <c r="BE17" s="8" t="s">
        <v>677</v>
      </c>
      <c r="BF17" s="13" t="str">
        <f>HYPERLINK("http://dx.doi.org/10.1111/j.0906-7590.2004.03823.x","http://dx.doi.org/10.1111/j.0906-7590.2004.03823.x")</f>
        <v>http://dx.doi.org/10.1111/j.0906-7590.2004.03823.x</v>
      </c>
      <c r="BG17" s="8" t="s">
        <v>969</v>
      </c>
      <c r="BH17" s="8" t="s">
        <v>969</v>
      </c>
      <c r="BI17" s="8">
        <v>15.0</v>
      </c>
      <c r="BJ17" s="8" t="s">
        <v>1286</v>
      </c>
      <c r="BK17" s="8" t="s">
        <v>988</v>
      </c>
      <c r="BL17" s="8" t="s">
        <v>989</v>
      </c>
      <c r="BM17" s="8" t="s">
        <v>1287</v>
      </c>
      <c r="BN17" s="8" t="s">
        <v>969</v>
      </c>
      <c r="BO17" s="8" t="s">
        <v>969</v>
      </c>
      <c r="BP17" s="8" t="s">
        <v>969</v>
      </c>
      <c r="BQ17" s="8" t="s">
        <v>969</v>
      </c>
      <c r="BR17" s="8" t="s">
        <v>991</v>
      </c>
      <c r="BS17" s="8" t="s">
        <v>1288</v>
      </c>
      <c r="BT17" s="8" t="s">
        <v>1021</v>
      </c>
      <c r="BW17" s="8" t="s">
        <v>51</v>
      </c>
      <c r="BX17" s="8" t="s">
        <v>1022</v>
      </c>
      <c r="CA17" s="8" t="str">
        <f>HYPERLINK("https%3A%2F%2Fwww.webofscience.com%2Fwos%2Fwoscc%2Ffull-record%2FWOS:000221421200010","View Full Record in Web of Science")</f>
        <v>View Full Record in Web of Science</v>
      </c>
    </row>
    <row r="18" ht="12.75" customHeight="1">
      <c r="A18" s="8" t="s">
        <v>967</v>
      </c>
      <c r="B18" s="8" t="s">
        <v>1289</v>
      </c>
      <c r="C18" s="8" t="s">
        <v>969</v>
      </c>
      <c r="D18" s="8" t="s">
        <v>969</v>
      </c>
      <c r="E18" s="8" t="s">
        <v>969</v>
      </c>
      <c r="F18" s="8" t="s">
        <v>1289</v>
      </c>
      <c r="G18" s="8" t="s">
        <v>969</v>
      </c>
      <c r="H18" s="8" t="s">
        <v>969</v>
      </c>
      <c r="I18" s="8" t="s">
        <v>1290</v>
      </c>
      <c r="J18" s="8" t="s">
        <v>971</v>
      </c>
      <c r="K18" s="8" t="s">
        <v>969</v>
      </c>
      <c r="L18" s="8" t="s">
        <v>969</v>
      </c>
      <c r="M18" s="8" t="s">
        <v>972</v>
      </c>
      <c r="N18" s="8" t="s">
        <v>973</v>
      </c>
      <c r="O18" s="8" t="s">
        <v>969</v>
      </c>
      <c r="P18" s="8" t="s">
        <v>969</v>
      </c>
      <c r="Q18" s="8" t="s">
        <v>969</v>
      </c>
      <c r="R18" s="8" t="s">
        <v>969</v>
      </c>
      <c r="S18" s="8" t="s">
        <v>969</v>
      </c>
      <c r="T18" s="8" t="s">
        <v>1291</v>
      </c>
      <c r="U18" s="8" t="s">
        <v>1292</v>
      </c>
      <c r="V18" s="8" t="s">
        <v>1293</v>
      </c>
      <c r="W18" s="8" t="s">
        <v>1294</v>
      </c>
      <c r="X18" s="8" t="s">
        <v>1295</v>
      </c>
      <c r="Y18" s="8" t="s">
        <v>1296</v>
      </c>
      <c r="Z18" s="8" t="s">
        <v>1297</v>
      </c>
      <c r="AA18" s="8" t="s">
        <v>1298</v>
      </c>
      <c r="AB18" s="8" t="s">
        <v>1299</v>
      </c>
      <c r="AC18" s="8" t="s">
        <v>969</v>
      </c>
      <c r="AD18" s="8" t="s">
        <v>969</v>
      </c>
      <c r="AE18" s="8" t="s">
        <v>969</v>
      </c>
      <c r="AF18" s="8" t="s">
        <v>969</v>
      </c>
      <c r="AG18" s="8">
        <v>69.0</v>
      </c>
      <c r="AH18" s="8">
        <v>551.0</v>
      </c>
      <c r="AI18" s="8">
        <v>646.0</v>
      </c>
      <c r="AJ18" s="8">
        <v>3.0</v>
      </c>
      <c r="AK18" s="8">
        <v>203.0</v>
      </c>
      <c r="AL18" s="8" t="s">
        <v>1091</v>
      </c>
      <c r="AM18" s="8" t="s">
        <v>1092</v>
      </c>
      <c r="AN18" s="8" t="s">
        <v>1093</v>
      </c>
      <c r="AO18" s="8" t="s">
        <v>983</v>
      </c>
      <c r="AP18" s="8" t="s">
        <v>1094</v>
      </c>
      <c r="AQ18" s="8" t="s">
        <v>969</v>
      </c>
      <c r="AR18" s="8" t="s">
        <v>1095</v>
      </c>
      <c r="AS18" s="8" t="s">
        <v>985</v>
      </c>
      <c r="AT18" s="8" t="s">
        <v>1300</v>
      </c>
      <c r="AU18" s="8">
        <v>2004.0</v>
      </c>
      <c r="AV18" s="8">
        <v>10.0</v>
      </c>
      <c r="AW18" s="8">
        <v>9.0</v>
      </c>
      <c r="AX18" s="8" t="s">
        <v>969</v>
      </c>
      <c r="AY18" s="8" t="s">
        <v>969</v>
      </c>
      <c r="AZ18" s="8" t="s">
        <v>969</v>
      </c>
      <c r="BA18" s="8" t="s">
        <v>969</v>
      </c>
      <c r="BB18" s="8">
        <v>1618.0</v>
      </c>
      <c r="BC18" s="8">
        <v>1626.0</v>
      </c>
      <c r="BD18" s="8" t="s">
        <v>969</v>
      </c>
      <c r="BE18" s="8" t="s">
        <v>683</v>
      </c>
      <c r="BF18" s="13" t="str">
        <f>HYPERLINK("http://dx.doi.org/10.1111/j.1365-2486.2004.00828.x","http://dx.doi.org/10.1111/j.1365-2486.2004.00828.x")</f>
        <v>http://dx.doi.org/10.1111/j.1365-2486.2004.00828.x</v>
      </c>
      <c r="BG18" s="8" t="s">
        <v>969</v>
      </c>
      <c r="BH18" s="8" t="s">
        <v>969</v>
      </c>
      <c r="BI18" s="8">
        <v>9.0</v>
      </c>
      <c r="BJ18" s="8" t="s">
        <v>987</v>
      </c>
      <c r="BK18" s="8" t="s">
        <v>988</v>
      </c>
      <c r="BL18" s="8" t="s">
        <v>989</v>
      </c>
      <c r="BM18" s="8" t="s">
        <v>1301</v>
      </c>
      <c r="BN18" s="8" t="s">
        <v>969</v>
      </c>
      <c r="BO18" s="8" t="s">
        <v>969</v>
      </c>
      <c r="BP18" s="8" t="s">
        <v>969</v>
      </c>
      <c r="BQ18" s="8" t="s">
        <v>969</v>
      </c>
      <c r="BR18" s="8" t="s">
        <v>991</v>
      </c>
      <c r="BS18" s="8" t="s">
        <v>1302</v>
      </c>
      <c r="BT18" s="8" t="s">
        <v>1021</v>
      </c>
      <c r="BW18" s="8" t="s">
        <v>51</v>
      </c>
      <c r="BX18" s="8" t="s">
        <v>1022</v>
      </c>
      <c r="CA18" s="8" t="str">
        <f>HYPERLINK("https%3A%2F%2Fwww.webofscience.com%2Fwos%2Fwoscc%2Ffull-record%2FWOS:000223817000017","View Full Record in Web of Science")</f>
        <v>View Full Record in Web of Science</v>
      </c>
    </row>
    <row r="19" ht="12.75" customHeight="1">
      <c r="A19" s="8" t="s">
        <v>967</v>
      </c>
      <c r="B19" s="8" t="s">
        <v>1303</v>
      </c>
      <c r="C19" s="8" t="s">
        <v>969</v>
      </c>
      <c r="D19" s="8" t="s">
        <v>969</v>
      </c>
      <c r="E19" s="8" t="s">
        <v>969</v>
      </c>
      <c r="F19" s="8" t="s">
        <v>1303</v>
      </c>
      <c r="G19" s="8" t="s">
        <v>969</v>
      </c>
      <c r="H19" s="8" t="s">
        <v>969</v>
      </c>
      <c r="I19" s="8" t="s">
        <v>1304</v>
      </c>
      <c r="J19" s="8" t="s">
        <v>1305</v>
      </c>
      <c r="K19" s="8" t="s">
        <v>969</v>
      </c>
      <c r="L19" s="8" t="s">
        <v>969</v>
      </c>
      <c r="M19" s="8" t="s">
        <v>972</v>
      </c>
      <c r="N19" s="8" t="s">
        <v>973</v>
      </c>
      <c r="O19" s="8" t="s">
        <v>969</v>
      </c>
      <c r="P19" s="8" t="s">
        <v>969</v>
      </c>
      <c r="Q19" s="8" t="s">
        <v>969</v>
      </c>
      <c r="R19" s="8" t="s">
        <v>969</v>
      </c>
      <c r="S19" s="8" t="s">
        <v>969</v>
      </c>
      <c r="T19" s="8" t="s">
        <v>969</v>
      </c>
      <c r="U19" s="8" t="s">
        <v>1306</v>
      </c>
      <c r="V19" s="8" t="s">
        <v>1307</v>
      </c>
      <c r="W19" s="8" t="s">
        <v>1308</v>
      </c>
      <c r="X19" s="8" t="s">
        <v>1309</v>
      </c>
      <c r="Y19" s="8" t="s">
        <v>1310</v>
      </c>
      <c r="Z19" s="8" t="s">
        <v>1174</v>
      </c>
      <c r="AA19" s="8" t="s">
        <v>1311</v>
      </c>
      <c r="AB19" s="8" t="s">
        <v>1312</v>
      </c>
      <c r="AC19" s="8" t="s">
        <v>969</v>
      </c>
      <c r="AD19" s="8" t="s">
        <v>969</v>
      </c>
      <c r="AE19" s="8" t="s">
        <v>969</v>
      </c>
      <c r="AF19" s="8" t="s">
        <v>969</v>
      </c>
      <c r="AG19" s="8">
        <v>55.0</v>
      </c>
      <c r="AH19" s="8">
        <v>48.0</v>
      </c>
      <c r="AI19" s="8">
        <v>61.0</v>
      </c>
      <c r="AJ19" s="8">
        <v>1.0</v>
      </c>
      <c r="AK19" s="8">
        <v>29.0</v>
      </c>
      <c r="AL19" s="8" t="s">
        <v>1313</v>
      </c>
      <c r="AM19" s="8" t="s">
        <v>1314</v>
      </c>
      <c r="AN19" s="8" t="s">
        <v>1315</v>
      </c>
      <c r="AO19" s="8" t="s">
        <v>1316</v>
      </c>
      <c r="AP19" s="8" t="s">
        <v>1317</v>
      </c>
      <c r="AQ19" s="8" t="s">
        <v>969</v>
      </c>
      <c r="AR19" s="8" t="s">
        <v>1318</v>
      </c>
      <c r="AS19" s="8" t="s">
        <v>1319</v>
      </c>
      <c r="AT19" s="8" t="s">
        <v>1285</v>
      </c>
      <c r="AU19" s="8">
        <v>2004.0</v>
      </c>
      <c r="AV19" s="8">
        <v>82.0</v>
      </c>
      <c r="AW19" s="8">
        <v>6.0</v>
      </c>
      <c r="AX19" s="8" t="s">
        <v>969</v>
      </c>
      <c r="AY19" s="8" t="s">
        <v>969</v>
      </c>
      <c r="AZ19" s="8" t="s">
        <v>969</v>
      </c>
      <c r="BA19" s="8" t="s">
        <v>969</v>
      </c>
      <c r="BB19" s="8">
        <v>851.0</v>
      </c>
      <c r="BC19" s="8">
        <v>858.0</v>
      </c>
      <c r="BD19" s="8" t="s">
        <v>969</v>
      </c>
      <c r="BE19" s="8" t="s">
        <v>1320</v>
      </c>
      <c r="BF19" s="13" t="str">
        <f>HYPERLINK("http://dx.doi.org/10.1139/Z04-064","http://dx.doi.org/10.1139/Z04-064")</f>
        <v>http://dx.doi.org/10.1139/Z04-064</v>
      </c>
      <c r="BG19" s="8" t="s">
        <v>969</v>
      </c>
      <c r="BH19" s="8" t="s">
        <v>969</v>
      </c>
      <c r="BI19" s="8">
        <v>8.0</v>
      </c>
      <c r="BJ19" s="8" t="s">
        <v>1321</v>
      </c>
      <c r="BK19" s="8" t="s">
        <v>988</v>
      </c>
      <c r="BL19" s="8" t="s">
        <v>1321</v>
      </c>
      <c r="BM19" s="8" t="s">
        <v>1322</v>
      </c>
      <c r="BN19" s="8" t="s">
        <v>969</v>
      </c>
      <c r="BO19" s="8" t="s">
        <v>1227</v>
      </c>
      <c r="BP19" s="8" t="s">
        <v>969</v>
      </c>
      <c r="BQ19" s="8" t="s">
        <v>969</v>
      </c>
      <c r="BR19" s="8" t="s">
        <v>991</v>
      </c>
      <c r="BS19" s="8" t="s">
        <v>1323</v>
      </c>
      <c r="BT19" s="8" t="s">
        <v>993</v>
      </c>
      <c r="BU19" s="8" t="s">
        <v>994</v>
      </c>
      <c r="BW19" s="8" t="s">
        <v>33</v>
      </c>
      <c r="BX19" s="8" t="s">
        <v>995</v>
      </c>
      <c r="CA19" s="8" t="str">
        <f>HYPERLINK("https%3A%2F%2Fwww.webofscience.com%2Fwos%2Fwoscc%2Ffull-record%2FWOS:000223983200003","View Full Record in Web of Science")</f>
        <v>View Full Record in Web of Science</v>
      </c>
    </row>
    <row r="20" ht="12.75" customHeight="1">
      <c r="A20" s="8" t="s">
        <v>967</v>
      </c>
      <c r="B20" s="8" t="s">
        <v>1324</v>
      </c>
      <c r="C20" s="8" t="s">
        <v>969</v>
      </c>
      <c r="D20" s="8" t="s">
        <v>969</v>
      </c>
      <c r="E20" s="8" t="s">
        <v>969</v>
      </c>
      <c r="F20" s="8" t="s">
        <v>1324</v>
      </c>
      <c r="G20" s="8" t="s">
        <v>969</v>
      </c>
      <c r="H20" s="8" t="s">
        <v>969</v>
      </c>
      <c r="I20" s="8" t="s">
        <v>1325</v>
      </c>
      <c r="J20" s="8" t="s">
        <v>1326</v>
      </c>
      <c r="K20" s="8" t="s">
        <v>969</v>
      </c>
      <c r="L20" s="8" t="s">
        <v>969</v>
      </c>
      <c r="M20" s="8" t="s">
        <v>972</v>
      </c>
      <c r="N20" s="8" t="s">
        <v>973</v>
      </c>
      <c r="O20" s="8" t="s">
        <v>969</v>
      </c>
      <c r="P20" s="8" t="s">
        <v>969</v>
      </c>
      <c r="Q20" s="8" t="s">
        <v>969</v>
      </c>
      <c r="R20" s="8" t="s">
        <v>969</v>
      </c>
      <c r="S20" s="8" t="s">
        <v>969</v>
      </c>
      <c r="T20" s="8" t="s">
        <v>1327</v>
      </c>
      <c r="U20" s="8" t="s">
        <v>1328</v>
      </c>
      <c r="V20" s="8" t="s">
        <v>1329</v>
      </c>
      <c r="W20" s="8" t="s">
        <v>1330</v>
      </c>
      <c r="X20" s="8" t="s">
        <v>1331</v>
      </c>
      <c r="Y20" s="8" t="s">
        <v>1332</v>
      </c>
      <c r="Z20" s="8" t="s">
        <v>1333</v>
      </c>
      <c r="AA20" s="8" t="s">
        <v>1334</v>
      </c>
      <c r="AB20" s="8" t="s">
        <v>1335</v>
      </c>
      <c r="AC20" s="8" t="s">
        <v>969</v>
      </c>
      <c r="AD20" s="8" t="s">
        <v>969</v>
      </c>
      <c r="AE20" s="8" t="s">
        <v>969</v>
      </c>
      <c r="AF20" s="8" t="s">
        <v>969</v>
      </c>
      <c r="AG20" s="8">
        <v>30.0</v>
      </c>
      <c r="AH20" s="8">
        <v>293.0</v>
      </c>
      <c r="AI20" s="8">
        <v>331.0</v>
      </c>
      <c r="AJ20" s="8">
        <v>1.0</v>
      </c>
      <c r="AK20" s="8">
        <v>109.0</v>
      </c>
      <c r="AL20" s="8" t="s">
        <v>1091</v>
      </c>
      <c r="AM20" s="8" t="s">
        <v>1092</v>
      </c>
      <c r="AN20" s="8" t="s">
        <v>1093</v>
      </c>
      <c r="AO20" s="8" t="s">
        <v>1336</v>
      </c>
      <c r="AP20" s="8" t="s">
        <v>1337</v>
      </c>
      <c r="AQ20" s="8" t="s">
        <v>969</v>
      </c>
      <c r="AR20" s="8" t="s">
        <v>1338</v>
      </c>
      <c r="AS20" s="8" t="s">
        <v>1339</v>
      </c>
      <c r="AT20" s="8" t="s">
        <v>1112</v>
      </c>
      <c r="AU20" s="8">
        <v>2004.0</v>
      </c>
      <c r="AV20" s="8">
        <v>18.0</v>
      </c>
      <c r="AW20" s="8">
        <v>5.0</v>
      </c>
      <c r="AX20" s="8" t="s">
        <v>969</v>
      </c>
      <c r="AY20" s="8" t="s">
        <v>969</v>
      </c>
      <c r="AZ20" s="8" t="s">
        <v>969</v>
      </c>
      <c r="BA20" s="8" t="s">
        <v>969</v>
      </c>
      <c r="BB20" s="8">
        <v>625.0</v>
      </c>
      <c r="BC20" s="8">
        <v>630.0</v>
      </c>
      <c r="BD20" s="8" t="s">
        <v>969</v>
      </c>
      <c r="BE20" s="8" t="s">
        <v>674</v>
      </c>
      <c r="BF20" s="13" t="str">
        <f>HYPERLINK("http://dx.doi.org/10.1111/j.0269-8463.2004.00903.x","http://dx.doi.org/10.1111/j.0269-8463.2004.00903.x")</f>
        <v>http://dx.doi.org/10.1111/j.0269-8463.2004.00903.x</v>
      </c>
      <c r="BG20" s="8" t="s">
        <v>969</v>
      </c>
      <c r="BH20" s="8" t="s">
        <v>969</v>
      </c>
      <c r="BI20" s="8">
        <v>6.0</v>
      </c>
      <c r="BJ20" s="8" t="s">
        <v>1267</v>
      </c>
      <c r="BK20" s="8" t="s">
        <v>988</v>
      </c>
      <c r="BL20" s="8" t="s">
        <v>1268</v>
      </c>
      <c r="BM20" s="8" t="s">
        <v>1340</v>
      </c>
      <c r="BN20" s="8" t="s">
        <v>969</v>
      </c>
      <c r="BO20" s="8" t="s">
        <v>1341</v>
      </c>
      <c r="BP20" s="8" t="s">
        <v>969</v>
      </c>
      <c r="BQ20" s="8" t="s">
        <v>969</v>
      </c>
      <c r="BR20" s="8" t="s">
        <v>991</v>
      </c>
      <c r="BS20" s="8" t="s">
        <v>1342</v>
      </c>
      <c r="BW20" s="8" t="s">
        <v>33</v>
      </c>
      <c r="BX20" s="8" t="s">
        <v>995</v>
      </c>
      <c r="CA20" s="8" t="str">
        <f>HYPERLINK("https%3A%2F%2Fwww.webofscience.com%2Fwos%2Fwoscc%2Ffull-record%2FWOS:000224000900001","View Full Record in Web of Science")</f>
        <v>View Full Record in Web of Science</v>
      </c>
    </row>
    <row r="21" ht="12.75" customHeight="1">
      <c r="A21" s="8" t="s">
        <v>967</v>
      </c>
      <c r="B21" s="8" t="s">
        <v>1343</v>
      </c>
      <c r="C21" s="8" t="s">
        <v>969</v>
      </c>
      <c r="D21" s="8" t="s">
        <v>969</v>
      </c>
      <c r="E21" s="8" t="s">
        <v>969</v>
      </c>
      <c r="F21" s="8" t="s">
        <v>1343</v>
      </c>
      <c r="G21" s="8" t="s">
        <v>969</v>
      </c>
      <c r="H21" s="8" t="s">
        <v>969</v>
      </c>
      <c r="I21" s="8" t="s">
        <v>1344</v>
      </c>
      <c r="J21" s="8" t="s">
        <v>1144</v>
      </c>
      <c r="K21" s="8" t="s">
        <v>969</v>
      </c>
      <c r="L21" s="8" t="s">
        <v>969</v>
      </c>
      <c r="M21" s="8" t="s">
        <v>972</v>
      </c>
      <c r="N21" s="8" t="s">
        <v>973</v>
      </c>
      <c r="O21" s="8" t="s">
        <v>969</v>
      </c>
      <c r="P21" s="8" t="s">
        <v>969</v>
      </c>
      <c r="Q21" s="8" t="s">
        <v>969</v>
      </c>
      <c r="R21" s="8" t="s">
        <v>969</v>
      </c>
      <c r="S21" s="8" t="s">
        <v>969</v>
      </c>
      <c r="T21" s="8" t="s">
        <v>1345</v>
      </c>
      <c r="U21" s="8" t="s">
        <v>1346</v>
      </c>
      <c r="V21" s="8" t="s">
        <v>1347</v>
      </c>
      <c r="W21" s="8" t="s">
        <v>1348</v>
      </c>
      <c r="X21" s="8" t="s">
        <v>1349</v>
      </c>
      <c r="Y21" s="8" t="s">
        <v>1350</v>
      </c>
      <c r="Z21" s="8" t="s">
        <v>1351</v>
      </c>
      <c r="AA21" s="8" t="s">
        <v>1352</v>
      </c>
      <c r="AB21" s="8" t="s">
        <v>1353</v>
      </c>
      <c r="AC21" s="8" t="s">
        <v>969</v>
      </c>
      <c r="AD21" s="8" t="s">
        <v>969</v>
      </c>
      <c r="AE21" s="8" t="s">
        <v>969</v>
      </c>
      <c r="AF21" s="8" t="s">
        <v>969</v>
      </c>
      <c r="AG21" s="8">
        <v>56.0</v>
      </c>
      <c r="AH21" s="8">
        <v>92.0</v>
      </c>
      <c r="AI21" s="8">
        <v>110.0</v>
      </c>
      <c r="AJ21" s="8">
        <v>0.0</v>
      </c>
      <c r="AK21" s="8">
        <v>108.0</v>
      </c>
      <c r="AL21" s="8" t="s">
        <v>1091</v>
      </c>
      <c r="AM21" s="8" t="s">
        <v>1092</v>
      </c>
      <c r="AN21" s="8" t="s">
        <v>1093</v>
      </c>
      <c r="AO21" s="8" t="s">
        <v>1159</v>
      </c>
      <c r="AP21" s="8" t="s">
        <v>1160</v>
      </c>
      <c r="AQ21" s="8" t="s">
        <v>969</v>
      </c>
      <c r="AR21" s="8" t="s">
        <v>1161</v>
      </c>
      <c r="AS21" s="8" t="s">
        <v>1162</v>
      </c>
      <c r="AT21" s="8" t="s">
        <v>1163</v>
      </c>
      <c r="AU21" s="8">
        <v>2004.0</v>
      </c>
      <c r="AV21" s="8">
        <v>13.0</v>
      </c>
      <c r="AW21" s="8">
        <v>6.0</v>
      </c>
      <c r="AX21" s="8" t="s">
        <v>969</v>
      </c>
      <c r="AY21" s="8" t="s">
        <v>969</v>
      </c>
      <c r="AZ21" s="8" t="s">
        <v>969</v>
      </c>
      <c r="BA21" s="8" t="s">
        <v>969</v>
      </c>
      <c r="BB21" s="8">
        <v>553.0</v>
      </c>
      <c r="BC21" s="8">
        <v>565.0</v>
      </c>
      <c r="BD21" s="8" t="s">
        <v>969</v>
      </c>
      <c r="BE21" s="8" t="s">
        <v>755</v>
      </c>
      <c r="BF21" s="13" t="str">
        <f>HYPERLINK("http://dx.doi.org/10.1111/j.1466-822X.2004.00105.x","http://dx.doi.org/10.1111/j.1466-822X.2004.00105.x")</f>
        <v>http://dx.doi.org/10.1111/j.1466-822X.2004.00105.x</v>
      </c>
      <c r="BG21" s="8" t="s">
        <v>969</v>
      </c>
      <c r="BH21" s="8" t="s">
        <v>969</v>
      </c>
      <c r="BI21" s="8">
        <v>13.0</v>
      </c>
      <c r="BJ21" s="8" t="s">
        <v>1017</v>
      </c>
      <c r="BK21" s="8" t="s">
        <v>988</v>
      </c>
      <c r="BL21" s="8" t="s">
        <v>1018</v>
      </c>
      <c r="BM21" s="8" t="s">
        <v>1354</v>
      </c>
      <c r="BN21" s="8" t="s">
        <v>969</v>
      </c>
      <c r="BO21" s="8" t="s">
        <v>969</v>
      </c>
      <c r="BP21" s="8" t="s">
        <v>969</v>
      </c>
      <c r="BQ21" s="8" t="s">
        <v>969</v>
      </c>
      <c r="BR21" s="8" t="s">
        <v>991</v>
      </c>
      <c r="BS21" s="8" t="s">
        <v>1355</v>
      </c>
      <c r="BT21" s="8" t="s">
        <v>993</v>
      </c>
      <c r="BU21" s="8" t="s">
        <v>1356</v>
      </c>
      <c r="BW21" s="8" t="s">
        <v>51</v>
      </c>
      <c r="BX21" s="8" t="s">
        <v>1022</v>
      </c>
      <c r="CA21" s="8" t="str">
        <f>HYPERLINK("https%3A%2F%2Fwww.webofscience.com%2Fwos%2Fwoscc%2Ffull-record%2FWOS:000224648000008","View Full Record in Web of Science")</f>
        <v>View Full Record in Web of Science</v>
      </c>
    </row>
    <row r="22" ht="12.75" customHeight="1">
      <c r="A22" s="8" t="s">
        <v>967</v>
      </c>
      <c r="B22" s="8" t="s">
        <v>1357</v>
      </c>
      <c r="C22" s="8" t="s">
        <v>969</v>
      </c>
      <c r="D22" s="8" t="s">
        <v>969</v>
      </c>
      <c r="E22" s="8" t="s">
        <v>969</v>
      </c>
      <c r="F22" s="8" t="s">
        <v>1357</v>
      </c>
      <c r="G22" s="8" t="s">
        <v>969</v>
      </c>
      <c r="H22" s="8" t="s">
        <v>969</v>
      </c>
      <c r="I22" s="8" t="s">
        <v>1358</v>
      </c>
      <c r="J22" s="8" t="s">
        <v>1359</v>
      </c>
      <c r="K22" s="8" t="s">
        <v>969</v>
      </c>
      <c r="L22" s="8" t="s">
        <v>969</v>
      </c>
      <c r="M22" s="8" t="s">
        <v>972</v>
      </c>
      <c r="N22" s="8" t="s">
        <v>973</v>
      </c>
      <c r="O22" s="8" t="s">
        <v>969</v>
      </c>
      <c r="P22" s="8" t="s">
        <v>969</v>
      </c>
      <c r="Q22" s="8" t="s">
        <v>969</v>
      </c>
      <c r="R22" s="8" t="s">
        <v>969</v>
      </c>
      <c r="S22" s="8" t="s">
        <v>969</v>
      </c>
      <c r="T22" s="8" t="s">
        <v>1360</v>
      </c>
      <c r="U22" s="8" t="s">
        <v>1361</v>
      </c>
      <c r="V22" s="8" t="s">
        <v>1362</v>
      </c>
      <c r="W22" s="8" t="s">
        <v>1363</v>
      </c>
      <c r="X22" s="8" t="s">
        <v>1364</v>
      </c>
      <c r="Y22" s="8" t="s">
        <v>1365</v>
      </c>
      <c r="Z22" s="8" t="s">
        <v>1366</v>
      </c>
      <c r="AA22" s="8" t="s">
        <v>1367</v>
      </c>
      <c r="AB22" s="8" t="s">
        <v>1368</v>
      </c>
      <c r="AC22" s="8" t="s">
        <v>969</v>
      </c>
      <c r="AD22" s="8" t="s">
        <v>969</v>
      </c>
      <c r="AE22" s="8" t="s">
        <v>969</v>
      </c>
      <c r="AF22" s="8" t="s">
        <v>969</v>
      </c>
      <c r="AG22" s="8">
        <v>51.0</v>
      </c>
      <c r="AH22" s="8">
        <v>45.0</v>
      </c>
      <c r="AI22" s="8">
        <v>61.0</v>
      </c>
      <c r="AJ22" s="8">
        <v>2.0</v>
      </c>
      <c r="AK22" s="8">
        <v>35.0</v>
      </c>
      <c r="AL22" s="8" t="s">
        <v>1091</v>
      </c>
      <c r="AM22" s="8" t="s">
        <v>1092</v>
      </c>
      <c r="AN22" s="8" t="s">
        <v>1093</v>
      </c>
      <c r="AO22" s="8" t="s">
        <v>1369</v>
      </c>
      <c r="AP22" s="8" t="s">
        <v>1370</v>
      </c>
      <c r="AQ22" s="8" t="s">
        <v>969</v>
      </c>
      <c r="AR22" s="8" t="s">
        <v>1359</v>
      </c>
      <c r="AS22" s="8" t="s">
        <v>1371</v>
      </c>
      <c r="AT22" s="8" t="s">
        <v>1285</v>
      </c>
      <c r="AU22" s="8">
        <v>2005.0</v>
      </c>
      <c r="AV22" s="8">
        <v>37.0</v>
      </c>
      <c r="AW22" s="8">
        <v>2.0</v>
      </c>
      <c r="AX22" s="8" t="s">
        <v>969</v>
      </c>
      <c r="AY22" s="8" t="s">
        <v>969</v>
      </c>
      <c r="AZ22" s="8" t="s">
        <v>969</v>
      </c>
      <c r="BA22" s="8" t="s">
        <v>969</v>
      </c>
      <c r="BB22" s="8">
        <v>202.0</v>
      </c>
      <c r="BC22" s="8">
        <v>208.0</v>
      </c>
      <c r="BD22" s="8" t="s">
        <v>969</v>
      </c>
      <c r="BE22" s="8" t="s">
        <v>785</v>
      </c>
      <c r="BF22" s="13" t="str">
        <f>HYPERLINK("http://dx.doi.org/10.1111/j.1744-7429.2005.00027.x","http://dx.doi.org/10.1111/j.1744-7429.2005.00027.x")</f>
        <v>http://dx.doi.org/10.1111/j.1744-7429.2005.00027.x</v>
      </c>
      <c r="BG22" s="8" t="s">
        <v>969</v>
      </c>
      <c r="BH22" s="8" t="s">
        <v>969</v>
      </c>
      <c r="BI22" s="8">
        <v>7.0</v>
      </c>
      <c r="BJ22" s="8" t="s">
        <v>1267</v>
      </c>
      <c r="BK22" s="8" t="s">
        <v>988</v>
      </c>
      <c r="BL22" s="8" t="s">
        <v>1268</v>
      </c>
      <c r="BM22" s="8" t="s">
        <v>1372</v>
      </c>
      <c r="BN22" s="8" t="s">
        <v>969</v>
      </c>
      <c r="BO22" s="8" t="s">
        <v>969</v>
      </c>
      <c r="BP22" s="8" t="s">
        <v>969</v>
      </c>
      <c r="BQ22" s="8" t="s">
        <v>969</v>
      </c>
      <c r="BR22" s="8" t="s">
        <v>991</v>
      </c>
      <c r="BS22" s="8" t="s">
        <v>1373</v>
      </c>
      <c r="BT22" s="8" t="s">
        <v>993</v>
      </c>
      <c r="BU22" s="8" t="s">
        <v>994</v>
      </c>
      <c r="BW22" s="8" t="s">
        <v>240</v>
      </c>
      <c r="BX22" s="8" t="s">
        <v>995</v>
      </c>
      <c r="BY22" s="8" t="s">
        <v>996</v>
      </c>
      <c r="BZ22" s="8" t="s">
        <v>1374</v>
      </c>
      <c r="CA22" s="8" t="str">
        <f>HYPERLINK("https%3A%2F%2Fwww.webofscience.com%2Fwos%2Fwoscc%2Ffull-record%2FWOS:000229355500007","View Full Record in Web of Science")</f>
        <v>View Full Record in Web of Science</v>
      </c>
    </row>
    <row r="23" ht="12.75" customHeight="1">
      <c r="A23" s="8" t="s">
        <v>967</v>
      </c>
      <c r="B23" s="8" t="s">
        <v>1375</v>
      </c>
      <c r="C23" s="8" t="s">
        <v>969</v>
      </c>
      <c r="D23" s="8" t="s">
        <v>969</v>
      </c>
      <c r="E23" s="8" t="s">
        <v>969</v>
      </c>
      <c r="F23" s="8" t="s">
        <v>1375</v>
      </c>
      <c r="G23" s="8" t="s">
        <v>969</v>
      </c>
      <c r="H23" s="8" t="s">
        <v>969</v>
      </c>
      <c r="I23" s="8" t="s">
        <v>1376</v>
      </c>
      <c r="J23" s="8" t="s">
        <v>1377</v>
      </c>
      <c r="K23" s="8" t="s">
        <v>969</v>
      </c>
      <c r="L23" s="8" t="s">
        <v>969</v>
      </c>
      <c r="M23" s="8" t="s">
        <v>972</v>
      </c>
      <c r="N23" s="8" t="s">
        <v>973</v>
      </c>
      <c r="O23" s="8" t="s">
        <v>969</v>
      </c>
      <c r="P23" s="8" t="s">
        <v>969</v>
      </c>
      <c r="Q23" s="8" t="s">
        <v>969</v>
      </c>
      <c r="R23" s="8" t="s">
        <v>969</v>
      </c>
      <c r="S23" s="8" t="s">
        <v>969</v>
      </c>
      <c r="T23" s="8" t="s">
        <v>1378</v>
      </c>
      <c r="U23" s="8" t="s">
        <v>1379</v>
      </c>
      <c r="V23" s="8" t="s">
        <v>1380</v>
      </c>
      <c r="W23" s="8" t="s">
        <v>1381</v>
      </c>
      <c r="X23" s="8" t="s">
        <v>1382</v>
      </c>
      <c r="Y23" s="8" t="s">
        <v>1383</v>
      </c>
      <c r="Z23" s="8" t="s">
        <v>1384</v>
      </c>
      <c r="AA23" s="8" t="s">
        <v>1385</v>
      </c>
      <c r="AB23" s="8" t="s">
        <v>1386</v>
      </c>
      <c r="AC23" s="8" t="s">
        <v>969</v>
      </c>
      <c r="AD23" s="8" t="s">
        <v>969</v>
      </c>
      <c r="AE23" s="8" t="s">
        <v>969</v>
      </c>
      <c r="AF23" s="8" t="s">
        <v>969</v>
      </c>
      <c r="AG23" s="8">
        <v>40.0</v>
      </c>
      <c r="AH23" s="8">
        <v>1875.0</v>
      </c>
      <c r="AI23" s="8">
        <v>2177.0</v>
      </c>
      <c r="AJ23" s="8">
        <v>9.0</v>
      </c>
      <c r="AK23" s="8">
        <v>913.0</v>
      </c>
      <c r="AL23" s="8" t="s">
        <v>1387</v>
      </c>
      <c r="AM23" s="8" t="s">
        <v>1388</v>
      </c>
      <c r="AN23" s="8" t="s">
        <v>1389</v>
      </c>
      <c r="AO23" s="8" t="s">
        <v>1390</v>
      </c>
      <c r="AP23" s="8" t="s">
        <v>1391</v>
      </c>
      <c r="AQ23" s="8" t="s">
        <v>969</v>
      </c>
      <c r="AR23" s="8" t="s">
        <v>1392</v>
      </c>
      <c r="AS23" s="8" t="s">
        <v>1393</v>
      </c>
      <c r="AT23" s="8" t="s">
        <v>1394</v>
      </c>
      <c r="AU23" s="8">
        <v>2005.0</v>
      </c>
      <c r="AV23" s="8">
        <v>102.0</v>
      </c>
      <c r="AW23" s="8">
        <v>23.0</v>
      </c>
      <c r="AX23" s="8" t="s">
        <v>969</v>
      </c>
      <c r="AY23" s="8" t="s">
        <v>969</v>
      </c>
      <c r="AZ23" s="8" t="s">
        <v>969</v>
      </c>
      <c r="BA23" s="8" t="s">
        <v>969</v>
      </c>
      <c r="BB23" s="8">
        <v>8245.0</v>
      </c>
      <c r="BC23" s="8">
        <v>8250.0</v>
      </c>
      <c r="BD23" s="8" t="s">
        <v>969</v>
      </c>
      <c r="BE23" s="8" t="s">
        <v>635</v>
      </c>
      <c r="BF23" s="13" t="str">
        <f>HYPERLINK("http://dx.doi.org/10.1073/pnas.0409902102","http://dx.doi.org/10.1073/pnas.0409902102")</f>
        <v>http://dx.doi.org/10.1073/pnas.0409902102</v>
      </c>
      <c r="BG23" s="8" t="s">
        <v>969</v>
      </c>
      <c r="BH23" s="8" t="s">
        <v>969</v>
      </c>
      <c r="BI23" s="8">
        <v>6.0</v>
      </c>
      <c r="BJ23" s="8" t="s">
        <v>1076</v>
      </c>
      <c r="BK23" s="8" t="s">
        <v>988</v>
      </c>
      <c r="BL23" s="8" t="s">
        <v>1077</v>
      </c>
      <c r="BM23" s="8" t="s">
        <v>1395</v>
      </c>
      <c r="BN23" s="8">
        <v>1.5919825E7</v>
      </c>
      <c r="BO23" s="8" t="s">
        <v>1227</v>
      </c>
      <c r="BP23" s="8" t="s">
        <v>969</v>
      </c>
      <c r="BQ23" s="8" t="s">
        <v>969</v>
      </c>
      <c r="BR23" s="8" t="s">
        <v>991</v>
      </c>
      <c r="BS23" s="8" t="s">
        <v>1396</v>
      </c>
      <c r="BT23" s="8" t="s">
        <v>1021</v>
      </c>
      <c r="BW23" s="8" t="s">
        <v>51</v>
      </c>
      <c r="BX23" s="8" t="s">
        <v>1022</v>
      </c>
      <c r="CA23" s="8" t="str">
        <f>HYPERLINK("https%3A%2F%2Fwww.webofscience.com%2Fwos%2Fwoscc%2Ffull-record%2FWOS:000229650500032","View Full Record in Web of Science")</f>
        <v>View Full Record in Web of Science</v>
      </c>
    </row>
    <row r="24" ht="12.75" customHeight="1">
      <c r="A24" s="8" t="s">
        <v>967</v>
      </c>
      <c r="B24" s="8" t="s">
        <v>1397</v>
      </c>
      <c r="C24" s="8" t="s">
        <v>969</v>
      </c>
      <c r="D24" s="8" t="s">
        <v>969</v>
      </c>
      <c r="E24" s="8" t="s">
        <v>969</v>
      </c>
      <c r="F24" s="8" t="s">
        <v>1397</v>
      </c>
      <c r="G24" s="8" t="s">
        <v>969</v>
      </c>
      <c r="H24" s="8" t="s">
        <v>969</v>
      </c>
      <c r="I24" s="8" t="s">
        <v>1398</v>
      </c>
      <c r="J24" s="8" t="s">
        <v>1183</v>
      </c>
      <c r="K24" s="8" t="s">
        <v>969</v>
      </c>
      <c r="L24" s="8" t="s">
        <v>969</v>
      </c>
      <c r="M24" s="8" t="s">
        <v>972</v>
      </c>
      <c r="N24" s="8" t="s">
        <v>973</v>
      </c>
      <c r="O24" s="8" t="s">
        <v>969</v>
      </c>
      <c r="P24" s="8" t="s">
        <v>969</v>
      </c>
      <c r="Q24" s="8" t="s">
        <v>969</v>
      </c>
      <c r="R24" s="8" t="s">
        <v>969</v>
      </c>
      <c r="S24" s="8" t="s">
        <v>969</v>
      </c>
      <c r="T24" s="8" t="s">
        <v>1399</v>
      </c>
      <c r="U24" s="8" t="s">
        <v>1400</v>
      </c>
      <c r="V24" s="8" t="s">
        <v>1401</v>
      </c>
      <c r="W24" s="8" t="s">
        <v>1402</v>
      </c>
      <c r="X24" s="8" t="s">
        <v>1403</v>
      </c>
      <c r="Y24" s="8" t="s">
        <v>1404</v>
      </c>
      <c r="Z24" s="8" t="s">
        <v>1405</v>
      </c>
      <c r="AA24" s="8" t="s">
        <v>1406</v>
      </c>
      <c r="AB24" s="8" t="s">
        <v>1407</v>
      </c>
      <c r="AC24" s="8" t="s">
        <v>969</v>
      </c>
      <c r="AD24" s="8" t="s">
        <v>969</v>
      </c>
      <c r="AE24" s="8" t="s">
        <v>969</v>
      </c>
      <c r="AF24" s="8" t="s">
        <v>969</v>
      </c>
      <c r="AG24" s="8">
        <v>43.0</v>
      </c>
      <c r="AH24" s="8">
        <v>86.0</v>
      </c>
      <c r="AI24" s="8">
        <v>97.0</v>
      </c>
      <c r="AJ24" s="8">
        <v>2.0</v>
      </c>
      <c r="AK24" s="8">
        <v>71.0</v>
      </c>
      <c r="AL24" s="8" t="s">
        <v>1192</v>
      </c>
      <c r="AM24" s="8" t="s">
        <v>981</v>
      </c>
      <c r="AN24" s="8" t="s">
        <v>1408</v>
      </c>
      <c r="AO24" s="8" t="s">
        <v>1195</v>
      </c>
      <c r="AP24" s="8" t="s">
        <v>969</v>
      </c>
      <c r="AQ24" s="8" t="s">
        <v>969</v>
      </c>
      <c r="AR24" s="8" t="s">
        <v>1197</v>
      </c>
      <c r="AS24" s="8" t="s">
        <v>1198</v>
      </c>
      <c r="AT24" s="8" t="s">
        <v>1112</v>
      </c>
      <c r="AU24" s="8">
        <v>2005.0</v>
      </c>
      <c r="AV24" s="8">
        <v>125.0</v>
      </c>
      <c r="AW24" s="8">
        <v>3.0</v>
      </c>
      <c r="AX24" s="8" t="s">
        <v>969</v>
      </c>
      <c r="AY24" s="8" t="s">
        <v>969</v>
      </c>
      <c r="AZ24" s="8" t="s">
        <v>969</v>
      </c>
      <c r="BA24" s="8" t="s">
        <v>969</v>
      </c>
      <c r="BB24" s="8">
        <v>335.0</v>
      </c>
      <c r="BC24" s="8">
        <v>343.0</v>
      </c>
      <c r="BD24" s="8" t="s">
        <v>969</v>
      </c>
      <c r="BE24" s="8" t="s">
        <v>548</v>
      </c>
      <c r="BF24" s="13" t="str">
        <f>HYPERLINK("http://dx.doi.org/10.1016/j.biocon.2005.04.003","http://dx.doi.org/10.1016/j.biocon.2005.04.003")</f>
        <v>http://dx.doi.org/10.1016/j.biocon.2005.04.003</v>
      </c>
      <c r="BG24" s="8" t="s">
        <v>969</v>
      </c>
      <c r="BH24" s="8" t="s">
        <v>969</v>
      </c>
      <c r="BI24" s="8">
        <v>9.0</v>
      </c>
      <c r="BJ24" s="8" t="s">
        <v>987</v>
      </c>
      <c r="BK24" s="8" t="s">
        <v>988</v>
      </c>
      <c r="BL24" s="8" t="s">
        <v>989</v>
      </c>
      <c r="BM24" s="8" t="s">
        <v>1409</v>
      </c>
      <c r="BN24" s="8" t="s">
        <v>969</v>
      </c>
      <c r="BO24" s="8" t="s">
        <v>969</v>
      </c>
      <c r="BP24" s="8" t="s">
        <v>969</v>
      </c>
      <c r="BQ24" s="8" t="s">
        <v>969</v>
      </c>
      <c r="BR24" s="8" t="s">
        <v>991</v>
      </c>
      <c r="BS24" s="8" t="s">
        <v>1410</v>
      </c>
      <c r="BT24" s="8" t="s">
        <v>1115</v>
      </c>
      <c r="BU24" s="8" t="s">
        <v>1116</v>
      </c>
      <c r="BV24" s="8" t="s">
        <v>1117</v>
      </c>
      <c r="BW24" s="8" t="s">
        <v>81</v>
      </c>
      <c r="BX24" s="8" t="s">
        <v>995</v>
      </c>
      <c r="BY24" s="8" t="s">
        <v>996</v>
      </c>
      <c r="BZ24" s="8" t="s">
        <v>1180</v>
      </c>
      <c r="CA24" s="8" t="str">
        <f>HYPERLINK("https%3A%2F%2Fwww.webofscience.com%2Fwos%2Fwoscc%2Ffull-record%2FWOS:000230357900006","View Full Record in Web of Science")</f>
        <v>View Full Record in Web of Science</v>
      </c>
    </row>
    <row r="25" ht="12.75" customHeight="1">
      <c r="A25" s="8" t="s">
        <v>967</v>
      </c>
      <c r="B25" s="8" t="s">
        <v>1411</v>
      </c>
      <c r="C25" s="8" t="s">
        <v>969</v>
      </c>
      <c r="D25" s="8" t="s">
        <v>969</v>
      </c>
      <c r="E25" s="8" t="s">
        <v>969</v>
      </c>
      <c r="F25" s="8" t="s">
        <v>1411</v>
      </c>
      <c r="G25" s="8" t="s">
        <v>969</v>
      </c>
      <c r="H25" s="8" t="s">
        <v>969</v>
      </c>
      <c r="I25" s="8" t="s">
        <v>1412</v>
      </c>
      <c r="J25" s="8" t="s">
        <v>1252</v>
      </c>
      <c r="K25" s="8" t="s">
        <v>969</v>
      </c>
      <c r="L25" s="8" t="s">
        <v>969</v>
      </c>
      <c r="M25" s="8" t="s">
        <v>972</v>
      </c>
      <c r="N25" s="8" t="s">
        <v>973</v>
      </c>
      <c r="O25" s="8" t="s">
        <v>969</v>
      </c>
      <c r="P25" s="8" t="s">
        <v>969</v>
      </c>
      <c r="Q25" s="8" t="s">
        <v>969</v>
      </c>
      <c r="R25" s="8" t="s">
        <v>969</v>
      </c>
      <c r="S25" s="8" t="s">
        <v>969</v>
      </c>
      <c r="T25" s="8" t="s">
        <v>1413</v>
      </c>
      <c r="U25" s="8" t="s">
        <v>1414</v>
      </c>
      <c r="V25" s="8" t="s">
        <v>1415</v>
      </c>
      <c r="W25" s="8" t="s">
        <v>1416</v>
      </c>
      <c r="X25" s="8" t="s">
        <v>1417</v>
      </c>
      <c r="Y25" s="8" t="s">
        <v>1418</v>
      </c>
      <c r="Z25" s="8" t="s">
        <v>1419</v>
      </c>
      <c r="AA25" s="8" t="s">
        <v>1420</v>
      </c>
      <c r="AB25" s="8" t="s">
        <v>1421</v>
      </c>
      <c r="AC25" s="8" t="s">
        <v>969</v>
      </c>
      <c r="AD25" s="8" t="s">
        <v>969</v>
      </c>
      <c r="AE25" s="8" t="s">
        <v>969</v>
      </c>
      <c r="AF25" s="8" t="s">
        <v>969</v>
      </c>
      <c r="AG25" s="8">
        <v>77.0</v>
      </c>
      <c r="AH25" s="8">
        <v>420.0</v>
      </c>
      <c r="AI25" s="8">
        <v>460.0</v>
      </c>
      <c r="AJ25" s="8">
        <v>2.0</v>
      </c>
      <c r="AK25" s="8">
        <v>177.0</v>
      </c>
      <c r="AL25" s="8" t="s">
        <v>1260</v>
      </c>
      <c r="AM25" s="8" t="s">
        <v>1261</v>
      </c>
      <c r="AN25" s="8" t="s">
        <v>1262</v>
      </c>
      <c r="AO25" s="8" t="s">
        <v>1263</v>
      </c>
      <c r="AP25" s="8" t="s">
        <v>969</v>
      </c>
      <c r="AQ25" s="8" t="s">
        <v>969</v>
      </c>
      <c r="AR25" s="8" t="s">
        <v>1264</v>
      </c>
      <c r="AS25" s="8" t="s">
        <v>1265</v>
      </c>
      <c r="AT25" s="8" t="s">
        <v>1422</v>
      </c>
      <c r="AU25" s="8">
        <v>2005.0</v>
      </c>
      <c r="AV25" s="8">
        <v>186.0</v>
      </c>
      <c r="AW25" s="8">
        <v>2.0</v>
      </c>
      <c r="AX25" s="8" t="s">
        <v>969</v>
      </c>
      <c r="AY25" s="8" t="s">
        <v>969</v>
      </c>
      <c r="AZ25" s="8" t="s">
        <v>969</v>
      </c>
      <c r="BA25" s="8" t="s">
        <v>969</v>
      </c>
      <c r="BB25" s="8">
        <v>250.0</v>
      </c>
      <c r="BC25" s="8">
        <v>269.0</v>
      </c>
      <c r="BD25" s="8" t="s">
        <v>969</v>
      </c>
      <c r="BE25" s="8" t="s">
        <v>560</v>
      </c>
      <c r="BF25" s="13" t="str">
        <f>HYPERLINK("http://dx.doi.org/10.1016/j.ecolmodel.2005.01.030","http://dx.doi.org/10.1016/j.ecolmodel.2005.01.030")</f>
        <v>http://dx.doi.org/10.1016/j.ecolmodel.2005.01.030</v>
      </c>
      <c r="BG25" s="8" t="s">
        <v>969</v>
      </c>
      <c r="BH25" s="8" t="s">
        <v>969</v>
      </c>
      <c r="BI25" s="8">
        <v>20.0</v>
      </c>
      <c r="BJ25" s="8" t="s">
        <v>1267</v>
      </c>
      <c r="BK25" s="8" t="s">
        <v>988</v>
      </c>
      <c r="BL25" s="8" t="s">
        <v>1268</v>
      </c>
      <c r="BM25" s="8" t="s">
        <v>1423</v>
      </c>
      <c r="BN25" s="8" t="s">
        <v>969</v>
      </c>
      <c r="BO25" s="8" t="s">
        <v>969</v>
      </c>
      <c r="BP25" s="8" t="s">
        <v>969</v>
      </c>
      <c r="BQ25" s="8" t="s">
        <v>969</v>
      </c>
      <c r="BR25" s="8" t="s">
        <v>991</v>
      </c>
      <c r="BS25" s="8" t="s">
        <v>1424</v>
      </c>
      <c r="BT25" s="8" t="s">
        <v>1115</v>
      </c>
      <c r="BU25" s="8" t="s">
        <v>1116</v>
      </c>
      <c r="BV25" s="8" t="s">
        <v>1117</v>
      </c>
      <c r="BW25" s="8" t="s">
        <v>33</v>
      </c>
      <c r="BX25" s="8" t="s">
        <v>995</v>
      </c>
      <c r="CA25" s="8" t="str">
        <f>HYPERLINK("https%3A%2F%2Fwww.webofscience.com%2Fwos%2Fwoscc%2Ffull-record%2FWOS:000230636400008","View Full Record in Web of Science")</f>
        <v>View Full Record in Web of Science</v>
      </c>
    </row>
    <row r="26" ht="12.75" customHeight="1">
      <c r="A26" s="8" t="s">
        <v>967</v>
      </c>
      <c r="B26" s="8" t="s">
        <v>1425</v>
      </c>
      <c r="C26" s="8" t="s">
        <v>969</v>
      </c>
      <c r="D26" s="8" t="s">
        <v>969</v>
      </c>
      <c r="E26" s="8" t="s">
        <v>969</v>
      </c>
      <c r="F26" s="8" t="s">
        <v>1425</v>
      </c>
      <c r="G26" s="8" t="s">
        <v>969</v>
      </c>
      <c r="H26" s="8" t="s">
        <v>969</v>
      </c>
      <c r="I26" s="8" t="s">
        <v>1426</v>
      </c>
      <c r="J26" s="8" t="s">
        <v>1427</v>
      </c>
      <c r="K26" s="8" t="s">
        <v>969</v>
      </c>
      <c r="L26" s="8" t="s">
        <v>969</v>
      </c>
      <c r="M26" s="8" t="s">
        <v>972</v>
      </c>
      <c r="N26" s="8" t="s">
        <v>973</v>
      </c>
      <c r="O26" s="8" t="s">
        <v>969</v>
      </c>
      <c r="P26" s="8" t="s">
        <v>969</v>
      </c>
      <c r="Q26" s="8" t="s">
        <v>969</v>
      </c>
      <c r="R26" s="8" t="s">
        <v>969</v>
      </c>
      <c r="S26" s="8" t="s">
        <v>969</v>
      </c>
      <c r="T26" s="8" t="s">
        <v>1428</v>
      </c>
      <c r="U26" s="8" t="s">
        <v>1429</v>
      </c>
      <c r="V26" s="8" t="s">
        <v>1430</v>
      </c>
      <c r="W26" s="8" t="s">
        <v>1431</v>
      </c>
      <c r="X26" s="8" t="s">
        <v>1432</v>
      </c>
      <c r="Y26" s="8" t="s">
        <v>1433</v>
      </c>
      <c r="Z26" s="8" t="s">
        <v>1434</v>
      </c>
      <c r="AA26" s="8" t="s">
        <v>1435</v>
      </c>
      <c r="AB26" s="8" t="s">
        <v>1436</v>
      </c>
      <c r="AC26" s="8" t="s">
        <v>969</v>
      </c>
      <c r="AD26" s="8" t="s">
        <v>969</v>
      </c>
      <c r="AE26" s="8" t="s">
        <v>969</v>
      </c>
      <c r="AF26" s="8" t="s">
        <v>969</v>
      </c>
      <c r="AG26" s="8">
        <v>43.0</v>
      </c>
      <c r="AH26" s="8">
        <v>198.0</v>
      </c>
      <c r="AI26" s="8">
        <v>246.0</v>
      </c>
      <c r="AJ26" s="8">
        <v>2.0</v>
      </c>
      <c r="AK26" s="8">
        <v>182.0</v>
      </c>
      <c r="AL26" s="8" t="s">
        <v>1010</v>
      </c>
      <c r="AM26" s="8" t="s">
        <v>1011</v>
      </c>
      <c r="AN26" s="8" t="s">
        <v>1012</v>
      </c>
      <c r="AO26" s="8" t="s">
        <v>1437</v>
      </c>
      <c r="AP26" s="8" t="s">
        <v>969</v>
      </c>
      <c r="AQ26" s="8" t="s">
        <v>969</v>
      </c>
      <c r="AR26" s="8" t="s">
        <v>1438</v>
      </c>
      <c r="AS26" s="8" t="s">
        <v>1439</v>
      </c>
      <c r="AT26" s="8" t="s">
        <v>1096</v>
      </c>
      <c r="AU26" s="8">
        <v>2005.0</v>
      </c>
      <c r="AV26" s="8">
        <v>11.0</v>
      </c>
      <c r="AW26" s="8">
        <v>4.0</v>
      </c>
      <c r="AX26" s="8" t="s">
        <v>969</v>
      </c>
      <c r="AY26" s="8" t="s">
        <v>969</v>
      </c>
      <c r="AZ26" s="8" t="s">
        <v>969</v>
      </c>
      <c r="BA26" s="8" t="s">
        <v>969</v>
      </c>
      <c r="BB26" s="8">
        <v>299.0</v>
      </c>
      <c r="BC26" s="8">
        <v>310.0</v>
      </c>
      <c r="BD26" s="8" t="s">
        <v>969</v>
      </c>
      <c r="BE26" s="8" t="s">
        <v>737</v>
      </c>
      <c r="BF26" s="13" t="str">
        <f>HYPERLINK("http://dx.doi.org/10.1111/j.1366-9516.2005.00153.x","http://dx.doi.org/10.1111/j.1366-9516.2005.00153.x")</f>
        <v>http://dx.doi.org/10.1111/j.1366-9516.2005.00153.x</v>
      </c>
      <c r="BG26" s="8" t="s">
        <v>969</v>
      </c>
      <c r="BH26" s="8" t="s">
        <v>969</v>
      </c>
      <c r="BI26" s="8">
        <v>12.0</v>
      </c>
      <c r="BJ26" s="8" t="s">
        <v>1286</v>
      </c>
      <c r="BK26" s="8" t="s">
        <v>988</v>
      </c>
      <c r="BL26" s="8" t="s">
        <v>989</v>
      </c>
      <c r="BM26" s="8" t="s">
        <v>1440</v>
      </c>
      <c r="BN26" s="8" t="s">
        <v>969</v>
      </c>
      <c r="BO26" s="8" t="s">
        <v>1441</v>
      </c>
      <c r="BP26" s="8" t="s">
        <v>969</v>
      </c>
      <c r="BQ26" s="8" t="s">
        <v>969</v>
      </c>
      <c r="BR26" s="8" t="s">
        <v>991</v>
      </c>
      <c r="BS26" s="8" t="s">
        <v>1442</v>
      </c>
      <c r="BT26" s="8" t="s">
        <v>993</v>
      </c>
      <c r="BU26" s="8" t="s">
        <v>994</v>
      </c>
      <c r="BW26" s="8" t="s">
        <v>67</v>
      </c>
      <c r="CA26" s="8" t="str">
        <f>HYPERLINK("https%3A%2F%2Fwww.webofscience.com%2Fwos%2Fwoscc%2Ffull-record%2FWOS:000230784400004","View Full Record in Web of Science")</f>
        <v>View Full Record in Web of Science</v>
      </c>
    </row>
    <row r="27" ht="12.75" customHeight="1">
      <c r="A27" s="8" t="s">
        <v>967</v>
      </c>
      <c r="B27" s="8" t="s">
        <v>1443</v>
      </c>
      <c r="C27" s="8" t="s">
        <v>969</v>
      </c>
      <c r="D27" s="8" t="s">
        <v>969</v>
      </c>
      <c r="E27" s="8" t="s">
        <v>969</v>
      </c>
      <c r="F27" s="8" t="s">
        <v>1443</v>
      </c>
      <c r="G27" s="8" t="s">
        <v>969</v>
      </c>
      <c r="H27" s="8" t="s">
        <v>969</v>
      </c>
      <c r="I27" s="8" t="s">
        <v>1444</v>
      </c>
      <c r="J27" s="8" t="s">
        <v>1445</v>
      </c>
      <c r="K27" s="8" t="s">
        <v>969</v>
      </c>
      <c r="L27" s="8" t="s">
        <v>969</v>
      </c>
      <c r="M27" s="8" t="s">
        <v>972</v>
      </c>
      <c r="N27" s="8" t="s">
        <v>973</v>
      </c>
      <c r="O27" s="8" t="s">
        <v>969</v>
      </c>
      <c r="P27" s="8" t="s">
        <v>969</v>
      </c>
      <c r="Q27" s="8" t="s">
        <v>969</v>
      </c>
      <c r="R27" s="8" t="s">
        <v>969</v>
      </c>
      <c r="S27" s="8" t="s">
        <v>969</v>
      </c>
      <c r="T27" s="8" t="s">
        <v>1446</v>
      </c>
      <c r="U27" s="8" t="s">
        <v>1447</v>
      </c>
      <c r="V27" s="8" t="s">
        <v>1448</v>
      </c>
      <c r="W27" s="8" t="s">
        <v>1449</v>
      </c>
      <c r="X27" s="8" t="s">
        <v>1450</v>
      </c>
      <c r="Y27" s="8" t="s">
        <v>1451</v>
      </c>
      <c r="Z27" s="8" t="s">
        <v>969</v>
      </c>
      <c r="AA27" s="8" t="s">
        <v>969</v>
      </c>
      <c r="AB27" s="8" t="s">
        <v>1452</v>
      </c>
      <c r="AC27" s="8" t="s">
        <v>969</v>
      </c>
      <c r="AD27" s="8" t="s">
        <v>969</v>
      </c>
      <c r="AE27" s="8" t="s">
        <v>969</v>
      </c>
      <c r="AF27" s="8" t="s">
        <v>969</v>
      </c>
      <c r="AG27" s="8">
        <v>66.0</v>
      </c>
      <c r="AH27" s="8">
        <v>95.0</v>
      </c>
      <c r="AI27" s="8">
        <v>119.0</v>
      </c>
      <c r="AJ27" s="8">
        <v>2.0</v>
      </c>
      <c r="AK27" s="8">
        <v>45.0</v>
      </c>
      <c r="AL27" s="8" t="s">
        <v>1453</v>
      </c>
      <c r="AM27" s="8" t="s">
        <v>1454</v>
      </c>
      <c r="AN27" s="8" t="s">
        <v>1455</v>
      </c>
      <c r="AO27" s="8" t="s">
        <v>1456</v>
      </c>
      <c r="AP27" s="8" t="s">
        <v>1457</v>
      </c>
      <c r="AQ27" s="8" t="s">
        <v>969</v>
      </c>
      <c r="AR27" s="8" t="s">
        <v>1458</v>
      </c>
      <c r="AS27" s="8" t="s">
        <v>1459</v>
      </c>
      <c r="AT27" s="8" t="s">
        <v>969</v>
      </c>
      <c r="AU27" s="8">
        <v>2005.0</v>
      </c>
      <c r="AV27" s="8">
        <v>92.0</v>
      </c>
      <c r="AW27" s="8">
        <v>2.0</v>
      </c>
      <c r="AX27" s="8" t="s">
        <v>969</v>
      </c>
      <c r="AY27" s="8" t="s">
        <v>969</v>
      </c>
      <c r="AZ27" s="8" t="s">
        <v>969</v>
      </c>
      <c r="BA27" s="8" t="s">
        <v>969</v>
      </c>
      <c r="BB27" s="8">
        <v>139.0</v>
      </c>
      <c r="BC27" s="8">
        <v>152.0</v>
      </c>
      <c r="BD27" s="8" t="s">
        <v>969</v>
      </c>
      <c r="BE27" s="8" t="s">
        <v>969</v>
      </c>
      <c r="BF27" s="8" t="s">
        <v>969</v>
      </c>
      <c r="BG27" s="8" t="s">
        <v>969</v>
      </c>
      <c r="BH27" s="8" t="s">
        <v>969</v>
      </c>
      <c r="BI27" s="8">
        <v>14.0</v>
      </c>
      <c r="BJ27" s="8" t="s">
        <v>1460</v>
      </c>
      <c r="BK27" s="8" t="s">
        <v>988</v>
      </c>
      <c r="BL27" s="8" t="s">
        <v>1460</v>
      </c>
      <c r="BM27" s="8" t="s">
        <v>1461</v>
      </c>
      <c r="BN27" s="8" t="s">
        <v>969</v>
      </c>
      <c r="BO27" s="8" t="s">
        <v>969</v>
      </c>
      <c r="BP27" s="8" t="s">
        <v>969</v>
      </c>
      <c r="BQ27" s="8" t="s">
        <v>969</v>
      </c>
      <c r="BR27" s="8" t="s">
        <v>991</v>
      </c>
      <c r="BS27" s="8" t="s">
        <v>1462</v>
      </c>
      <c r="BT27" s="8" t="s">
        <v>1099</v>
      </c>
      <c r="BW27" s="8" t="s">
        <v>51</v>
      </c>
      <c r="BX27" s="8" t="s">
        <v>1022</v>
      </c>
      <c r="CA27" s="8" t="str">
        <f>HYPERLINK("https%3A%2F%2Fwww.webofscience.com%2Fwos%2Fwoscc%2Ffull-record%2FWOS:000230948700001","View Full Record in Web of Science")</f>
        <v>View Full Record in Web of Science</v>
      </c>
    </row>
    <row r="28" ht="12.75" customHeight="1">
      <c r="A28" s="8" t="s">
        <v>967</v>
      </c>
      <c r="B28" s="8" t="s">
        <v>1463</v>
      </c>
      <c r="C28" s="8" t="s">
        <v>969</v>
      </c>
      <c r="D28" s="8" t="s">
        <v>969</v>
      </c>
      <c r="E28" s="8" t="s">
        <v>969</v>
      </c>
      <c r="F28" s="8" t="s">
        <v>1463</v>
      </c>
      <c r="G28" s="8" t="s">
        <v>969</v>
      </c>
      <c r="H28" s="8" t="s">
        <v>969</v>
      </c>
      <c r="I28" s="8" t="s">
        <v>1464</v>
      </c>
      <c r="J28" s="8" t="s">
        <v>971</v>
      </c>
      <c r="K28" s="8" t="s">
        <v>969</v>
      </c>
      <c r="L28" s="8" t="s">
        <v>969</v>
      </c>
      <c r="M28" s="8" t="s">
        <v>972</v>
      </c>
      <c r="N28" s="8" t="s">
        <v>973</v>
      </c>
      <c r="O28" s="8" t="s">
        <v>969</v>
      </c>
      <c r="P28" s="8" t="s">
        <v>969</v>
      </c>
      <c r="Q28" s="8" t="s">
        <v>969</v>
      </c>
      <c r="R28" s="8" t="s">
        <v>969</v>
      </c>
      <c r="S28" s="8" t="s">
        <v>969</v>
      </c>
      <c r="T28" s="8" t="s">
        <v>1465</v>
      </c>
      <c r="U28" s="8" t="s">
        <v>1466</v>
      </c>
      <c r="V28" s="8" t="s">
        <v>1467</v>
      </c>
      <c r="W28" s="8" t="s">
        <v>1468</v>
      </c>
      <c r="X28" s="8" t="s">
        <v>1469</v>
      </c>
      <c r="Y28" s="8" t="s">
        <v>1470</v>
      </c>
      <c r="Z28" s="8" t="s">
        <v>1471</v>
      </c>
      <c r="AA28" s="8" t="s">
        <v>1472</v>
      </c>
      <c r="AB28" s="8" t="s">
        <v>1473</v>
      </c>
      <c r="AC28" s="8" t="s">
        <v>969</v>
      </c>
      <c r="AD28" s="8" t="s">
        <v>969</v>
      </c>
      <c r="AE28" s="8" t="s">
        <v>969</v>
      </c>
      <c r="AF28" s="8" t="s">
        <v>969</v>
      </c>
      <c r="AG28" s="8">
        <v>69.0</v>
      </c>
      <c r="AH28" s="8">
        <v>104.0</v>
      </c>
      <c r="AI28" s="8">
        <v>124.0</v>
      </c>
      <c r="AJ28" s="8">
        <v>1.0</v>
      </c>
      <c r="AK28" s="8">
        <v>61.0</v>
      </c>
      <c r="AL28" s="8" t="s">
        <v>1091</v>
      </c>
      <c r="AM28" s="8" t="s">
        <v>1092</v>
      </c>
      <c r="AN28" s="8" t="s">
        <v>1093</v>
      </c>
      <c r="AO28" s="8" t="s">
        <v>983</v>
      </c>
      <c r="AP28" s="8" t="s">
        <v>1094</v>
      </c>
      <c r="AQ28" s="8" t="s">
        <v>969</v>
      </c>
      <c r="AR28" s="8" t="s">
        <v>1095</v>
      </c>
      <c r="AS28" s="8" t="s">
        <v>985</v>
      </c>
      <c r="AT28" s="8" t="s">
        <v>1300</v>
      </c>
      <c r="AU28" s="8">
        <v>2005.0</v>
      </c>
      <c r="AV28" s="8">
        <v>11.0</v>
      </c>
      <c r="AW28" s="8">
        <v>9.0</v>
      </c>
      <c r="AX28" s="8" t="s">
        <v>969</v>
      </c>
      <c r="AY28" s="8" t="s">
        <v>969</v>
      </c>
      <c r="AZ28" s="8" t="s">
        <v>969</v>
      </c>
      <c r="BA28" s="8" t="s">
        <v>969</v>
      </c>
      <c r="BB28" s="8">
        <v>1452.0</v>
      </c>
      <c r="BC28" s="8">
        <v>1468.0</v>
      </c>
      <c r="BD28" s="8" t="s">
        <v>969</v>
      </c>
      <c r="BE28" s="8" t="s">
        <v>686</v>
      </c>
      <c r="BF28" s="13" t="str">
        <f>HYPERLINK("http://dx.doi.org/10.1111/j.1365-2486.2005.00997.x","http://dx.doi.org/10.1111/j.1365-2486.2005.00997.x")</f>
        <v>http://dx.doi.org/10.1111/j.1365-2486.2005.00997.x</v>
      </c>
      <c r="BG28" s="8" t="s">
        <v>969</v>
      </c>
      <c r="BH28" s="8" t="s">
        <v>969</v>
      </c>
      <c r="BI28" s="8">
        <v>17.0</v>
      </c>
      <c r="BJ28" s="8" t="s">
        <v>987</v>
      </c>
      <c r="BK28" s="8" t="s">
        <v>988</v>
      </c>
      <c r="BL28" s="8" t="s">
        <v>989</v>
      </c>
      <c r="BM28" s="8" t="s">
        <v>1474</v>
      </c>
      <c r="BN28" s="8" t="s">
        <v>969</v>
      </c>
      <c r="BO28" s="8" t="s">
        <v>969</v>
      </c>
      <c r="BP28" s="8" t="s">
        <v>969</v>
      </c>
      <c r="BQ28" s="8" t="s">
        <v>969</v>
      </c>
      <c r="BR28" s="8" t="s">
        <v>991</v>
      </c>
      <c r="BS28" s="8" t="s">
        <v>1475</v>
      </c>
      <c r="BT28" s="8" t="s">
        <v>1099</v>
      </c>
      <c r="BW28" s="8" t="s">
        <v>51</v>
      </c>
      <c r="BX28" s="8" t="s">
        <v>1022</v>
      </c>
      <c r="CA28" s="8" t="str">
        <f>HYPERLINK("https%3A%2F%2Fwww.webofscience.com%2Fwos%2Fwoscc%2Ffull-record%2FWOS:000231396700005","View Full Record in Web of Science")</f>
        <v>View Full Record in Web of Science</v>
      </c>
    </row>
    <row r="29" ht="12.75" customHeight="1">
      <c r="A29" s="8" t="s">
        <v>967</v>
      </c>
      <c r="B29" s="8" t="s">
        <v>1476</v>
      </c>
      <c r="C29" s="8" t="s">
        <v>969</v>
      </c>
      <c r="D29" s="8" t="s">
        <v>969</v>
      </c>
      <c r="E29" s="8" t="s">
        <v>969</v>
      </c>
      <c r="F29" s="8" t="s">
        <v>1476</v>
      </c>
      <c r="G29" s="8" t="s">
        <v>969</v>
      </c>
      <c r="H29" s="8" t="s">
        <v>969</v>
      </c>
      <c r="I29" s="8" t="s">
        <v>1477</v>
      </c>
      <c r="J29" s="8" t="s">
        <v>1377</v>
      </c>
      <c r="K29" s="8" t="s">
        <v>969</v>
      </c>
      <c r="L29" s="8" t="s">
        <v>969</v>
      </c>
      <c r="M29" s="8" t="s">
        <v>972</v>
      </c>
      <c r="N29" s="8" t="s">
        <v>973</v>
      </c>
      <c r="O29" s="8" t="s">
        <v>969</v>
      </c>
      <c r="P29" s="8" t="s">
        <v>969</v>
      </c>
      <c r="Q29" s="8" t="s">
        <v>969</v>
      </c>
      <c r="R29" s="8" t="s">
        <v>969</v>
      </c>
      <c r="S29" s="8" t="s">
        <v>969</v>
      </c>
      <c r="T29" s="8" t="s">
        <v>1478</v>
      </c>
      <c r="U29" s="8" t="s">
        <v>1479</v>
      </c>
      <c r="V29" s="8" t="s">
        <v>1480</v>
      </c>
      <c r="W29" s="8" t="s">
        <v>1481</v>
      </c>
      <c r="X29" s="8" t="s">
        <v>1482</v>
      </c>
      <c r="Y29" s="8" t="s">
        <v>1483</v>
      </c>
      <c r="Z29" s="8" t="s">
        <v>1484</v>
      </c>
      <c r="AA29" s="8" t="s">
        <v>1485</v>
      </c>
      <c r="AB29" s="8" t="s">
        <v>1486</v>
      </c>
      <c r="AC29" s="8" t="s">
        <v>969</v>
      </c>
      <c r="AD29" s="8" t="s">
        <v>969</v>
      </c>
      <c r="AE29" s="8" t="s">
        <v>969</v>
      </c>
      <c r="AF29" s="8" t="s">
        <v>969</v>
      </c>
      <c r="AG29" s="8">
        <v>40.0</v>
      </c>
      <c r="AH29" s="8">
        <v>128.0</v>
      </c>
      <c r="AI29" s="8">
        <v>157.0</v>
      </c>
      <c r="AJ29" s="8">
        <v>1.0</v>
      </c>
      <c r="AK29" s="8">
        <v>48.0</v>
      </c>
      <c r="AL29" s="8" t="s">
        <v>1387</v>
      </c>
      <c r="AM29" s="8" t="s">
        <v>1388</v>
      </c>
      <c r="AN29" s="8" t="s">
        <v>1389</v>
      </c>
      <c r="AO29" s="8" t="s">
        <v>1390</v>
      </c>
      <c r="AP29" s="8" t="s">
        <v>1391</v>
      </c>
      <c r="AQ29" s="8" t="s">
        <v>969</v>
      </c>
      <c r="AR29" s="8" t="s">
        <v>1392</v>
      </c>
      <c r="AS29" s="8" t="s">
        <v>1393</v>
      </c>
      <c r="AT29" s="8" t="s">
        <v>1487</v>
      </c>
      <c r="AU29" s="8">
        <v>2005.0</v>
      </c>
      <c r="AV29" s="8">
        <v>102.0</v>
      </c>
      <c r="AW29" s="8">
        <v>45.0</v>
      </c>
      <c r="AX29" s="8" t="s">
        <v>969</v>
      </c>
      <c r="AY29" s="8" t="s">
        <v>969</v>
      </c>
      <c r="AZ29" s="8" t="s">
        <v>969</v>
      </c>
      <c r="BA29" s="8" t="s">
        <v>969</v>
      </c>
      <c r="BB29" s="8">
        <v>16281.0</v>
      </c>
      <c r="BC29" s="8">
        <v>16286.0</v>
      </c>
      <c r="BD29" s="8" t="s">
        <v>969</v>
      </c>
      <c r="BE29" s="8" t="s">
        <v>638</v>
      </c>
      <c r="BF29" s="13" t="str">
        <f>HYPERLINK("http://dx.doi.org/10.1073/pnas.0501427102","http://dx.doi.org/10.1073/pnas.0501427102")</f>
        <v>http://dx.doi.org/10.1073/pnas.0501427102</v>
      </c>
      <c r="BG29" s="8" t="s">
        <v>969</v>
      </c>
      <c r="BH29" s="8" t="s">
        <v>969</v>
      </c>
      <c r="BI29" s="8">
        <v>6.0</v>
      </c>
      <c r="BJ29" s="8" t="s">
        <v>1076</v>
      </c>
      <c r="BK29" s="8" t="s">
        <v>988</v>
      </c>
      <c r="BL29" s="8" t="s">
        <v>1077</v>
      </c>
      <c r="BM29" s="8" t="s">
        <v>1488</v>
      </c>
      <c r="BN29" s="8">
        <v>1.626075E7</v>
      </c>
      <c r="BO29" s="8" t="s">
        <v>1227</v>
      </c>
      <c r="BP29" s="8" t="s">
        <v>969</v>
      </c>
      <c r="BQ29" s="8" t="s">
        <v>969</v>
      </c>
      <c r="BR29" s="8" t="s">
        <v>991</v>
      </c>
      <c r="BS29" s="8" t="s">
        <v>1489</v>
      </c>
      <c r="BT29" s="8" t="s">
        <v>993</v>
      </c>
      <c r="BU29" s="8" t="s">
        <v>994</v>
      </c>
      <c r="BW29" s="8" t="s">
        <v>51</v>
      </c>
      <c r="BX29" s="8" t="s">
        <v>1022</v>
      </c>
      <c r="CA29" s="8" t="str">
        <f>HYPERLINK("https%3A%2F%2Fwww.webofscience.com%2Fwos%2Fwoscc%2Ffull-record%2FWOS:000233283700029","View Full Record in Web of Science")</f>
        <v>View Full Record in Web of Science</v>
      </c>
    </row>
    <row r="30" ht="12.75" customHeight="1">
      <c r="A30" s="8" t="s">
        <v>967</v>
      </c>
      <c r="B30" s="8" t="s">
        <v>1490</v>
      </c>
      <c r="C30" s="8" t="s">
        <v>969</v>
      </c>
      <c r="D30" s="8" t="s">
        <v>969</v>
      </c>
      <c r="E30" s="8" t="s">
        <v>969</v>
      </c>
      <c r="F30" s="8" t="s">
        <v>1490</v>
      </c>
      <c r="G30" s="8" t="s">
        <v>969</v>
      </c>
      <c r="H30" s="8" t="s">
        <v>969</v>
      </c>
      <c r="I30" s="8" t="s">
        <v>1491</v>
      </c>
      <c r="J30" s="8" t="s">
        <v>1427</v>
      </c>
      <c r="K30" s="8" t="s">
        <v>969</v>
      </c>
      <c r="L30" s="8" t="s">
        <v>969</v>
      </c>
      <c r="M30" s="8" t="s">
        <v>972</v>
      </c>
      <c r="N30" s="8" t="s">
        <v>973</v>
      </c>
      <c r="O30" s="8" t="s">
        <v>969</v>
      </c>
      <c r="P30" s="8" t="s">
        <v>969</v>
      </c>
      <c r="Q30" s="8" t="s">
        <v>969</v>
      </c>
      <c r="R30" s="8" t="s">
        <v>969</v>
      </c>
      <c r="S30" s="8" t="s">
        <v>969</v>
      </c>
      <c r="T30" s="8" t="s">
        <v>1492</v>
      </c>
      <c r="U30" s="8" t="s">
        <v>1493</v>
      </c>
      <c r="V30" s="8" t="s">
        <v>1494</v>
      </c>
      <c r="W30" s="8" t="s">
        <v>1495</v>
      </c>
      <c r="X30" s="8" t="s">
        <v>1496</v>
      </c>
      <c r="Y30" s="8" t="s">
        <v>1497</v>
      </c>
      <c r="Z30" s="8" t="s">
        <v>1384</v>
      </c>
      <c r="AA30" s="8" t="s">
        <v>1498</v>
      </c>
      <c r="AB30" s="8" t="s">
        <v>1386</v>
      </c>
      <c r="AC30" s="8" t="s">
        <v>969</v>
      </c>
      <c r="AD30" s="8" t="s">
        <v>969</v>
      </c>
      <c r="AE30" s="8" t="s">
        <v>969</v>
      </c>
      <c r="AF30" s="8" t="s">
        <v>969</v>
      </c>
      <c r="AG30" s="8">
        <v>89.0</v>
      </c>
      <c r="AH30" s="8">
        <v>222.0</v>
      </c>
      <c r="AI30" s="8">
        <v>254.0</v>
      </c>
      <c r="AJ30" s="8">
        <v>3.0</v>
      </c>
      <c r="AK30" s="8">
        <v>120.0</v>
      </c>
      <c r="AL30" s="8" t="s">
        <v>1091</v>
      </c>
      <c r="AM30" s="8" t="s">
        <v>1092</v>
      </c>
      <c r="AN30" s="8" t="s">
        <v>1093</v>
      </c>
      <c r="AO30" s="8" t="s">
        <v>1437</v>
      </c>
      <c r="AP30" s="8" t="s">
        <v>1499</v>
      </c>
      <c r="AQ30" s="8" t="s">
        <v>969</v>
      </c>
      <c r="AR30" s="8" t="s">
        <v>1438</v>
      </c>
      <c r="AS30" s="8" t="s">
        <v>1439</v>
      </c>
      <c r="AT30" s="8" t="s">
        <v>1016</v>
      </c>
      <c r="AU30" s="8">
        <v>2006.0</v>
      </c>
      <c r="AV30" s="8">
        <v>12.0</v>
      </c>
      <c r="AW30" s="8">
        <v>1.0</v>
      </c>
      <c r="AX30" s="8" t="s">
        <v>969</v>
      </c>
      <c r="AY30" s="8" t="s">
        <v>969</v>
      </c>
      <c r="AZ30" s="8" t="s">
        <v>969</v>
      </c>
      <c r="BA30" s="8" t="s">
        <v>969</v>
      </c>
      <c r="BB30" s="8">
        <v>49.0</v>
      </c>
      <c r="BC30" s="8">
        <v>60.0</v>
      </c>
      <c r="BD30" s="8" t="s">
        <v>969</v>
      </c>
      <c r="BE30" s="8" t="s">
        <v>740</v>
      </c>
      <c r="BF30" s="13" t="str">
        <f>HYPERLINK("http://dx.doi.org/10.1111/j.1366-9516.2006.00216.x","http://dx.doi.org/10.1111/j.1366-9516.2006.00216.x")</f>
        <v>http://dx.doi.org/10.1111/j.1366-9516.2006.00216.x</v>
      </c>
      <c r="BG30" s="8" t="s">
        <v>969</v>
      </c>
      <c r="BH30" s="8" t="s">
        <v>969</v>
      </c>
      <c r="BI30" s="8">
        <v>12.0</v>
      </c>
      <c r="BJ30" s="8" t="s">
        <v>1286</v>
      </c>
      <c r="BK30" s="8" t="s">
        <v>988</v>
      </c>
      <c r="BL30" s="8" t="s">
        <v>989</v>
      </c>
      <c r="BM30" s="8" t="s">
        <v>1500</v>
      </c>
      <c r="BN30" s="8" t="s">
        <v>969</v>
      </c>
      <c r="BO30" s="8" t="s">
        <v>1227</v>
      </c>
      <c r="BP30" s="8" t="s">
        <v>969</v>
      </c>
      <c r="BQ30" s="8" t="s">
        <v>969</v>
      </c>
      <c r="BR30" s="8" t="s">
        <v>991</v>
      </c>
      <c r="BS30" s="8" t="s">
        <v>1501</v>
      </c>
      <c r="BT30" s="8" t="s">
        <v>1099</v>
      </c>
      <c r="BW30" s="8" t="s">
        <v>51</v>
      </c>
      <c r="BX30" s="8" t="s">
        <v>1022</v>
      </c>
      <c r="CA30" s="8" t="str">
        <f>HYPERLINK("https%3A%2F%2Fwww.webofscience.com%2Fwos%2Fwoscc%2Ffull-record%2FWOS:000234026600006","View Full Record in Web of Science")</f>
        <v>View Full Record in Web of Science</v>
      </c>
    </row>
    <row r="31" ht="12.75" customHeight="1">
      <c r="A31" s="8" t="s">
        <v>967</v>
      </c>
      <c r="B31" s="8" t="s">
        <v>1502</v>
      </c>
      <c r="C31" s="8" t="s">
        <v>969</v>
      </c>
      <c r="D31" s="8" t="s">
        <v>969</v>
      </c>
      <c r="E31" s="8" t="s">
        <v>969</v>
      </c>
      <c r="F31" s="8" t="s">
        <v>1502</v>
      </c>
      <c r="G31" s="8" t="s">
        <v>969</v>
      </c>
      <c r="H31" s="8" t="s">
        <v>969</v>
      </c>
      <c r="I31" s="8" t="s">
        <v>1503</v>
      </c>
      <c r="J31" s="8" t="s">
        <v>1504</v>
      </c>
      <c r="K31" s="8" t="s">
        <v>969</v>
      </c>
      <c r="L31" s="8" t="s">
        <v>969</v>
      </c>
      <c r="M31" s="8" t="s">
        <v>972</v>
      </c>
      <c r="N31" s="8" t="s">
        <v>973</v>
      </c>
      <c r="O31" s="8" t="s">
        <v>969</v>
      </c>
      <c r="P31" s="8" t="s">
        <v>969</v>
      </c>
      <c r="Q31" s="8" t="s">
        <v>969</v>
      </c>
      <c r="R31" s="8" t="s">
        <v>969</v>
      </c>
      <c r="S31" s="8" t="s">
        <v>969</v>
      </c>
      <c r="T31" s="8" t="s">
        <v>1505</v>
      </c>
      <c r="U31" s="8" t="s">
        <v>1506</v>
      </c>
      <c r="V31" s="8" t="s">
        <v>1507</v>
      </c>
      <c r="W31" s="8" t="s">
        <v>1508</v>
      </c>
      <c r="X31" s="8" t="s">
        <v>1509</v>
      </c>
      <c r="Y31" s="8" t="s">
        <v>1510</v>
      </c>
      <c r="Z31" s="8" t="s">
        <v>1511</v>
      </c>
      <c r="AA31" s="8" t="s">
        <v>1512</v>
      </c>
      <c r="AB31" s="8" t="s">
        <v>1513</v>
      </c>
      <c r="AC31" s="8" t="s">
        <v>969</v>
      </c>
      <c r="AD31" s="8" t="s">
        <v>969</v>
      </c>
      <c r="AE31" s="8" t="s">
        <v>969</v>
      </c>
      <c r="AF31" s="8" t="s">
        <v>969</v>
      </c>
      <c r="AG31" s="8">
        <v>43.0</v>
      </c>
      <c r="AH31" s="8">
        <v>39.0</v>
      </c>
      <c r="AI31" s="8">
        <v>51.0</v>
      </c>
      <c r="AJ31" s="8">
        <v>0.0</v>
      </c>
      <c r="AK31" s="8">
        <v>22.0</v>
      </c>
      <c r="AL31" s="8" t="s">
        <v>1192</v>
      </c>
      <c r="AM31" s="8" t="s">
        <v>1193</v>
      </c>
      <c r="AN31" s="8" t="s">
        <v>1194</v>
      </c>
      <c r="AO31" s="8" t="s">
        <v>1514</v>
      </c>
      <c r="AP31" s="8" t="s">
        <v>1515</v>
      </c>
      <c r="AQ31" s="8" t="s">
        <v>969</v>
      </c>
      <c r="AR31" s="8" t="s">
        <v>1516</v>
      </c>
      <c r="AS31" s="8" t="s">
        <v>1517</v>
      </c>
      <c r="AT31" s="8" t="s">
        <v>1036</v>
      </c>
      <c r="AU31" s="8">
        <v>2006.0</v>
      </c>
      <c r="AV31" s="8">
        <v>16.0</v>
      </c>
      <c r="AW31" s="8">
        <v>1.0</v>
      </c>
      <c r="AX31" s="8" t="s">
        <v>969</v>
      </c>
      <c r="AY31" s="8" t="s">
        <v>969</v>
      </c>
      <c r="AZ31" s="8" t="s">
        <v>969</v>
      </c>
      <c r="BA31" s="8" t="s">
        <v>969</v>
      </c>
      <c r="BB31" s="8">
        <v>19.0</v>
      </c>
      <c r="BC31" s="8">
        <v>28.0</v>
      </c>
      <c r="BD31" s="8" t="s">
        <v>969</v>
      </c>
      <c r="BE31" s="8" t="s">
        <v>575</v>
      </c>
      <c r="BF31" s="13" t="str">
        <f>HYPERLINK("http://dx.doi.org/10.1016/j.gloenvcha.2005.11.001","http://dx.doi.org/10.1016/j.gloenvcha.2005.11.001")</f>
        <v>http://dx.doi.org/10.1016/j.gloenvcha.2005.11.001</v>
      </c>
      <c r="BG31" s="8" t="s">
        <v>969</v>
      </c>
      <c r="BH31" s="8" t="s">
        <v>969</v>
      </c>
      <c r="BI31" s="8">
        <v>10.0</v>
      </c>
      <c r="BJ31" s="8" t="s">
        <v>1518</v>
      </c>
      <c r="BK31" s="8" t="s">
        <v>1519</v>
      </c>
      <c r="BL31" s="8" t="s">
        <v>1520</v>
      </c>
      <c r="BM31" s="8" t="s">
        <v>1521</v>
      </c>
      <c r="BN31" s="8" t="s">
        <v>969</v>
      </c>
      <c r="BO31" s="8" t="s">
        <v>969</v>
      </c>
      <c r="BP31" s="8" t="s">
        <v>969</v>
      </c>
      <c r="BQ31" s="8" t="s">
        <v>969</v>
      </c>
      <c r="BR31" s="8" t="s">
        <v>991</v>
      </c>
      <c r="BS31" s="8" t="s">
        <v>1522</v>
      </c>
      <c r="BT31" s="8" t="s">
        <v>1021</v>
      </c>
      <c r="BW31" s="8" t="s">
        <v>51</v>
      </c>
      <c r="BX31" s="8" t="s">
        <v>1022</v>
      </c>
      <c r="CA31" s="8" t="str">
        <f>HYPERLINK("https%3A%2F%2Fwww.webofscience.com%2Fwos%2Fwoscc%2Ffull-record%2FWOS:000235424500004","View Full Record in Web of Science")</f>
        <v>View Full Record in Web of Science</v>
      </c>
    </row>
    <row r="32" ht="12.75" customHeight="1">
      <c r="A32" s="8" t="s">
        <v>967</v>
      </c>
      <c r="B32" s="8" t="s">
        <v>1523</v>
      </c>
      <c r="C32" s="8" t="s">
        <v>969</v>
      </c>
      <c r="D32" s="8" t="s">
        <v>969</v>
      </c>
      <c r="E32" s="8" t="s">
        <v>969</v>
      </c>
      <c r="F32" s="8" t="s">
        <v>1523</v>
      </c>
      <c r="G32" s="8" t="s">
        <v>969</v>
      </c>
      <c r="H32" s="8" t="s">
        <v>969</v>
      </c>
      <c r="I32" s="8" t="s">
        <v>1524</v>
      </c>
      <c r="J32" s="8" t="s">
        <v>971</v>
      </c>
      <c r="K32" s="8" t="s">
        <v>969</v>
      </c>
      <c r="L32" s="8" t="s">
        <v>969</v>
      </c>
      <c r="M32" s="8" t="s">
        <v>972</v>
      </c>
      <c r="N32" s="8" t="s">
        <v>973</v>
      </c>
      <c r="O32" s="8" t="s">
        <v>969</v>
      </c>
      <c r="P32" s="8" t="s">
        <v>969</v>
      </c>
      <c r="Q32" s="8" t="s">
        <v>969</v>
      </c>
      <c r="R32" s="8" t="s">
        <v>969</v>
      </c>
      <c r="S32" s="8" t="s">
        <v>969</v>
      </c>
      <c r="T32" s="8" t="s">
        <v>1525</v>
      </c>
      <c r="U32" s="8" t="s">
        <v>1526</v>
      </c>
      <c r="V32" s="8" t="s">
        <v>1527</v>
      </c>
      <c r="W32" s="8" t="s">
        <v>1528</v>
      </c>
      <c r="X32" s="8" t="s">
        <v>1529</v>
      </c>
      <c r="Y32" s="8" t="s">
        <v>1530</v>
      </c>
      <c r="Z32" s="8" t="s">
        <v>1531</v>
      </c>
      <c r="AA32" s="8" t="s">
        <v>1532</v>
      </c>
      <c r="AB32" s="8" t="s">
        <v>1533</v>
      </c>
      <c r="AC32" s="8" t="s">
        <v>969</v>
      </c>
      <c r="AD32" s="8" t="s">
        <v>969</v>
      </c>
      <c r="AE32" s="8" t="s">
        <v>969</v>
      </c>
      <c r="AF32" s="8" t="s">
        <v>969</v>
      </c>
      <c r="AG32" s="8">
        <v>90.0</v>
      </c>
      <c r="AH32" s="8">
        <v>248.0</v>
      </c>
      <c r="AI32" s="8">
        <v>297.0</v>
      </c>
      <c r="AJ32" s="8">
        <v>0.0</v>
      </c>
      <c r="AK32" s="8">
        <v>130.0</v>
      </c>
      <c r="AL32" s="8" t="s">
        <v>1091</v>
      </c>
      <c r="AM32" s="8" t="s">
        <v>1092</v>
      </c>
      <c r="AN32" s="8" t="s">
        <v>1093</v>
      </c>
      <c r="AO32" s="8" t="s">
        <v>983</v>
      </c>
      <c r="AP32" s="8" t="s">
        <v>1094</v>
      </c>
      <c r="AQ32" s="8" t="s">
        <v>969</v>
      </c>
      <c r="AR32" s="8" t="s">
        <v>1095</v>
      </c>
      <c r="AS32" s="8" t="s">
        <v>985</v>
      </c>
      <c r="AT32" s="8" t="s">
        <v>1055</v>
      </c>
      <c r="AU32" s="8">
        <v>2006.0</v>
      </c>
      <c r="AV32" s="8">
        <v>12.0</v>
      </c>
      <c r="AW32" s="8">
        <v>3.0</v>
      </c>
      <c r="AX32" s="8" t="s">
        <v>969</v>
      </c>
      <c r="AY32" s="8" t="s">
        <v>969</v>
      </c>
      <c r="AZ32" s="8" t="s">
        <v>969</v>
      </c>
      <c r="BA32" s="8" t="s">
        <v>969</v>
      </c>
      <c r="BB32" s="8">
        <v>424.0</v>
      </c>
      <c r="BC32" s="8">
        <v>440.0</v>
      </c>
      <c r="BD32" s="8" t="s">
        <v>969</v>
      </c>
      <c r="BE32" s="8" t="s">
        <v>689</v>
      </c>
      <c r="BF32" s="13" t="str">
        <f>HYPERLINK("http://dx.doi.org/10.1111/j.1365-2486.2006.01115.x","http://dx.doi.org/10.1111/j.1365-2486.2006.01115.x")</f>
        <v>http://dx.doi.org/10.1111/j.1365-2486.2006.01115.x</v>
      </c>
      <c r="BG32" s="8" t="s">
        <v>969</v>
      </c>
      <c r="BH32" s="8" t="s">
        <v>969</v>
      </c>
      <c r="BI32" s="8">
        <v>17.0</v>
      </c>
      <c r="BJ32" s="8" t="s">
        <v>987</v>
      </c>
      <c r="BK32" s="8" t="s">
        <v>988</v>
      </c>
      <c r="BL32" s="8" t="s">
        <v>989</v>
      </c>
      <c r="BM32" s="8" t="s">
        <v>1534</v>
      </c>
      <c r="BN32" s="8" t="s">
        <v>969</v>
      </c>
      <c r="BO32" s="8" t="s">
        <v>969</v>
      </c>
      <c r="BP32" s="8" t="s">
        <v>969</v>
      </c>
      <c r="BQ32" s="8" t="s">
        <v>969</v>
      </c>
      <c r="BR32" s="8" t="s">
        <v>991</v>
      </c>
      <c r="BS32" s="8" t="s">
        <v>1535</v>
      </c>
      <c r="BT32" s="8" t="s">
        <v>1099</v>
      </c>
      <c r="BW32" s="8" t="s">
        <v>56</v>
      </c>
      <c r="BX32" s="8" t="s">
        <v>995</v>
      </c>
      <c r="BY32" s="8" t="s">
        <v>996</v>
      </c>
      <c r="BZ32" s="8" t="s">
        <v>997</v>
      </c>
      <c r="CA32" s="8" t="str">
        <f>HYPERLINK("https%3A%2F%2Fwww.webofscience.com%2Fwos%2Fwoscc%2Ffull-record%2FWOS:000236023000002","View Full Record in Web of Science")</f>
        <v>View Full Record in Web of Science</v>
      </c>
    </row>
    <row r="33" ht="12.75" customHeight="1">
      <c r="A33" s="8" t="s">
        <v>967</v>
      </c>
      <c r="B33" s="8" t="s">
        <v>1536</v>
      </c>
      <c r="C33" s="8" t="s">
        <v>969</v>
      </c>
      <c r="D33" s="8" t="s">
        <v>969</v>
      </c>
      <c r="E33" s="8" t="s">
        <v>969</v>
      </c>
      <c r="F33" s="8" t="s">
        <v>1536</v>
      </c>
      <c r="G33" s="8" t="s">
        <v>969</v>
      </c>
      <c r="H33" s="8" t="s">
        <v>969</v>
      </c>
      <c r="I33" s="8" t="s">
        <v>1537</v>
      </c>
      <c r="J33" s="8" t="s">
        <v>1538</v>
      </c>
      <c r="K33" s="8" t="s">
        <v>969</v>
      </c>
      <c r="L33" s="8" t="s">
        <v>969</v>
      </c>
      <c r="M33" s="8" t="s">
        <v>972</v>
      </c>
      <c r="N33" s="8" t="s">
        <v>973</v>
      </c>
      <c r="O33" s="8" t="s">
        <v>969</v>
      </c>
      <c r="P33" s="8" t="s">
        <v>969</v>
      </c>
      <c r="Q33" s="8" t="s">
        <v>969</v>
      </c>
      <c r="R33" s="8" t="s">
        <v>969</v>
      </c>
      <c r="S33" s="8" t="s">
        <v>969</v>
      </c>
      <c r="T33" s="8" t="s">
        <v>1539</v>
      </c>
      <c r="U33" s="8" t="s">
        <v>1540</v>
      </c>
      <c r="V33" s="8" t="s">
        <v>1541</v>
      </c>
      <c r="W33" s="8" t="s">
        <v>1542</v>
      </c>
      <c r="X33" s="8" t="s">
        <v>1543</v>
      </c>
      <c r="Y33" s="8" t="s">
        <v>1544</v>
      </c>
      <c r="Z33" s="8" t="s">
        <v>1545</v>
      </c>
      <c r="AA33" s="8" t="s">
        <v>1546</v>
      </c>
      <c r="AB33" s="8" t="s">
        <v>1547</v>
      </c>
      <c r="AC33" s="8" t="s">
        <v>969</v>
      </c>
      <c r="AD33" s="8" t="s">
        <v>969</v>
      </c>
      <c r="AE33" s="8" t="s">
        <v>969</v>
      </c>
      <c r="AF33" s="8" t="s">
        <v>969</v>
      </c>
      <c r="AG33" s="8">
        <v>34.0</v>
      </c>
      <c r="AH33" s="8">
        <v>636.0</v>
      </c>
      <c r="AI33" s="8">
        <v>755.0</v>
      </c>
      <c r="AJ33" s="8">
        <v>5.0</v>
      </c>
      <c r="AK33" s="8">
        <v>610.0</v>
      </c>
      <c r="AL33" s="8" t="s">
        <v>1091</v>
      </c>
      <c r="AM33" s="8" t="s">
        <v>1092</v>
      </c>
      <c r="AN33" s="8" t="s">
        <v>1093</v>
      </c>
      <c r="AO33" s="8" t="s">
        <v>1548</v>
      </c>
      <c r="AP33" s="8" t="s">
        <v>1549</v>
      </c>
      <c r="AQ33" s="8" t="s">
        <v>969</v>
      </c>
      <c r="AR33" s="8" t="s">
        <v>1550</v>
      </c>
      <c r="AS33" s="8" t="s">
        <v>1551</v>
      </c>
      <c r="AT33" s="8" t="s">
        <v>1552</v>
      </c>
      <c r="AU33" s="8">
        <v>2006.0</v>
      </c>
      <c r="AV33" s="8">
        <v>20.0</v>
      </c>
      <c r="AW33" s="8">
        <v>2.0</v>
      </c>
      <c r="AX33" s="8" t="s">
        <v>969</v>
      </c>
      <c r="AY33" s="8" t="s">
        <v>969</v>
      </c>
      <c r="AZ33" s="8" t="s">
        <v>969</v>
      </c>
      <c r="BA33" s="8" t="s">
        <v>969</v>
      </c>
      <c r="BB33" s="8">
        <v>538.0</v>
      </c>
      <c r="BC33" s="8">
        <v>548.0</v>
      </c>
      <c r="BD33" s="8" t="s">
        <v>969</v>
      </c>
      <c r="BE33" s="8" t="s">
        <v>770</v>
      </c>
      <c r="BF33" s="13" t="str">
        <f>HYPERLINK("http://dx.doi.org/10.1111/j.1523-1739.2006.00364.x","http://dx.doi.org/10.1111/j.1523-1739.2006.00364.x")</f>
        <v>http://dx.doi.org/10.1111/j.1523-1739.2006.00364.x</v>
      </c>
      <c r="BG33" s="8" t="s">
        <v>969</v>
      </c>
      <c r="BH33" s="8" t="s">
        <v>969</v>
      </c>
      <c r="BI33" s="8">
        <v>11.0</v>
      </c>
      <c r="BJ33" s="8" t="s">
        <v>987</v>
      </c>
      <c r="BK33" s="8" t="s">
        <v>988</v>
      </c>
      <c r="BL33" s="8" t="s">
        <v>989</v>
      </c>
      <c r="BM33" s="8" t="s">
        <v>1553</v>
      </c>
      <c r="BN33" s="8">
        <v>1.6903114E7</v>
      </c>
      <c r="BO33" s="8" t="s">
        <v>969</v>
      </c>
      <c r="BP33" s="8" t="s">
        <v>969</v>
      </c>
      <c r="BQ33" s="8" t="s">
        <v>969</v>
      </c>
      <c r="BR33" s="8" t="s">
        <v>991</v>
      </c>
      <c r="BS33" s="8" t="s">
        <v>1554</v>
      </c>
      <c r="BT33" s="8" t="s">
        <v>1249</v>
      </c>
      <c r="BW33" s="8" t="s">
        <v>257</v>
      </c>
      <c r="BX33" s="8" t="s">
        <v>1022</v>
      </c>
      <c r="CA33" s="8" t="str">
        <f>HYPERLINK("https%3A%2F%2Fwww.webofscience.com%2Fwos%2Fwoscc%2Ffull-record%2FWOS:000236064200031","View Full Record in Web of Science")</f>
        <v>View Full Record in Web of Science</v>
      </c>
    </row>
    <row r="34" ht="12.75" customHeight="1">
      <c r="A34" s="8" t="s">
        <v>967</v>
      </c>
      <c r="B34" s="8" t="s">
        <v>1555</v>
      </c>
      <c r="C34" s="8" t="s">
        <v>969</v>
      </c>
      <c r="D34" s="8" t="s">
        <v>969</v>
      </c>
      <c r="E34" s="8" t="s">
        <v>969</v>
      </c>
      <c r="F34" s="8" t="s">
        <v>1555</v>
      </c>
      <c r="G34" s="8" t="s">
        <v>969</v>
      </c>
      <c r="H34" s="8" t="s">
        <v>969</v>
      </c>
      <c r="I34" s="8" t="s">
        <v>1556</v>
      </c>
      <c r="J34" s="8" t="s">
        <v>1557</v>
      </c>
      <c r="K34" s="8" t="s">
        <v>969</v>
      </c>
      <c r="L34" s="8" t="s">
        <v>969</v>
      </c>
      <c r="M34" s="8" t="s">
        <v>972</v>
      </c>
      <c r="N34" s="8" t="s">
        <v>973</v>
      </c>
      <c r="O34" s="8" t="s">
        <v>969</v>
      </c>
      <c r="P34" s="8" t="s">
        <v>969</v>
      </c>
      <c r="Q34" s="8" t="s">
        <v>969</v>
      </c>
      <c r="R34" s="8" t="s">
        <v>969</v>
      </c>
      <c r="S34" s="8" t="s">
        <v>969</v>
      </c>
      <c r="T34" s="8" t="s">
        <v>1558</v>
      </c>
      <c r="U34" s="8" t="s">
        <v>1559</v>
      </c>
      <c r="V34" s="8" t="s">
        <v>1560</v>
      </c>
      <c r="W34" s="8" t="s">
        <v>1561</v>
      </c>
      <c r="X34" s="8" t="s">
        <v>1562</v>
      </c>
      <c r="Y34" s="8" t="s">
        <v>1563</v>
      </c>
      <c r="Z34" s="8" t="s">
        <v>1564</v>
      </c>
      <c r="AA34" s="8" t="s">
        <v>1565</v>
      </c>
      <c r="AB34" s="8" t="s">
        <v>1566</v>
      </c>
      <c r="AC34" s="8" t="s">
        <v>969</v>
      </c>
      <c r="AD34" s="8" t="s">
        <v>969</v>
      </c>
      <c r="AE34" s="8" t="s">
        <v>969</v>
      </c>
      <c r="AF34" s="8" t="s">
        <v>969</v>
      </c>
      <c r="AG34" s="8">
        <v>66.0</v>
      </c>
      <c r="AH34" s="8">
        <v>131.0</v>
      </c>
      <c r="AI34" s="8">
        <v>147.0</v>
      </c>
      <c r="AJ34" s="8">
        <v>2.0</v>
      </c>
      <c r="AK34" s="8">
        <v>62.0</v>
      </c>
      <c r="AL34" s="8" t="s">
        <v>1192</v>
      </c>
      <c r="AM34" s="8" t="s">
        <v>1193</v>
      </c>
      <c r="AN34" s="8" t="s">
        <v>1194</v>
      </c>
      <c r="AO34" s="8" t="s">
        <v>1567</v>
      </c>
      <c r="AP34" s="8" t="s">
        <v>1568</v>
      </c>
      <c r="AQ34" s="8" t="s">
        <v>969</v>
      </c>
      <c r="AR34" s="8" t="s">
        <v>1569</v>
      </c>
      <c r="AS34" s="8" t="s">
        <v>1570</v>
      </c>
      <c r="AT34" s="8" t="s">
        <v>969</v>
      </c>
      <c r="AU34" s="8">
        <v>2006.0</v>
      </c>
      <c r="AV34" s="8">
        <v>9.0</v>
      </c>
      <c r="AW34" s="8">
        <v>2.0</v>
      </c>
      <c r="AX34" s="8" t="s">
        <v>969</v>
      </c>
      <c r="AY34" s="8" t="s">
        <v>969</v>
      </c>
      <c r="AZ34" s="8" t="s">
        <v>969</v>
      </c>
      <c r="BA34" s="8" t="s">
        <v>969</v>
      </c>
      <c r="BB34" s="8">
        <v>116.0</v>
      </c>
      <c r="BC34" s="8">
        <v>128.0</v>
      </c>
      <c r="BD34" s="8" t="s">
        <v>969</v>
      </c>
      <c r="BE34" s="8" t="s">
        <v>563</v>
      </c>
      <c r="BF34" s="13" t="str">
        <f>HYPERLINK("http://dx.doi.org/10.1016/j.envsci.2005.11.003","http://dx.doi.org/10.1016/j.envsci.2005.11.003")</f>
        <v>http://dx.doi.org/10.1016/j.envsci.2005.11.003</v>
      </c>
      <c r="BG34" s="8" t="s">
        <v>969</v>
      </c>
      <c r="BH34" s="8" t="s">
        <v>969</v>
      </c>
      <c r="BI34" s="8">
        <v>13.0</v>
      </c>
      <c r="BJ34" s="8" t="s">
        <v>1571</v>
      </c>
      <c r="BK34" s="8" t="s">
        <v>988</v>
      </c>
      <c r="BL34" s="8" t="s">
        <v>1268</v>
      </c>
      <c r="BM34" s="8" t="s">
        <v>1572</v>
      </c>
      <c r="BN34" s="8" t="s">
        <v>969</v>
      </c>
      <c r="BO34" s="8" t="s">
        <v>969</v>
      </c>
      <c r="BP34" s="8" t="s">
        <v>969</v>
      </c>
      <c r="BQ34" s="8" t="s">
        <v>969</v>
      </c>
      <c r="BR34" s="8" t="s">
        <v>991</v>
      </c>
      <c r="BS34" s="8" t="s">
        <v>1573</v>
      </c>
      <c r="BT34" s="8" t="s">
        <v>1021</v>
      </c>
      <c r="BW34" s="8" t="s">
        <v>93</v>
      </c>
      <c r="BX34" s="8" t="s">
        <v>995</v>
      </c>
      <c r="BY34" s="8" t="s">
        <v>996</v>
      </c>
      <c r="BZ34" s="8" t="s">
        <v>997</v>
      </c>
      <c r="CA34" s="8" t="str">
        <f>HYPERLINK("https%3A%2F%2Fwww.webofscience.com%2Fwos%2Fwoscc%2Ffull-record%2FWOS:000236511100003","View Full Record in Web of Science")</f>
        <v>View Full Record in Web of Science</v>
      </c>
    </row>
    <row r="35" ht="12.75" customHeight="1">
      <c r="A35" s="8" t="s">
        <v>967</v>
      </c>
      <c r="B35" s="8" t="s">
        <v>1574</v>
      </c>
      <c r="C35" s="8" t="s">
        <v>969</v>
      </c>
      <c r="D35" s="8" t="s">
        <v>969</v>
      </c>
      <c r="E35" s="8" t="s">
        <v>969</v>
      </c>
      <c r="F35" s="8" t="s">
        <v>1574</v>
      </c>
      <c r="G35" s="8" t="s">
        <v>969</v>
      </c>
      <c r="H35" s="8" t="s">
        <v>969</v>
      </c>
      <c r="I35" s="8" t="s">
        <v>1575</v>
      </c>
      <c r="J35" s="8" t="s">
        <v>1557</v>
      </c>
      <c r="K35" s="8" t="s">
        <v>969</v>
      </c>
      <c r="L35" s="8" t="s">
        <v>969</v>
      </c>
      <c r="M35" s="8" t="s">
        <v>972</v>
      </c>
      <c r="N35" s="8" t="s">
        <v>973</v>
      </c>
      <c r="O35" s="8" t="s">
        <v>969</v>
      </c>
      <c r="P35" s="8" t="s">
        <v>969</v>
      </c>
      <c r="Q35" s="8" t="s">
        <v>969</v>
      </c>
      <c r="R35" s="8" t="s">
        <v>969</v>
      </c>
      <c r="S35" s="8" t="s">
        <v>969</v>
      </c>
      <c r="T35" s="8" t="s">
        <v>1576</v>
      </c>
      <c r="U35" s="8" t="s">
        <v>1577</v>
      </c>
      <c r="V35" s="8" t="s">
        <v>1578</v>
      </c>
      <c r="W35" s="8" t="s">
        <v>1579</v>
      </c>
      <c r="X35" s="8" t="s">
        <v>1580</v>
      </c>
      <c r="Y35" s="8" t="s">
        <v>1581</v>
      </c>
      <c r="Z35" s="8" t="s">
        <v>1582</v>
      </c>
      <c r="AA35" s="8" t="s">
        <v>1583</v>
      </c>
      <c r="AB35" s="8" t="s">
        <v>1584</v>
      </c>
      <c r="AC35" s="8" t="s">
        <v>969</v>
      </c>
      <c r="AD35" s="8" t="s">
        <v>969</v>
      </c>
      <c r="AE35" s="8" t="s">
        <v>969</v>
      </c>
      <c r="AF35" s="8" t="s">
        <v>969</v>
      </c>
      <c r="AG35" s="8">
        <v>61.0</v>
      </c>
      <c r="AH35" s="8">
        <v>63.0</v>
      </c>
      <c r="AI35" s="8">
        <v>76.0</v>
      </c>
      <c r="AJ35" s="8">
        <v>1.0</v>
      </c>
      <c r="AK35" s="8">
        <v>34.0</v>
      </c>
      <c r="AL35" s="8" t="s">
        <v>1192</v>
      </c>
      <c r="AM35" s="8" t="s">
        <v>1193</v>
      </c>
      <c r="AN35" s="8" t="s">
        <v>1194</v>
      </c>
      <c r="AO35" s="8" t="s">
        <v>1567</v>
      </c>
      <c r="AP35" s="8" t="s">
        <v>1568</v>
      </c>
      <c r="AQ35" s="8" t="s">
        <v>969</v>
      </c>
      <c r="AR35" s="8" t="s">
        <v>1569</v>
      </c>
      <c r="AS35" s="8" t="s">
        <v>1570</v>
      </c>
      <c r="AT35" s="8" t="s">
        <v>969</v>
      </c>
      <c r="AU35" s="8">
        <v>2006.0</v>
      </c>
      <c r="AV35" s="8">
        <v>9.0</v>
      </c>
      <c r="AW35" s="8">
        <v>2.0</v>
      </c>
      <c r="AX35" s="8" t="s">
        <v>969</v>
      </c>
      <c r="AY35" s="8" t="s">
        <v>969</v>
      </c>
      <c r="AZ35" s="8" t="s">
        <v>969</v>
      </c>
      <c r="BA35" s="8" t="s">
        <v>969</v>
      </c>
      <c r="BB35" s="8">
        <v>129.0</v>
      </c>
      <c r="BC35" s="8">
        <v>147.0</v>
      </c>
      <c r="BD35" s="8" t="s">
        <v>969</v>
      </c>
      <c r="BE35" s="8" t="s">
        <v>566</v>
      </c>
      <c r="BF35" s="13" t="str">
        <f>HYPERLINK("http://dx.doi.org/10.1016/j.envsci.2005.11.005","http://dx.doi.org/10.1016/j.envsci.2005.11.005")</f>
        <v>http://dx.doi.org/10.1016/j.envsci.2005.11.005</v>
      </c>
      <c r="BG35" s="8" t="s">
        <v>969</v>
      </c>
      <c r="BH35" s="8" t="s">
        <v>969</v>
      </c>
      <c r="BI35" s="8">
        <v>19.0</v>
      </c>
      <c r="BJ35" s="8" t="s">
        <v>1571</v>
      </c>
      <c r="BK35" s="8" t="s">
        <v>988</v>
      </c>
      <c r="BL35" s="8" t="s">
        <v>1268</v>
      </c>
      <c r="BM35" s="8" t="s">
        <v>1572</v>
      </c>
      <c r="BN35" s="8" t="s">
        <v>969</v>
      </c>
      <c r="BO35" s="8" t="s">
        <v>969</v>
      </c>
      <c r="BP35" s="8" t="s">
        <v>969</v>
      </c>
      <c r="BQ35" s="8" t="s">
        <v>969</v>
      </c>
      <c r="BR35" s="8" t="s">
        <v>991</v>
      </c>
      <c r="BS35" s="8" t="s">
        <v>1585</v>
      </c>
      <c r="BT35" s="8" t="s">
        <v>1021</v>
      </c>
      <c r="BW35" s="8" t="s">
        <v>96</v>
      </c>
      <c r="BX35" s="8" t="s">
        <v>1586</v>
      </c>
      <c r="CA35" s="8" t="str">
        <f>HYPERLINK("https%3A%2F%2Fwww.webofscience.com%2Fwos%2Fwoscc%2Ffull-record%2FWOS:000236511100004","View Full Record in Web of Science")</f>
        <v>View Full Record in Web of Science</v>
      </c>
    </row>
    <row r="36" ht="12.75" customHeight="1">
      <c r="A36" s="8" t="s">
        <v>967</v>
      </c>
      <c r="B36" s="8" t="s">
        <v>1587</v>
      </c>
      <c r="C36" s="8" t="s">
        <v>969</v>
      </c>
      <c r="D36" s="8" t="s">
        <v>969</v>
      </c>
      <c r="E36" s="8" t="s">
        <v>969</v>
      </c>
      <c r="F36" s="8" t="s">
        <v>1588</v>
      </c>
      <c r="G36" s="8" t="s">
        <v>969</v>
      </c>
      <c r="H36" s="8" t="s">
        <v>969</v>
      </c>
      <c r="I36" s="8" t="s">
        <v>1589</v>
      </c>
      <c r="J36" s="8" t="s">
        <v>971</v>
      </c>
      <c r="K36" s="8" t="s">
        <v>969</v>
      </c>
      <c r="L36" s="8" t="s">
        <v>969</v>
      </c>
      <c r="M36" s="8" t="s">
        <v>972</v>
      </c>
      <c r="N36" s="8" t="s">
        <v>973</v>
      </c>
      <c r="O36" s="8" t="s">
        <v>969</v>
      </c>
      <c r="P36" s="8" t="s">
        <v>969</v>
      </c>
      <c r="Q36" s="8" t="s">
        <v>969</v>
      </c>
      <c r="R36" s="8" t="s">
        <v>969</v>
      </c>
      <c r="S36" s="8" t="s">
        <v>969</v>
      </c>
      <c r="T36" s="8" t="s">
        <v>1590</v>
      </c>
      <c r="U36" s="8" t="s">
        <v>1591</v>
      </c>
      <c r="V36" s="8" t="s">
        <v>1592</v>
      </c>
      <c r="W36" s="8" t="s">
        <v>1593</v>
      </c>
      <c r="X36" s="8" t="s">
        <v>1594</v>
      </c>
      <c r="Y36" s="8" t="s">
        <v>1595</v>
      </c>
      <c r="Z36" s="8" t="s">
        <v>1596</v>
      </c>
      <c r="AA36" s="8" t="s">
        <v>1597</v>
      </c>
      <c r="AB36" s="8" t="s">
        <v>969</v>
      </c>
      <c r="AC36" s="8" t="s">
        <v>969</v>
      </c>
      <c r="AD36" s="8" t="s">
        <v>969</v>
      </c>
      <c r="AE36" s="8" t="s">
        <v>969</v>
      </c>
      <c r="AF36" s="8" t="s">
        <v>969</v>
      </c>
      <c r="AG36" s="8">
        <v>65.0</v>
      </c>
      <c r="AH36" s="8">
        <v>297.0</v>
      </c>
      <c r="AI36" s="8">
        <v>355.0</v>
      </c>
      <c r="AJ36" s="8">
        <v>1.0</v>
      </c>
      <c r="AK36" s="8">
        <v>106.0</v>
      </c>
      <c r="AL36" s="8" t="s">
        <v>1091</v>
      </c>
      <c r="AM36" s="8" t="s">
        <v>1092</v>
      </c>
      <c r="AN36" s="8" t="s">
        <v>1093</v>
      </c>
      <c r="AO36" s="8" t="s">
        <v>983</v>
      </c>
      <c r="AP36" s="8" t="s">
        <v>1094</v>
      </c>
      <c r="AQ36" s="8" t="s">
        <v>969</v>
      </c>
      <c r="AR36" s="8" t="s">
        <v>1095</v>
      </c>
      <c r="AS36" s="8" t="s">
        <v>985</v>
      </c>
      <c r="AT36" s="8" t="s">
        <v>1211</v>
      </c>
      <c r="AU36" s="8">
        <v>2006.0</v>
      </c>
      <c r="AV36" s="8">
        <v>12.0</v>
      </c>
      <c r="AW36" s="8">
        <v>8.0</v>
      </c>
      <c r="AX36" s="8" t="s">
        <v>969</v>
      </c>
      <c r="AY36" s="8" t="s">
        <v>969</v>
      </c>
      <c r="AZ36" s="8" t="s">
        <v>969</v>
      </c>
      <c r="BA36" s="8" t="s">
        <v>969</v>
      </c>
      <c r="BB36" s="8">
        <v>1568.0</v>
      </c>
      <c r="BC36" s="8">
        <v>1584.0</v>
      </c>
      <c r="BD36" s="8" t="s">
        <v>969</v>
      </c>
      <c r="BE36" s="14" t="s">
        <v>692</v>
      </c>
      <c r="BF36" s="13" t="str">
        <f>HYPERLINK("http://dx.doi.org/10.1111/j.1365-2486.2006.01191.x","http://dx.doi.org/10.1111/j.1365-2486.2006.01191.x")</f>
        <v>http://dx.doi.org/10.1111/j.1365-2486.2006.01191.x</v>
      </c>
      <c r="BG36" s="8" t="s">
        <v>969</v>
      </c>
      <c r="BH36" s="8" t="s">
        <v>969</v>
      </c>
      <c r="BI36" s="8">
        <v>17.0</v>
      </c>
      <c r="BJ36" s="8" t="s">
        <v>987</v>
      </c>
      <c r="BK36" s="8" t="s">
        <v>988</v>
      </c>
      <c r="BL36" s="8" t="s">
        <v>989</v>
      </c>
      <c r="BM36" s="8" t="s">
        <v>1598</v>
      </c>
      <c r="BN36" s="8" t="s">
        <v>969</v>
      </c>
      <c r="BO36" s="8" t="s">
        <v>969</v>
      </c>
      <c r="BP36" s="8" t="s">
        <v>969</v>
      </c>
      <c r="BQ36" s="8" t="s">
        <v>969</v>
      </c>
      <c r="BR36" s="8" t="s">
        <v>991</v>
      </c>
      <c r="BS36" s="8" t="s">
        <v>1599</v>
      </c>
      <c r="BW36" s="8" t="s">
        <v>56</v>
      </c>
      <c r="BX36" s="8" t="s">
        <v>995</v>
      </c>
      <c r="BY36" s="8" t="s">
        <v>996</v>
      </c>
      <c r="BZ36" s="8" t="s">
        <v>997</v>
      </c>
      <c r="CA36" s="8" t="str">
        <f>HYPERLINK("https%3A%2F%2Fwww.webofscience.com%2Fwos%2Fwoscc%2Ffull-record%2FWOS:000239004700018","View Full Record in Web of Science")</f>
        <v>View Full Record in Web of Science</v>
      </c>
    </row>
    <row r="37" ht="12.75" customHeight="1">
      <c r="A37" s="8" t="s">
        <v>967</v>
      </c>
      <c r="B37" s="8" t="s">
        <v>1600</v>
      </c>
      <c r="C37" s="8" t="s">
        <v>969</v>
      </c>
      <c r="D37" s="8" t="s">
        <v>969</v>
      </c>
      <c r="E37" s="8" t="s">
        <v>969</v>
      </c>
      <c r="F37" s="8" t="s">
        <v>1601</v>
      </c>
      <c r="G37" s="8" t="s">
        <v>969</v>
      </c>
      <c r="H37" s="8" t="s">
        <v>969</v>
      </c>
      <c r="I37" s="8" t="s">
        <v>1602</v>
      </c>
      <c r="J37" s="8" t="s">
        <v>1025</v>
      </c>
      <c r="K37" s="8" t="s">
        <v>969</v>
      </c>
      <c r="L37" s="8" t="s">
        <v>969</v>
      </c>
      <c r="M37" s="8" t="s">
        <v>972</v>
      </c>
      <c r="N37" s="8" t="s">
        <v>973</v>
      </c>
      <c r="O37" s="8" t="s">
        <v>969</v>
      </c>
      <c r="P37" s="8" t="s">
        <v>969</v>
      </c>
      <c r="Q37" s="8" t="s">
        <v>969</v>
      </c>
      <c r="R37" s="8" t="s">
        <v>969</v>
      </c>
      <c r="S37" s="8" t="s">
        <v>969</v>
      </c>
      <c r="T37" s="8" t="s">
        <v>969</v>
      </c>
      <c r="U37" s="8" t="s">
        <v>1603</v>
      </c>
      <c r="V37" s="8" t="s">
        <v>1604</v>
      </c>
      <c r="W37" s="8" t="s">
        <v>969</v>
      </c>
      <c r="X37" s="8" t="s">
        <v>969</v>
      </c>
      <c r="Y37" s="8" t="s">
        <v>1605</v>
      </c>
      <c r="Z37" s="8" t="s">
        <v>1606</v>
      </c>
      <c r="AA37" s="8" t="s">
        <v>1607</v>
      </c>
      <c r="AB37" s="8" t="s">
        <v>1608</v>
      </c>
      <c r="AC37" s="8" t="s">
        <v>969</v>
      </c>
      <c r="AD37" s="8" t="s">
        <v>969</v>
      </c>
      <c r="AE37" s="8" t="s">
        <v>969</v>
      </c>
      <c r="AF37" s="8" t="s">
        <v>969</v>
      </c>
      <c r="AG37" s="8">
        <v>72.0</v>
      </c>
      <c r="AH37" s="8">
        <v>26.0</v>
      </c>
      <c r="AI37" s="8">
        <v>30.0</v>
      </c>
      <c r="AJ37" s="8">
        <v>0.0</v>
      </c>
      <c r="AK37" s="8">
        <v>10.0</v>
      </c>
      <c r="AL37" s="8" t="s">
        <v>1609</v>
      </c>
      <c r="AM37" s="8" t="s">
        <v>1032</v>
      </c>
      <c r="AN37" s="8" t="s">
        <v>1210</v>
      </c>
      <c r="AO37" s="8" t="s">
        <v>1034</v>
      </c>
      <c r="AP37" s="8" t="s">
        <v>1610</v>
      </c>
      <c r="AQ37" s="8" t="s">
        <v>969</v>
      </c>
      <c r="AR37" s="8" t="s">
        <v>1025</v>
      </c>
      <c r="AS37" s="8" t="s">
        <v>1035</v>
      </c>
      <c r="AT37" s="8" t="s">
        <v>1177</v>
      </c>
      <c r="AU37" s="8">
        <v>2006.0</v>
      </c>
      <c r="AV37" s="8">
        <v>76.0</v>
      </c>
      <c r="AW37" s="8" t="s">
        <v>1200</v>
      </c>
      <c r="AX37" s="8" t="s">
        <v>969</v>
      </c>
      <c r="AY37" s="8" t="s">
        <v>969</v>
      </c>
      <c r="AZ37" s="8" t="s">
        <v>969</v>
      </c>
      <c r="BA37" s="8" t="s">
        <v>969</v>
      </c>
      <c r="BB37" s="8">
        <v>91.0</v>
      </c>
      <c r="BC37" s="8">
        <v>119.0</v>
      </c>
      <c r="BD37" s="8" t="s">
        <v>969</v>
      </c>
      <c r="BE37" s="8" t="s">
        <v>536</v>
      </c>
      <c r="BF37" s="13" t="str">
        <f>HYPERLINK("http://dx.doi.org/10.1007/s10584-005-9014-1","http://dx.doi.org/10.1007/s10584-005-9014-1")</f>
        <v>http://dx.doi.org/10.1007/s10584-005-9014-1</v>
      </c>
      <c r="BG37" s="8" t="s">
        <v>969</v>
      </c>
      <c r="BH37" s="8" t="s">
        <v>969</v>
      </c>
      <c r="BI37" s="8">
        <v>29.0</v>
      </c>
      <c r="BJ37" s="8" t="s">
        <v>1037</v>
      </c>
      <c r="BK37" s="8" t="s">
        <v>988</v>
      </c>
      <c r="BL37" s="8" t="s">
        <v>1038</v>
      </c>
      <c r="BM37" s="8" t="s">
        <v>1611</v>
      </c>
      <c r="BN37" s="8" t="s">
        <v>969</v>
      </c>
      <c r="BO37" s="8" t="s">
        <v>969</v>
      </c>
      <c r="BP37" s="8" t="s">
        <v>969</v>
      </c>
      <c r="BQ37" s="8" t="s">
        <v>969</v>
      </c>
      <c r="BR37" s="8" t="s">
        <v>991</v>
      </c>
      <c r="BS37" s="8" t="s">
        <v>1612</v>
      </c>
      <c r="BT37" s="8" t="s">
        <v>993</v>
      </c>
      <c r="BU37" s="8" t="s">
        <v>994</v>
      </c>
      <c r="BW37" s="8" t="s">
        <v>67</v>
      </c>
      <c r="CA37" s="8" t="str">
        <f>HYPERLINK("https%3A%2F%2Fwww.webofscience.com%2Fwos%2Fwoscc%2Ffull-record%2FWOS:000239060600006","View Full Record in Web of Science")</f>
        <v>View Full Record in Web of Science</v>
      </c>
    </row>
    <row r="38" ht="12.75" customHeight="1">
      <c r="A38" s="8" t="s">
        <v>967</v>
      </c>
      <c r="B38" s="8" t="s">
        <v>1613</v>
      </c>
      <c r="C38" s="8" t="s">
        <v>969</v>
      </c>
      <c r="D38" s="8" t="s">
        <v>969</v>
      </c>
      <c r="E38" s="8" t="s">
        <v>969</v>
      </c>
      <c r="F38" s="8" t="s">
        <v>1614</v>
      </c>
      <c r="G38" s="8" t="s">
        <v>969</v>
      </c>
      <c r="H38" s="8" t="s">
        <v>969</v>
      </c>
      <c r="I38" s="8" t="s">
        <v>1615</v>
      </c>
      <c r="J38" s="8" t="s">
        <v>1427</v>
      </c>
      <c r="K38" s="8" t="s">
        <v>969</v>
      </c>
      <c r="L38" s="8" t="s">
        <v>969</v>
      </c>
      <c r="M38" s="8" t="s">
        <v>972</v>
      </c>
      <c r="N38" s="8" t="s">
        <v>973</v>
      </c>
      <c r="O38" s="8" t="s">
        <v>969</v>
      </c>
      <c r="P38" s="8" t="s">
        <v>969</v>
      </c>
      <c r="Q38" s="8" t="s">
        <v>969</v>
      </c>
      <c r="R38" s="8" t="s">
        <v>969</v>
      </c>
      <c r="S38" s="8" t="s">
        <v>969</v>
      </c>
      <c r="T38" s="8" t="s">
        <v>1616</v>
      </c>
      <c r="U38" s="8" t="s">
        <v>1617</v>
      </c>
      <c r="V38" s="8" t="s">
        <v>1618</v>
      </c>
      <c r="W38" s="8" t="s">
        <v>1619</v>
      </c>
      <c r="X38" s="8" t="s">
        <v>1620</v>
      </c>
      <c r="Y38" s="8" t="s">
        <v>1621</v>
      </c>
      <c r="Z38" s="8" t="s">
        <v>1622</v>
      </c>
      <c r="AA38" s="8" t="s">
        <v>1623</v>
      </c>
      <c r="AB38" s="8" t="s">
        <v>1624</v>
      </c>
      <c r="AC38" s="8" t="s">
        <v>969</v>
      </c>
      <c r="AD38" s="8" t="s">
        <v>969</v>
      </c>
      <c r="AE38" s="8" t="s">
        <v>969</v>
      </c>
      <c r="AF38" s="8" t="s">
        <v>969</v>
      </c>
      <c r="AG38" s="8">
        <v>51.0</v>
      </c>
      <c r="AH38" s="8">
        <v>145.0</v>
      </c>
      <c r="AI38" s="8">
        <v>170.0</v>
      </c>
      <c r="AJ38" s="8">
        <v>2.0</v>
      </c>
      <c r="AK38" s="8">
        <v>60.0</v>
      </c>
      <c r="AL38" s="8" t="s">
        <v>1091</v>
      </c>
      <c r="AM38" s="8" t="s">
        <v>1092</v>
      </c>
      <c r="AN38" s="8" t="s">
        <v>1093</v>
      </c>
      <c r="AO38" s="8" t="s">
        <v>1437</v>
      </c>
      <c r="AP38" s="8" t="s">
        <v>1499</v>
      </c>
      <c r="AQ38" s="8" t="s">
        <v>969</v>
      </c>
      <c r="AR38" s="8" t="s">
        <v>1438</v>
      </c>
      <c r="AS38" s="8" t="s">
        <v>1439</v>
      </c>
      <c r="AT38" s="8" t="s">
        <v>1300</v>
      </c>
      <c r="AU38" s="8">
        <v>2006.0</v>
      </c>
      <c r="AV38" s="8">
        <v>12.0</v>
      </c>
      <c r="AW38" s="8">
        <v>5.0</v>
      </c>
      <c r="AX38" s="8" t="s">
        <v>969</v>
      </c>
      <c r="AY38" s="8" t="s">
        <v>969</v>
      </c>
      <c r="AZ38" s="8" t="s">
        <v>969</v>
      </c>
      <c r="BA38" s="8" t="s">
        <v>969</v>
      </c>
      <c r="BB38" s="8">
        <v>555.0</v>
      </c>
      <c r="BC38" s="8">
        <v>562.0</v>
      </c>
      <c r="BD38" s="8" t="s">
        <v>969</v>
      </c>
      <c r="BE38" s="8" t="s">
        <v>743</v>
      </c>
      <c r="BF38" s="13" t="str">
        <f>HYPERLINK("http://dx.doi.org/10.1111/j.1366-9516.2006.00273.x","http://dx.doi.org/10.1111/j.1366-9516.2006.00273.x")</f>
        <v>http://dx.doi.org/10.1111/j.1366-9516.2006.00273.x</v>
      </c>
      <c r="BG38" s="8" t="s">
        <v>969</v>
      </c>
      <c r="BH38" s="8" t="s">
        <v>969</v>
      </c>
      <c r="BI38" s="8">
        <v>8.0</v>
      </c>
      <c r="BJ38" s="8" t="s">
        <v>1286</v>
      </c>
      <c r="BK38" s="8" t="s">
        <v>988</v>
      </c>
      <c r="BL38" s="8" t="s">
        <v>989</v>
      </c>
      <c r="BM38" s="8" t="s">
        <v>1625</v>
      </c>
      <c r="BN38" s="8" t="s">
        <v>969</v>
      </c>
      <c r="BO38" s="8" t="s">
        <v>969</v>
      </c>
      <c r="BP38" s="8" t="s">
        <v>969</v>
      </c>
      <c r="BQ38" s="8" t="s">
        <v>969</v>
      </c>
      <c r="BR38" s="8" t="s">
        <v>991</v>
      </c>
      <c r="BS38" s="8" t="s">
        <v>1626</v>
      </c>
      <c r="BT38" s="8" t="s">
        <v>1099</v>
      </c>
      <c r="BW38" s="8" t="s">
        <v>51</v>
      </c>
      <c r="BX38" s="8" t="s">
        <v>1022</v>
      </c>
      <c r="CA38" s="8" t="str">
        <f>HYPERLINK("https%3A%2F%2Fwww.webofscience.com%2Fwos%2Fwoscc%2Ffull-record%2FWOS:000239798200010","View Full Record in Web of Science")</f>
        <v>View Full Record in Web of Science</v>
      </c>
    </row>
    <row r="39" ht="12.75" customHeight="1">
      <c r="A39" s="8" t="s">
        <v>967</v>
      </c>
      <c r="B39" s="8" t="s">
        <v>1627</v>
      </c>
      <c r="C39" s="8" t="s">
        <v>969</v>
      </c>
      <c r="D39" s="8" t="s">
        <v>969</v>
      </c>
      <c r="E39" s="8" t="s">
        <v>969</v>
      </c>
      <c r="F39" s="8" t="s">
        <v>1628</v>
      </c>
      <c r="G39" s="8" t="s">
        <v>969</v>
      </c>
      <c r="H39" s="8" t="s">
        <v>969</v>
      </c>
      <c r="I39" s="8" t="s">
        <v>1629</v>
      </c>
      <c r="J39" s="8" t="s">
        <v>971</v>
      </c>
      <c r="K39" s="8" t="s">
        <v>969</v>
      </c>
      <c r="L39" s="8" t="s">
        <v>969</v>
      </c>
      <c r="M39" s="8" t="s">
        <v>972</v>
      </c>
      <c r="N39" s="8" t="s">
        <v>973</v>
      </c>
      <c r="O39" s="8" t="s">
        <v>969</v>
      </c>
      <c r="P39" s="8" t="s">
        <v>969</v>
      </c>
      <c r="Q39" s="8" t="s">
        <v>969</v>
      </c>
      <c r="R39" s="8" t="s">
        <v>969</v>
      </c>
      <c r="S39" s="8" t="s">
        <v>969</v>
      </c>
      <c r="T39" s="8" t="s">
        <v>1630</v>
      </c>
      <c r="U39" s="8" t="s">
        <v>1631</v>
      </c>
      <c r="V39" s="8" t="s">
        <v>1632</v>
      </c>
      <c r="W39" s="8" t="s">
        <v>1633</v>
      </c>
      <c r="X39" s="8" t="s">
        <v>1634</v>
      </c>
      <c r="Y39" s="8" t="s">
        <v>1635</v>
      </c>
      <c r="Z39" s="8" t="s">
        <v>1636</v>
      </c>
      <c r="AA39" s="8" t="s">
        <v>1637</v>
      </c>
      <c r="AB39" s="8" t="s">
        <v>1638</v>
      </c>
      <c r="AC39" s="8" t="s">
        <v>969</v>
      </c>
      <c r="AD39" s="8" t="s">
        <v>969</v>
      </c>
      <c r="AE39" s="8" t="s">
        <v>969</v>
      </c>
      <c r="AF39" s="8" t="s">
        <v>969</v>
      </c>
      <c r="AG39" s="8">
        <v>41.0</v>
      </c>
      <c r="AH39" s="8">
        <v>89.0</v>
      </c>
      <c r="AI39" s="8">
        <v>94.0</v>
      </c>
      <c r="AJ39" s="8">
        <v>1.0</v>
      </c>
      <c r="AK39" s="8">
        <v>48.0</v>
      </c>
      <c r="AL39" s="8" t="s">
        <v>1091</v>
      </c>
      <c r="AM39" s="8" t="s">
        <v>1092</v>
      </c>
      <c r="AN39" s="8" t="s">
        <v>1093</v>
      </c>
      <c r="AO39" s="8" t="s">
        <v>983</v>
      </c>
      <c r="AP39" s="8" t="s">
        <v>1094</v>
      </c>
      <c r="AQ39" s="8" t="s">
        <v>969</v>
      </c>
      <c r="AR39" s="8" t="s">
        <v>1095</v>
      </c>
      <c r="AS39" s="8" t="s">
        <v>985</v>
      </c>
      <c r="AT39" s="8" t="s">
        <v>1300</v>
      </c>
      <c r="AU39" s="8">
        <v>2006.0</v>
      </c>
      <c r="AV39" s="8">
        <v>12.0</v>
      </c>
      <c r="AW39" s="8">
        <v>9.0</v>
      </c>
      <c r="AX39" s="8" t="s">
        <v>969</v>
      </c>
      <c r="AY39" s="8" t="s">
        <v>969</v>
      </c>
      <c r="AZ39" s="8" t="s">
        <v>969</v>
      </c>
      <c r="BA39" s="8" t="s">
        <v>969</v>
      </c>
      <c r="BB39" s="8">
        <v>1788.0</v>
      </c>
      <c r="BC39" s="8">
        <v>1799.0</v>
      </c>
      <c r="BD39" s="8" t="s">
        <v>969</v>
      </c>
      <c r="BE39" s="8" t="s">
        <v>695</v>
      </c>
      <c r="BF39" s="13" t="str">
        <f>HYPERLINK("http://dx.doi.org/10.1111/j.1365-2486.2006.01231.x","http://dx.doi.org/10.1111/j.1365-2486.2006.01231.x")</f>
        <v>http://dx.doi.org/10.1111/j.1365-2486.2006.01231.x</v>
      </c>
      <c r="BG39" s="8" t="s">
        <v>969</v>
      </c>
      <c r="BH39" s="8" t="s">
        <v>969</v>
      </c>
      <c r="BI39" s="8">
        <v>12.0</v>
      </c>
      <c r="BJ39" s="8" t="s">
        <v>987</v>
      </c>
      <c r="BK39" s="8" t="s">
        <v>988</v>
      </c>
      <c r="BL39" s="8" t="s">
        <v>989</v>
      </c>
      <c r="BM39" s="8" t="s">
        <v>1639</v>
      </c>
      <c r="BN39" s="8" t="s">
        <v>969</v>
      </c>
      <c r="BO39" s="8" t="s">
        <v>1640</v>
      </c>
      <c r="BP39" s="8" t="s">
        <v>969</v>
      </c>
      <c r="BQ39" s="8" t="s">
        <v>969</v>
      </c>
      <c r="BR39" s="8" t="s">
        <v>991</v>
      </c>
      <c r="BS39" s="8" t="s">
        <v>1641</v>
      </c>
      <c r="BT39" s="8" t="s">
        <v>1021</v>
      </c>
      <c r="BW39" s="8" t="s">
        <v>51</v>
      </c>
      <c r="BX39" s="8" t="s">
        <v>1022</v>
      </c>
      <c r="CA39" s="8" t="str">
        <f>HYPERLINK("https%3A%2F%2Fwww.webofscience.com%2Fwos%2Fwoscc%2Ffull-record%2FWOS:000240005300018","View Full Record in Web of Science")</f>
        <v>View Full Record in Web of Science</v>
      </c>
    </row>
    <row r="40" ht="12.75" customHeight="1">
      <c r="A40" s="8" t="s">
        <v>967</v>
      </c>
      <c r="B40" s="8" t="s">
        <v>1642</v>
      </c>
      <c r="C40" s="8" t="s">
        <v>969</v>
      </c>
      <c r="D40" s="8" t="s">
        <v>969</v>
      </c>
      <c r="E40" s="8" t="s">
        <v>969</v>
      </c>
      <c r="F40" s="8" t="s">
        <v>1643</v>
      </c>
      <c r="G40" s="8" t="s">
        <v>969</v>
      </c>
      <c r="H40" s="8" t="s">
        <v>969</v>
      </c>
      <c r="I40" s="8" t="s">
        <v>1644</v>
      </c>
      <c r="J40" s="8" t="s">
        <v>1645</v>
      </c>
      <c r="K40" s="8" t="s">
        <v>969</v>
      </c>
      <c r="L40" s="8" t="s">
        <v>969</v>
      </c>
      <c r="M40" s="8" t="s">
        <v>972</v>
      </c>
      <c r="N40" s="8" t="s">
        <v>973</v>
      </c>
      <c r="O40" s="8" t="s">
        <v>969</v>
      </c>
      <c r="P40" s="8" t="s">
        <v>969</v>
      </c>
      <c r="Q40" s="8" t="s">
        <v>969</v>
      </c>
      <c r="R40" s="8" t="s">
        <v>969</v>
      </c>
      <c r="S40" s="8" t="s">
        <v>969</v>
      </c>
      <c r="T40" s="8" t="s">
        <v>1646</v>
      </c>
      <c r="U40" s="8" t="s">
        <v>1647</v>
      </c>
      <c r="V40" s="8" t="s">
        <v>1648</v>
      </c>
      <c r="W40" s="8" t="s">
        <v>1649</v>
      </c>
      <c r="X40" s="8" t="s">
        <v>1650</v>
      </c>
      <c r="Y40" s="8" t="s">
        <v>1651</v>
      </c>
      <c r="Z40" s="8" t="s">
        <v>1652</v>
      </c>
      <c r="AA40" s="8" t="s">
        <v>1280</v>
      </c>
      <c r="AB40" s="8" t="s">
        <v>1281</v>
      </c>
      <c r="AC40" s="8" t="s">
        <v>969</v>
      </c>
      <c r="AD40" s="8" t="s">
        <v>969</v>
      </c>
      <c r="AE40" s="8" t="s">
        <v>969</v>
      </c>
      <c r="AF40" s="8" t="s">
        <v>969</v>
      </c>
      <c r="AG40" s="8">
        <v>62.0</v>
      </c>
      <c r="AH40" s="8">
        <v>44.0</v>
      </c>
      <c r="AI40" s="8">
        <v>50.0</v>
      </c>
      <c r="AJ40" s="8">
        <v>1.0</v>
      </c>
      <c r="AK40" s="8">
        <v>33.0</v>
      </c>
      <c r="AL40" s="8" t="s">
        <v>1609</v>
      </c>
      <c r="AM40" s="8" t="s">
        <v>1032</v>
      </c>
      <c r="AN40" s="8" t="s">
        <v>1210</v>
      </c>
      <c r="AO40" s="8" t="s">
        <v>1653</v>
      </c>
      <c r="AP40" s="8" t="s">
        <v>1654</v>
      </c>
      <c r="AQ40" s="8" t="s">
        <v>969</v>
      </c>
      <c r="AR40" s="8" t="s">
        <v>1655</v>
      </c>
      <c r="AS40" s="8" t="s">
        <v>1656</v>
      </c>
      <c r="AT40" s="8" t="s">
        <v>1300</v>
      </c>
      <c r="AU40" s="8">
        <v>2006.0</v>
      </c>
      <c r="AV40" s="8">
        <v>15.0</v>
      </c>
      <c r="AW40" s="8">
        <v>10.0</v>
      </c>
      <c r="AX40" s="8" t="s">
        <v>969</v>
      </c>
      <c r="AY40" s="8" t="s">
        <v>969</v>
      </c>
      <c r="AZ40" s="8" t="s">
        <v>969</v>
      </c>
      <c r="BA40" s="8" t="s">
        <v>969</v>
      </c>
      <c r="BB40" s="8">
        <v>3341.0</v>
      </c>
      <c r="BC40" s="8">
        <v>3356.0</v>
      </c>
      <c r="BD40" s="8" t="s">
        <v>969</v>
      </c>
      <c r="BE40" s="8" t="s">
        <v>521</v>
      </c>
      <c r="BF40" s="13" t="str">
        <f>HYPERLINK("http://dx.doi.org/10.1007/s10531-005-1345-8","http://dx.doi.org/10.1007/s10531-005-1345-8")</f>
        <v>http://dx.doi.org/10.1007/s10531-005-1345-8</v>
      </c>
      <c r="BG40" s="8" t="s">
        <v>969</v>
      </c>
      <c r="BH40" s="8" t="s">
        <v>969</v>
      </c>
      <c r="BI40" s="8">
        <v>16.0</v>
      </c>
      <c r="BJ40" s="8" t="s">
        <v>987</v>
      </c>
      <c r="BK40" s="8" t="s">
        <v>988</v>
      </c>
      <c r="BL40" s="8" t="s">
        <v>989</v>
      </c>
      <c r="BM40" s="8" t="s">
        <v>1657</v>
      </c>
      <c r="BN40" s="8" t="s">
        <v>969</v>
      </c>
      <c r="BO40" s="8" t="s">
        <v>969</v>
      </c>
      <c r="BP40" s="8" t="s">
        <v>969</v>
      </c>
      <c r="BQ40" s="8" t="s">
        <v>969</v>
      </c>
      <c r="BR40" s="8" t="s">
        <v>991</v>
      </c>
      <c r="BS40" s="8" t="s">
        <v>1658</v>
      </c>
      <c r="BT40" s="8" t="s">
        <v>1021</v>
      </c>
      <c r="BW40" s="8" t="s">
        <v>51</v>
      </c>
      <c r="BX40" s="8" t="s">
        <v>1022</v>
      </c>
      <c r="CA40" s="8" t="str">
        <f>HYPERLINK("https%3A%2F%2Fwww.webofscience.com%2Fwos%2Fwoscc%2Ffull-record%2FWOS:000241791200014","View Full Record in Web of Science")</f>
        <v>View Full Record in Web of Science</v>
      </c>
    </row>
    <row r="41" ht="12.75" customHeight="1">
      <c r="A41" s="8" t="s">
        <v>967</v>
      </c>
      <c r="B41" s="8" t="s">
        <v>1659</v>
      </c>
      <c r="C41" s="8" t="s">
        <v>969</v>
      </c>
      <c r="D41" s="8" t="s">
        <v>969</v>
      </c>
      <c r="E41" s="8" t="s">
        <v>969</v>
      </c>
      <c r="F41" s="8" t="s">
        <v>1660</v>
      </c>
      <c r="G41" s="8" t="s">
        <v>969</v>
      </c>
      <c r="H41" s="8" t="s">
        <v>969</v>
      </c>
      <c r="I41" s="8" t="s">
        <v>1661</v>
      </c>
      <c r="J41" s="8" t="s">
        <v>1662</v>
      </c>
      <c r="K41" s="8" t="s">
        <v>969</v>
      </c>
      <c r="L41" s="8" t="s">
        <v>969</v>
      </c>
      <c r="M41" s="8" t="s">
        <v>972</v>
      </c>
      <c r="N41" s="8" t="s">
        <v>973</v>
      </c>
      <c r="O41" s="8" t="s">
        <v>969</v>
      </c>
      <c r="P41" s="8" t="s">
        <v>969</v>
      </c>
      <c r="Q41" s="8" t="s">
        <v>969</v>
      </c>
      <c r="R41" s="8" t="s">
        <v>969</v>
      </c>
      <c r="S41" s="8" t="s">
        <v>969</v>
      </c>
      <c r="T41" s="8" t="s">
        <v>1663</v>
      </c>
      <c r="U41" s="8" t="s">
        <v>1664</v>
      </c>
      <c r="V41" s="8" t="s">
        <v>1665</v>
      </c>
      <c r="W41" s="8" t="s">
        <v>1649</v>
      </c>
      <c r="X41" s="8" t="s">
        <v>1650</v>
      </c>
      <c r="Y41" s="8" t="s">
        <v>1666</v>
      </c>
      <c r="Z41" s="8" t="s">
        <v>1667</v>
      </c>
      <c r="AA41" s="8" t="s">
        <v>1668</v>
      </c>
      <c r="AB41" s="8" t="s">
        <v>1669</v>
      </c>
      <c r="AC41" s="8" t="s">
        <v>969</v>
      </c>
      <c r="AD41" s="8" t="s">
        <v>969</v>
      </c>
      <c r="AE41" s="8" t="s">
        <v>969</v>
      </c>
      <c r="AF41" s="8" t="s">
        <v>969</v>
      </c>
      <c r="AG41" s="8">
        <v>52.0</v>
      </c>
      <c r="AH41" s="8">
        <v>35.0</v>
      </c>
      <c r="AI41" s="8">
        <v>37.0</v>
      </c>
      <c r="AJ41" s="8">
        <v>0.0</v>
      </c>
      <c r="AK41" s="8">
        <v>41.0</v>
      </c>
      <c r="AL41" s="8" t="s">
        <v>1670</v>
      </c>
      <c r="AM41" s="8" t="s">
        <v>1671</v>
      </c>
      <c r="AN41" s="8" t="s">
        <v>1672</v>
      </c>
      <c r="AO41" s="8" t="s">
        <v>1673</v>
      </c>
      <c r="AP41" s="8" t="s">
        <v>1674</v>
      </c>
      <c r="AQ41" s="8" t="s">
        <v>969</v>
      </c>
      <c r="AR41" s="8" t="s">
        <v>1675</v>
      </c>
      <c r="AS41" s="8" t="s">
        <v>1676</v>
      </c>
      <c r="AT41" s="8" t="s">
        <v>969</v>
      </c>
      <c r="AU41" s="8">
        <v>2007.0</v>
      </c>
      <c r="AV41" s="8">
        <v>15.0</v>
      </c>
      <c r="AW41" s="8">
        <v>1.0</v>
      </c>
      <c r="AX41" s="8" t="s">
        <v>969</v>
      </c>
      <c r="AY41" s="8" t="s">
        <v>969</v>
      </c>
      <c r="AZ41" s="8" t="s">
        <v>969</v>
      </c>
      <c r="BA41" s="8" t="s">
        <v>969</v>
      </c>
      <c r="BB41" s="8">
        <v>41.0</v>
      </c>
      <c r="BC41" s="8">
        <v>53.0</v>
      </c>
      <c r="BD41" s="8" t="s">
        <v>969</v>
      </c>
      <c r="BE41" s="8" t="s">
        <v>578</v>
      </c>
      <c r="BF41" s="13" t="str">
        <f>HYPERLINK("http://dx.doi.org/10.1016/j.jnc.2006.09.001","http://dx.doi.org/10.1016/j.jnc.2006.09.001")</f>
        <v>http://dx.doi.org/10.1016/j.jnc.2006.09.001</v>
      </c>
      <c r="BG41" s="8" t="s">
        <v>969</v>
      </c>
      <c r="BH41" s="8" t="s">
        <v>969</v>
      </c>
      <c r="BI41" s="8">
        <v>13.0</v>
      </c>
      <c r="BJ41" s="8" t="s">
        <v>1286</v>
      </c>
      <c r="BK41" s="8" t="s">
        <v>988</v>
      </c>
      <c r="BL41" s="8" t="s">
        <v>989</v>
      </c>
      <c r="BM41" s="8" t="s">
        <v>1677</v>
      </c>
      <c r="BN41" s="8" t="s">
        <v>969</v>
      </c>
      <c r="BO41" s="8" t="s">
        <v>969</v>
      </c>
      <c r="BP41" s="8" t="s">
        <v>969</v>
      </c>
      <c r="BQ41" s="8" t="s">
        <v>969</v>
      </c>
      <c r="BR41" s="8" t="s">
        <v>991</v>
      </c>
      <c r="BS41" s="8" t="s">
        <v>1678</v>
      </c>
      <c r="BT41" s="8" t="s">
        <v>1021</v>
      </c>
      <c r="BW41" s="8" t="s">
        <v>51</v>
      </c>
      <c r="BX41" s="8" t="s">
        <v>1022</v>
      </c>
      <c r="CA41" s="8" t="str">
        <f>HYPERLINK("https%3A%2F%2Fwww.webofscience.com%2Fwos%2Fwoscc%2Ffull-record%2FWOS:000245122300004","View Full Record in Web of Science")</f>
        <v>View Full Record in Web of Science</v>
      </c>
    </row>
    <row r="42" ht="12.75" customHeight="1">
      <c r="A42" s="8" t="s">
        <v>967</v>
      </c>
      <c r="B42" s="8" t="s">
        <v>1679</v>
      </c>
      <c r="C42" s="8" t="s">
        <v>969</v>
      </c>
      <c r="D42" s="8" t="s">
        <v>969</v>
      </c>
      <c r="E42" s="8" t="s">
        <v>969</v>
      </c>
      <c r="F42" s="8" t="s">
        <v>1680</v>
      </c>
      <c r="G42" s="8" t="s">
        <v>969</v>
      </c>
      <c r="H42" s="8" t="s">
        <v>969</v>
      </c>
      <c r="I42" s="8" t="s">
        <v>1681</v>
      </c>
      <c r="J42" s="8" t="s">
        <v>1538</v>
      </c>
      <c r="K42" s="8" t="s">
        <v>969</v>
      </c>
      <c r="L42" s="8" t="s">
        <v>969</v>
      </c>
      <c r="M42" s="8" t="s">
        <v>972</v>
      </c>
      <c r="N42" s="8" t="s">
        <v>973</v>
      </c>
      <c r="O42" s="8" t="s">
        <v>969</v>
      </c>
      <c r="P42" s="8" t="s">
        <v>969</v>
      </c>
      <c r="Q42" s="8" t="s">
        <v>969</v>
      </c>
      <c r="R42" s="8" t="s">
        <v>969</v>
      </c>
      <c r="S42" s="8" t="s">
        <v>969</v>
      </c>
      <c r="T42" s="8" t="s">
        <v>1682</v>
      </c>
      <c r="U42" s="8" t="s">
        <v>1683</v>
      </c>
      <c r="V42" s="8" t="s">
        <v>1684</v>
      </c>
      <c r="W42" s="8" t="s">
        <v>1685</v>
      </c>
      <c r="X42" s="8" t="s">
        <v>969</v>
      </c>
      <c r="Y42" s="8" t="s">
        <v>1686</v>
      </c>
      <c r="Z42" s="8" t="s">
        <v>1687</v>
      </c>
      <c r="AA42" s="8" t="s">
        <v>969</v>
      </c>
      <c r="AB42" s="8" t="s">
        <v>969</v>
      </c>
      <c r="AC42" s="8" t="s">
        <v>969</v>
      </c>
      <c r="AD42" s="8" t="s">
        <v>969</v>
      </c>
      <c r="AE42" s="8" t="s">
        <v>969</v>
      </c>
      <c r="AF42" s="8" t="s">
        <v>969</v>
      </c>
      <c r="AG42" s="8">
        <v>41.0</v>
      </c>
      <c r="AH42" s="8">
        <v>105.0</v>
      </c>
      <c r="AI42" s="8">
        <v>130.0</v>
      </c>
      <c r="AJ42" s="8">
        <v>1.0</v>
      </c>
      <c r="AK42" s="8">
        <v>144.0</v>
      </c>
      <c r="AL42" s="8" t="s">
        <v>1091</v>
      </c>
      <c r="AM42" s="8" t="s">
        <v>1092</v>
      </c>
      <c r="AN42" s="8" t="s">
        <v>1093</v>
      </c>
      <c r="AO42" s="8" t="s">
        <v>1548</v>
      </c>
      <c r="AP42" s="8" t="s">
        <v>1549</v>
      </c>
      <c r="AQ42" s="8" t="s">
        <v>969</v>
      </c>
      <c r="AR42" s="8" t="s">
        <v>1550</v>
      </c>
      <c r="AS42" s="8" t="s">
        <v>1551</v>
      </c>
      <c r="AT42" s="8" t="s">
        <v>1211</v>
      </c>
      <c r="AU42" s="8">
        <v>2007.0</v>
      </c>
      <c r="AV42" s="8">
        <v>21.0</v>
      </c>
      <c r="AW42" s="8">
        <v>4.0</v>
      </c>
      <c r="AX42" s="8" t="s">
        <v>969</v>
      </c>
      <c r="AY42" s="8" t="s">
        <v>969</v>
      </c>
      <c r="AZ42" s="8" t="s">
        <v>969</v>
      </c>
      <c r="BA42" s="8" t="s">
        <v>969</v>
      </c>
      <c r="BB42" s="8">
        <v>1092.0</v>
      </c>
      <c r="BC42" s="8">
        <v>1104.0</v>
      </c>
      <c r="BD42" s="8" t="s">
        <v>969</v>
      </c>
      <c r="BE42" s="8" t="s">
        <v>773</v>
      </c>
      <c r="BF42" s="13" t="str">
        <f>HYPERLINK("http://dx.doi.org/10.1111/j.1523-1739.2007.00719.x","http://dx.doi.org/10.1111/j.1523-1739.2007.00719.x")</f>
        <v>http://dx.doi.org/10.1111/j.1523-1739.2007.00719.x</v>
      </c>
      <c r="BG42" s="8" t="s">
        <v>969</v>
      </c>
      <c r="BH42" s="8" t="s">
        <v>969</v>
      </c>
      <c r="BI42" s="8">
        <v>13.0</v>
      </c>
      <c r="BJ42" s="8" t="s">
        <v>987</v>
      </c>
      <c r="BK42" s="8" t="s">
        <v>988</v>
      </c>
      <c r="BL42" s="8" t="s">
        <v>989</v>
      </c>
      <c r="BM42" s="8" t="s">
        <v>1688</v>
      </c>
      <c r="BN42" s="8">
        <v>1.7650258E7</v>
      </c>
      <c r="BO42" s="8" t="s">
        <v>969</v>
      </c>
      <c r="BP42" s="8" t="s">
        <v>969</v>
      </c>
      <c r="BQ42" s="8" t="s">
        <v>969</v>
      </c>
      <c r="BR42" s="8" t="s">
        <v>991</v>
      </c>
      <c r="BS42" s="8" t="s">
        <v>1689</v>
      </c>
      <c r="BT42" s="8" t="s">
        <v>993</v>
      </c>
      <c r="BU42" s="8" t="s">
        <v>994</v>
      </c>
      <c r="BW42" s="8" t="s">
        <v>56</v>
      </c>
      <c r="BX42" s="8" t="s">
        <v>995</v>
      </c>
      <c r="BY42" s="8" t="s">
        <v>996</v>
      </c>
      <c r="BZ42" s="8" t="s">
        <v>997</v>
      </c>
      <c r="CA42" s="8" t="str">
        <f>HYPERLINK("https%3A%2F%2Fwww.webofscience.com%2Fwos%2Fwoscc%2Ffull-record%2FWOS:000248401200029","View Full Record in Web of Science")</f>
        <v>View Full Record in Web of Science</v>
      </c>
    </row>
    <row r="43" ht="12.75" customHeight="1">
      <c r="A43" s="8" t="s">
        <v>967</v>
      </c>
      <c r="B43" s="8" t="s">
        <v>1690</v>
      </c>
      <c r="C43" s="8" t="s">
        <v>969</v>
      </c>
      <c r="D43" s="8" t="s">
        <v>969</v>
      </c>
      <c r="E43" s="8" t="s">
        <v>969</v>
      </c>
      <c r="F43" s="8" t="s">
        <v>1691</v>
      </c>
      <c r="G43" s="8" t="s">
        <v>969</v>
      </c>
      <c r="H43" s="8" t="s">
        <v>969</v>
      </c>
      <c r="I43" s="8" t="s">
        <v>1692</v>
      </c>
      <c r="J43" s="8" t="s">
        <v>971</v>
      </c>
      <c r="K43" s="8" t="s">
        <v>969</v>
      </c>
      <c r="L43" s="8" t="s">
        <v>969</v>
      </c>
      <c r="M43" s="8" t="s">
        <v>972</v>
      </c>
      <c r="N43" s="8" t="s">
        <v>973</v>
      </c>
      <c r="O43" s="8" t="s">
        <v>969</v>
      </c>
      <c r="P43" s="8" t="s">
        <v>969</v>
      </c>
      <c r="Q43" s="8" t="s">
        <v>969</v>
      </c>
      <c r="R43" s="8" t="s">
        <v>969</v>
      </c>
      <c r="S43" s="8" t="s">
        <v>969</v>
      </c>
      <c r="T43" s="8" t="s">
        <v>1693</v>
      </c>
      <c r="U43" s="8" t="s">
        <v>1694</v>
      </c>
      <c r="V43" s="8" t="s">
        <v>1695</v>
      </c>
      <c r="W43" s="8" t="s">
        <v>1696</v>
      </c>
      <c r="X43" s="8" t="s">
        <v>1697</v>
      </c>
      <c r="Y43" s="8" t="s">
        <v>1107</v>
      </c>
      <c r="Z43" s="8" t="s">
        <v>1698</v>
      </c>
      <c r="AA43" s="8" t="s">
        <v>1699</v>
      </c>
      <c r="AB43" s="8" t="s">
        <v>1700</v>
      </c>
      <c r="AC43" s="8" t="s">
        <v>969</v>
      </c>
      <c r="AD43" s="8" t="s">
        <v>969</v>
      </c>
      <c r="AE43" s="8" t="s">
        <v>969</v>
      </c>
      <c r="AF43" s="8" t="s">
        <v>969</v>
      </c>
      <c r="AG43" s="8">
        <v>77.0</v>
      </c>
      <c r="AH43" s="8">
        <v>154.0</v>
      </c>
      <c r="AI43" s="8">
        <v>187.0</v>
      </c>
      <c r="AJ43" s="8">
        <v>1.0</v>
      </c>
      <c r="AK43" s="8">
        <v>86.0</v>
      </c>
      <c r="AL43" s="8" t="s">
        <v>1010</v>
      </c>
      <c r="AM43" s="8" t="s">
        <v>1092</v>
      </c>
      <c r="AN43" s="8" t="s">
        <v>1093</v>
      </c>
      <c r="AO43" s="8" t="s">
        <v>983</v>
      </c>
      <c r="AP43" s="8" t="s">
        <v>1094</v>
      </c>
      <c r="AQ43" s="8" t="s">
        <v>969</v>
      </c>
      <c r="AR43" s="8" t="s">
        <v>1095</v>
      </c>
      <c r="AS43" s="8" t="s">
        <v>985</v>
      </c>
      <c r="AT43" s="8" t="s">
        <v>1096</v>
      </c>
      <c r="AU43" s="8">
        <v>2007.0</v>
      </c>
      <c r="AV43" s="8">
        <v>13.0</v>
      </c>
      <c r="AW43" s="8">
        <v>7.0</v>
      </c>
      <c r="AX43" s="8" t="s">
        <v>969</v>
      </c>
      <c r="AY43" s="8" t="s">
        <v>969</v>
      </c>
      <c r="AZ43" s="8" t="s">
        <v>969</v>
      </c>
      <c r="BA43" s="8" t="s">
        <v>969</v>
      </c>
      <c r="BB43" s="8">
        <v>1368.0</v>
      </c>
      <c r="BC43" s="8">
        <v>1385.0</v>
      </c>
      <c r="BD43" s="8" t="s">
        <v>969</v>
      </c>
      <c r="BE43" s="8" t="s">
        <v>698</v>
      </c>
      <c r="BF43" s="13" t="str">
        <f>HYPERLINK("http://dx.doi.org/10.1111/j.1365-2486.2007.01357.x","http://dx.doi.org/10.1111/j.1365-2486.2007.01357.x")</f>
        <v>http://dx.doi.org/10.1111/j.1365-2486.2007.01357.x</v>
      </c>
      <c r="BG43" s="8" t="s">
        <v>969</v>
      </c>
      <c r="BH43" s="8" t="s">
        <v>969</v>
      </c>
      <c r="BI43" s="8">
        <v>18.0</v>
      </c>
      <c r="BJ43" s="8" t="s">
        <v>987</v>
      </c>
      <c r="BK43" s="8" t="s">
        <v>988</v>
      </c>
      <c r="BL43" s="8" t="s">
        <v>989</v>
      </c>
      <c r="BM43" s="8" t="s">
        <v>1701</v>
      </c>
      <c r="BN43" s="8" t="s">
        <v>969</v>
      </c>
      <c r="BO43" s="8" t="s">
        <v>969</v>
      </c>
      <c r="BP43" s="8" t="s">
        <v>969</v>
      </c>
      <c r="BQ43" s="8" t="s">
        <v>969</v>
      </c>
      <c r="BR43" s="8" t="s">
        <v>991</v>
      </c>
      <c r="BS43" s="8" t="s">
        <v>1702</v>
      </c>
      <c r="BT43" s="8" t="s">
        <v>1115</v>
      </c>
      <c r="BU43" s="8" t="s">
        <v>1116</v>
      </c>
      <c r="BV43" s="8" t="s">
        <v>1117</v>
      </c>
      <c r="BW43" s="8" t="s">
        <v>33</v>
      </c>
      <c r="BX43" s="8" t="s">
        <v>995</v>
      </c>
      <c r="CA43" s="8" t="str">
        <f>HYPERLINK("https%3A%2F%2Fwww.webofscience.com%2Fwos%2Fwoscc%2Ffull-record%2FWOS:000248945800007","View Full Record in Web of Science")</f>
        <v>View Full Record in Web of Science</v>
      </c>
    </row>
    <row r="44" ht="12.75" customHeight="1">
      <c r="A44" s="8" t="s">
        <v>967</v>
      </c>
      <c r="B44" s="8" t="s">
        <v>1703</v>
      </c>
      <c r="C44" s="8" t="s">
        <v>969</v>
      </c>
      <c r="D44" s="8" t="s">
        <v>969</v>
      </c>
      <c r="E44" s="8" t="s">
        <v>969</v>
      </c>
      <c r="F44" s="8" t="s">
        <v>1704</v>
      </c>
      <c r="G44" s="8" t="s">
        <v>969</v>
      </c>
      <c r="H44" s="8" t="s">
        <v>969</v>
      </c>
      <c r="I44" s="8" t="s">
        <v>1705</v>
      </c>
      <c r="J44" s="8" t="s">
        <v>1645</v>
      </c>
      <c r="K44" s="8" t="s">
        <v>969</v>
      </c>
      <c r="L44" s="8" t="s">
        <v>969</v>
      </c>
      <c r="M44" s="8" t="s">
        <v>972</v>
      </c>
      <c r="N44" s="8" t="s">
        <v>973</v>
      </c>
      <c r="O44" s="8" t="s">
        <v>969</v>
      </c>
      <c r="P44" s="8" t="s">
        <v>969</v>
      </c>
      <c r="Q44" s="8" t="s">
        <v>969</v>
      </c>
      <c r="R44" s="8" t="s">
        <v>969</v>
      </c>
      <c r="S44" s="8" t="s">
        <v>969</v>
      </c>
      <c r="T44" s="8" t="s">
        <v>1706</v>
      </c>
      <c r="U44" s="8" t="s">
        <v>1707</v>
      </c>
      <c r="V44" s="8" t="s">
        <v>1708</v>
      </c>
      <c r="W44" s="8" t="s">
        <v>1709</v>
      </c>
      <c r="X44" s="8" t="s">
        <v>1710</v>
      </c>
      <c r="Y44" s="8" t="s">
        <v>1711</v>
      </c>
      <c r="Z44" s="8" t="s">
        <v>1712</v>
      </c>
      <c r="AA44" s="8" t="s">
        <v>1713</v>
      </c>
      <c r="AB44" s="8" t="s">
        <v>1714</v>
      </c>
      <c r="AC44" s="8" t="s">
        <v>969</v>
      </c>
      <c r="AD44" s="8" t="s">
        <v>969</v>
      </c>
      <c r="AE44" s="8" t="s">
        <v>969</v>
      </c>
      <c r="AF44" s="8" t="s">
        <v>969</v>
      </c>
      <c r="AG44" s="8">
        <v>56.0</v>
      </c>
      <c r="AH44" s="8">
        <v>156.0</v>
      </c>
      <c r="AI44" s="8">
        <v>175.0</v>
      </c>
      <c r="AJ44" s="8">
        <v>3.0</v>
      </c>
      <c r="AK44" s="8">
        <v>125.0</v>
      </c>
      <c r="AL44" s="8" t="s">
        <v>1609</v>
      </c>
      <c r="AM44" s="8" t="s">
        <v>1032</v>
      </c>
      <c r="AN44" s="8" t="s">
        <v>1210</v>
      </c>
      <c r="AO44" s="8" t="s">
        <v>1653</v>
      </c>
      <c r="AP44" s="8" t="s">
        <v>969</v>
      </c>
      <c r="AQ44" s="8" t="s">
        <v>969</v>
      </c>
      <c r="AR44" s="8" t="s">
        <v>1655</v>
      </c>
      <c r="AS44" s="8" t="s">
        <v>1656</v>
      </c>
      <c r="AT44" s="8" t="s">
        <v>986</v>
      </c>
      <c r="AU44" s="8">
        <v>2007.0</v>
      </c>
      <c r="AV44" s="8">
        <v>16.0</v>
      </c>
      <c r="AW44" s="8">
        <v>13.0</v>
      </c>
      <c r="AX44" s="8" t="s">
        <v>969</v>
      </c>
      <c r="AY44" s="8" t="s">
        <v>969</v>
      </c>
      <c r="AZ44" s="8" t="s">
        <v>969</v>
      </c>
      <c r="BA44" s="8" t="s">
        <v>969</v>
      </c>
      <c r="BB44" s="8">
        <v>3803.0</v>
      </c>
      <c r="BC44" s="8">
        <v>3816.0</v>
      </c>
      <c r="BD44" s="8" t="s">
        <v>969</v>
      </c>
      <c r="BE44" s="8" t="s">
        <v>527</v>
      </c>
      <c r="BF44" s="13" t="str">
        <f>HYPERLINK("http://dx.doi.org/10.1007/s10531-007-9181-7","http://dx.doi.org/10.1007/s10531-007-9181-7")</f>
        <v>http://dx.doi.org/10.1007/s10531-007-9181-7</v>
      </c>
      <c r="BG44" s="8" t="s">
        <v>969</v>
      </c>
      <c r="BH44" s="8" t="s">
        <v>969</v>
      </c>
      <c r="BI44" s="8">
        <v>14.0</v>
      </c>
      <c r="BJ44" s="8" t="s">
        <v>987</v>
      </c>
      <c r="BK44" s="8" t="s">
        <v>988</v>
      </c>
      <c r="BL44" s="8" t="s">
        <v>989</v>
      </c>
      <c r="BM44" s="8" t="s">
        <v>1715</v>
      </c>
      <c r="BN44" s="8" t="s">
        <v>969</v>
      </c>
      <c r="BO44" s="8" t="s">
        <v>969</v>
      </c>
      <c r="BP44" s="8" t="s">
        <v>969</v>
      </c>
      <c r="BQ44" s="8" t="s">
        <v>969</v>
      </c>
      <c r="BR44" s="8" t="s">
        <v>991</v>
      </c>
      <c r="BS44" s="8" t="s">
        <v>1716</v>
      </c>
      <c r="BT44" s="8" t="s">
        <v>1021</v>
      </c>
      <c r="BW44" s="8" t="s">
        <v>56</v>
      </c>
      <c r="BX44" s="8" t="s">
        <v>995</v>
      </c>
      <c r="BY44" s="8" t="s">
        <v>996</v>
      </c>
      <c r="BZ44" s="8" t="s">
        <v>997</v>
      </c>
      <c r="CA44" s="8" t="str">
        <f>HYPERLINK("https%3A%2F%2Fwww.webofscience.com%2Fwos%2Fwoscc%2Ffull-record%2FWOS:000250301400007","View Full Record in Web of Science")</f>
        <v>View Full Record in Web of Science</v>
      </c>
    </row>
    <row r="45" ht="12.75" customHeight="1">
      <c r="A45" s="8" t="s">
        <v>967</v>
      </c>
      <c r="B45" s="8" t="s">
        <v>1717</v>
      </c>
      <c r="C45" s="8" t="s">
        <v>969</v>
      </c>
      <c r="D45" s="8" t="s">
        <v>969</v>
      </c>
      <c r="E45" s="8" t="s">
        <v>969</v>
      </c>
      <c r="F45" s="8" t="s">
        <v>1718</v>
      </c>
      <c r="G45" s="8" t="s">
        <v>969</v>
      </c>
      <c r="H45" s="8" t="s">
        <v>969</v>
      </c>
      <c r="I45" s="8" t="s">
        <v>1719</v>
      </c>
      <c r="J45" s="8" t="s">
        <v>1645</v>
      </c>
      <c r="K45" s="8" t="s">
        <v>969</v>
      </c>
      <c r="L45" s="8" t="s">
        <v>969</v>
      </c>
      <c r="M45" s="8" t="s">
        <v>972</v>
      </c>
      <c r="N45" s="8" t="s">
        <v>973</v>
      </c>
      <c r="O45" s="8" t="s">
        <v>969</v>
      </c>
      <c r="P45" s="8" t="s">
        <v>969</v>
      </c>
      <c r="Q45" s="8" t="s">
        <v>969</v>
      </c>
      <c r="R45" s="8" t="s">
        <v>969</v>
      </c>
      <c r="S45" s="8" t="s">
        <v>969</v>
      </c>
      <c r="T45" s="8" t="s">
        <v>1720</v>
      </c>
      <c r="U45" s="8" t="s">
        <v>1721</v>
      </c>
      <c r="V45" s="8" t="s">
        <v>1722</v>
      </c>
      <c r="W45" s="8" t="s">
        <v>1723</v>
      </c>
      <c r="X45" s="8" t="s">
        <v>1724</v>
      </c>
      <c r="Y45" s="8" t="s">
        <v>1067</v>
      </c>
      <c r="Z45" s="8" t="s">
        <v>1174</v>
      </c>
      <c r="AA45" s="8" t="s">
        <v>1725</v>
      </c>
      <c r="AB45" s="8" t="s">
        <v>1726</v>
      </c>
      <c r="AC45" s="8" t="s">
        <v>969</v>
      </c>
      <c r="AD45" s="8" t="s">
        <v>969</v>
      </c>
      <c r="AE45" s="8" t="s">
        <v>969</v>
      </c>
      <c r="AF45" s="8" t="s">
        <v>969</v>
      </c>
      <c r="AG45" s="8">
        <v>41.0</v>
      </c>
      <c r="AH45" s="8">
        <v>8.0</v>
      </c>
      <c r="AI45" s="8">
        <v>11.0</v>
      </c>
      <c r="AJ45" s="8">
        <v>1.0</v>
      </c>
      <c r="AK45" s="8">
        <v>26.0</v>
      </c>
      <c r="AL45" s="8" t="s">
        <v>1609</v>
      </c>
      <c r="AM45" s="8" t="s">
        <v>1032</v>
      </c>
      <c r="AN45" s="8" t="s">
        <v>1210</v>
      </c>
      <c r="AO45" s="8" t="s">
        <v>1653</v>
      </c>
      <c r="AP45" s="8" t="s">
        <v>1654</v>
      </c>
      <c r="AQ45" s="8" t="s">
        <v>969</v>
      </c>
      <c r="AR45" s="8" t="s">
        <v>1655</v>
      </c>
      <c r="AS45" s="8" t="s">
        <v>1656</v>
      </c>
      <c r="AT45" s="8" t="s">
        <v>986</v>
      </c>
      <c r="AU45" s="8">
        <v>2007.0</v>
      </c>
      <c r="AV45" s="8">
        <v>16.0</v>
      </c>
      <c r="AW45" s="8">
        <v>14.0</v>
      </c>
      <c r="AX45" s="8" t="s">
        <v>969</v>
      </c>
      <c r="AY45" s="8" t="s">
        <v>969</v>
      </c>
      <c r="AZ45" s="8" t="s">
        <v>969</v>
      </c>
      <c r="BA45" s="8" t="s">
        <v>969</v>
      </c>
      <c r="BB45" s="8">
        <v>3939.0</v>
      </c>
      <c r="BC45" s="8">
        <v>3950.0</v>
      </c>
      <c r="BD45" s="8" t="s">
        <v>969</v>
      </c>
      <c r="BE45" s="8" t="s">
        <v>524</v>
      </c>
      <c r="BF45" s="13" t="str">
        <f>HYPERLINK("http://dx.doi.org/10.1007/s10531-007-9152-z","http://dx.doi.org/10.1007/s10531-007-9152-z")</f>
        <v>http://dx.doi.org/10.1007/s10531-007-9152-z</v>
      </c>
      <c r="BG45" s="8" t="s">
        <v>969</v>
      </c>
      <c r="BH45" s="8" t="s">
        <v>969</v>
      </c>
      <c r="BI45" s="8">
        <v>12.0</v>
      </c>
      <c r="BJ45" s="8" t="s">
        <v>987</v>
      </c>
      <c r="BK45" s="8" t="s">
        <v>988</v>
      </c>
      <c r="BL45" s="8" t="s">
        <v>989</v>
      </c>
      <c r="BM45" s="8" t="s">
        <v>1727</v>
      </c>
      <c r="BN45" s="8" t="s">
        <v>969</v>
      </c>
      <c r="BO45" s="8" t="s">
        <v>969</v>
      </c>
      <c r="BP45" s="8" t="s">
        <v>969</v>
      </c>
      <c r="BQ45" s="8" t="s">
        <v>969</v>
      </c>
      <c r="BR45" s="8" t="s">
        <v>991</v>
      </c>
      <c r="BS45" s="8" t="s">
        <v>1728</v>
      </c>
      <c r="BT45" s="8" t="s">
        <v>1099</v>
      </c>
      <c r="BW45" s="8" t="s">
        <v>56</v>
      </c>
      <c r="BX45" s="8" t="s">
        <v>995</v>
      </c>
      <c r="BY45" s="8" t="s">
        <v>996</v>
      </c>
      <c r="BZ45" s="8" t="s">
        <v>997</v>
      </c>
      <c r="CA45" s="8" t="str">
        <f>HYPERLINK("https%3A%2F%2Fwww.webofscience.com%2Fwos%2Fwoscc%2Ffull-record%2FWOS:000250833000001","View Full Record in Web of Science")</f>
        <v>View Full Record in Web of Science</v>
      </c>
    </row>
    <row r="46" ht="12.75" customHeight="1">
      <c r="A46" s="8" t="s">
        <v>967</v>
      </c>
      <c r="B46" s="8" t="s">
        <v>1729</v>
      </c>
      <c r="C46" s="8" t="s">
        <v>969</v>
      </c>
      <c r="D46" s="8" t="s">
        <v>969</v>
      </c>
      <c r="E46" s="8" t="s">
        <v>969</v>
      </c>
      <c r="F46" s="8" t="s">
        <v>1730</v>
      </c>
      <c r="G46" s="8" t="s">
        <v>969</v>
      </c>
      <c r="H46" s="8" t="s">
        <v>969</v>
      </c>
      <c r="I46" s="8" t="s">
        <v>1731</v>
      </c>
      <c r="J46" s="8" t="s">
        <v>1538</v>
      </c>
      <c r="K46" s="8" t="s">
        <v>969</v>
      </c>
      <c r="L46" s="8" t="s">
        <v>969</v>
      </c>
      <c r="M46" s="8" t="s">
        <v>972</v>
      </c>
      <c r="N46" s="8" t="s">
        <v>973</v>
      </c>
      <c r="O46" s="8" t="s">
        <v>969</v>
      </c>
      <c r="P46" s="8" t="s">
        <v>969</v>
      </c>
      <c r="Q46" s="8" t="s">
        <v>969</v>
      </c>
      <c r="R46" s="8" t="s">
        <v>969</v>
      </c>
      <c r="S46" s="8" t="s">
        <v>969</v>
      </c>
      <c r="T46" s="8" t="s">
        <v>1732</v>
      </c>
      <c r="U46" s="8" t="s">
        <v>1733</v>
      </c>
      <c r="V46" s="8" t="s">
        <v>1734</v>
      </c>
      <c r="W46" s="8" t="s">
        <v>1735</v>
      </c>
      <c r="X46" s="8" t="s">
        <v>1736</v>
      </c>
      <c r="Y46" s="8" t="s">
        <v>1737</v>
      </c>
      <c r="Z46" s="8" t="s">
        <v>1738</v>
      </c>
      <c r="AA46" s="8" t="s">
        <v>1739</v>
      </c>
      <c r="AB46" s="8" t="s">
        <v>969</v>
      </c>
      <c r="AC46" s="8" t="s">
        <v>969</v>
      </c>
      <c r="AD46" s="8" t="s">
        <v>969</v>
      </c>
      <c r="AE46" s="8" t="s">
        <v>969</v>
      </c>
      <c r="AF46" s="8" t="s">
        <v>969</v>
      </c>
      <c r="AG46" s="8">
        <v>51.0</v>
      </c>
      <c r="AH46" s="8">
        <v>116.0</v>
      </c>
      <c r="AI46" s="8">
        <v>143.0</v>
      </c>
      <c r="AJ46" s="8">
        <v>1.0</v>
      </c>
      <c r="AK46" s="8">
        <v>48.0</v>
      </c>
      <c r="AL46" s="8" t="s">
        <v>1091</v>
      </c>
      <c r="AM46" s="8" t="s">
        <v>1092</v>
      </c>
      <c r="AN46" s="8" t="s">
        <v>1093</v>
      </c>
      <c r="AO46" s="8" t="s">
        <v>1548</v>
      </c>
      <c r="AP46" s="8" t="s">
        <v>1549</v>
      </c>
      <c r="AQ46" s="8" t="s">
        <v>969</v>
      </c>
      <c r="AR46" s="8" t="s">
        <v>1550</v>
      </c>
      <c r="AS46" s="8" t="s">
        <v>1551</v>
      </c>
      <c r="AT46" s="8" t="s">
        <v>986</v>
      </c>
      <c r="AU46" s="8">
        <v>2007.0</v>
      </c>
      <c r="AV46" s="8">
        <v>21.0</v>
      </c>
      <c r="AW46" s="8">
        <v>6.0</v>
      </c>
      <c r="AX46" s="8" t="s">
        <v>969</v>
      </c>
      <c r="AY46" s="8" t="s">
        <v>969</v>
      </c>
      <c r="AZ46" s="8" t="s">
        <v>969</v>
      </c>
      <c r="BA46" s="8" t="s">
        <v>969</v>
      </c>
      <c r="BB46" s="8">
        <v>1545.0</v>
      </c>
      <c r="BC46" s="8">
        <v>1555.0</v>
      </c>
      <c r="BD46" s="8" t="s">
        <v>969</v>
      </c>
      <c r="BE46" s="8" t="s">
        <v>776</v>
      </c>
      <c r="BF46" s="13" t="str">
        <f>HYPERLINK("http://dx.doi.org/10.1111/j.1523-1739.2007.00814.x","http://dx.doi.org/10.1111/j.1523-1739.2007.00814.x")</f>
        <v>http://dx.doi.org/10.1111/j.1523-1739.2007.00814.x</v>
      </c>
      <c r="BG46" s="8" t="s">
        <v>969</v>
      </c>
      <c r="BH46" s="8" t="s">
        <v>969</v>
      </c>
      <c r="BI46" s="8">
        <v>11.0</v>
      </c>
      <c r="BJ46" s="8" t="s">
        <v>987</v>
      </c>
      <c r="BK46" s="8" t="s">
        <v>988</v>
      </c>
      <c r="BL46" s="8" t="s">
        <v>989</v>
      </c>
      <c r="BM46" s="8" t="s">
        <v>1740</v>
      </c>
      <c r="BN46" s="8">
        <v>1.8173478E7</v>
      </c>
      <c r="BO46" s="8" t="s">
        <v>969</v>
      </c>
      <c r="BP46" s="8" t="s">
        <v>969</v>
      </c>
      <c r="BQ46" s="8" t="s">
        <v>969</v>
      </c>
      <c r="BR46" s="8" t="s">
        <v>991</v>
      </c>
      <c r="BS46" s="8" t="s">
        <v>1741</v>
      </c>
      <c r="BT46" s="8" t="s">
        <v>993</v>
      </c>
      <c r="BU46" s="8" t="s">
        <v>994</v>
      </c>
      <c r="BW46" s="8" t="s">
        <v>51</v>
      </c>
      <c r="BX46" s="8" t="s">
        <v>1022</v>
      </c>
      <c r="CA46" s="8" t="str">
        <f>HYPERLINK("https%3A%2F%2Fwww.webofscience.com%2Fwos%2Fwoscc%2Ffull-record%2FWOS:000251764200024","View Full Record in Web of Science")</f>
        <v>View Full Record in Web of Science</v>
      </c>
    </row>
    <row r="47" ht="12.75" customHeight="1">
      <c r="A47" s="8" t="s">
        <v>967</v>
      </c>
      <c r="B47" s="8" t="s">
        <v>1742</v>
      </c>
      <c r="C47" s="8" t="s">
        <v>969</v>
      </c>
      <c r="D47" s="8" t="s">
        <v>969</v>
      </c>
      <c r="E47" s="8" t="s">
        <v>969</v>
      </c>
      <c r="F47" s="8" t="s">
        <v>1743</v>
      </c>
      <c r="G47" s="8" t="s">
        <v>969</v>
      </c>
      <c r="H47" s="8" t="s">
        <v>969</v>
      </c>
      <c r="I47" s="8" t="s">
        <v>1744</v>
      </c>
      <c r="J47" s="8" t="s">
        <v>1745</v>
      </c>
      <c r="K47" s="8" t="s">
        <v>969</v>
      </c>
      <c r="L47" s="8" t="s">
        <v>969</v>
      </c>
      <c r="M47" s="8" t="s">
        <v>972</v>
      </c>
      <c r="N47" s="8" t="s">
        <v>973</v>
      </c>
      <c r="O47" s="8" t="s">
        <v>969</v>
      </c>
      <c r="P47" s="8" t="s">
        <v>969</v>
      </c>
      <c r="Q47" s="8" t="s">
        <v>969</v>
      </c>
      <c r="R47" s="8" t="s">
        <v>969</v>
      </c>
      <c r="S47" s="8" t="s">
        <v>969</v>
      </c>
      <c r="T47" s="8" t="s">
        <v>1746</v>
      </c>
      <c r="U47" s="8" t="s">
        <v>1747</v>
      </c>
      <c r="V47" s="8" t="s">
        <v>1748</v>
      </c>
      <c r="W47" s="8" t="s">
        <v>1749</v>
      </c>
      <c r="X47" s="8" t="s">
        <v>1750</v>
      </c>
      <c r="Y47" s="8" t="s">
        <v>1751</v>
      </c>
      <c r="Z47" s="8" t="s">
        <v>1752</v>
      </c>
      <c r="AA47" s="8" t="s">
        <v>1753</v>
      </c>
      <c r="AB47" s="8" t="s">
        <v>1754</v>
      </c>
      <c r="AC47" s="8" t="s">
        <v>969</v>
      </c>
      <c r="AD47" s="8" t="s">
        <v>969</v>
      </c>
      <c r="AE47" s="8" t="s">
        <v>969</v>
      </c>
      <c r="AF47" s="8" t="s">
        <v>969</v>
      </c>
      <c r="AG47" s="8">
        <v>94.0</v>
      </c>
      <c r="AH47" s="8">
        <v>229.0</v>
      </c>
      <c r="AI47" s="8">
        <v>266.0</v>
      </c>
      <c r="AJ47" s="8">
        <v>1.0</v>
      </c>
      <c r="AK47" s="8">
        <v>120.0</v>
      </c>
      <c r="AL47" s="8" t="s">
        <v>1755</v>
      </c>
      <c r="AM47" s="8" t="s">
        <v>1756</v>
      </c>
      <c r="AN47" s="8" t="s">
        <v>1757</v>
      </c>
      <c r="AO47" s="8" t="s">
        <v>1758</v>
      </c>
      <c r="AP47" s="8" t="s">
        <v>1759</v>
      </c>
      <c r="AQ47" s="8" t="s">
        <v>969</v>
      </c>
      <c r="AR47" s="8" t="s">
        <v>1760</v>
      </c>
      <c r="AS47" s="8" t="s">
        <v>1761</v>
      </c>
      <c r="AT47" s="8" t="s">
        <v>1016</v>
      </c>
      <c r="AU47" s="8">
        <v>2008.0</v>
      </c>
      <c r="AV47" s="8">
        <v>171.0</v>
      </c>
      <c r="AW47" s="8">
        <v>1.0</v>
      </c>
      <c r="AX47" s="8" t="s">
        <v>969</v>
      </c>
      <c r="AY47" s="8" t="s">
        <v>969</v>
      </c>
      <c r="AZ47" s="8" t="s">
        <v>969</v>
      </c>
      <c r="BA47" s="8" t="s">
        <v>969</v>
      </c>
      <c r="BB47" s="8" t="s">
        <v>1762</v>
      </c>
      <c r="BC47" s="8" t="s">
        <v>1763</v>
      </c>
      <c r="BD47" s="8" t="s">
        <v>969</v>
      </c>
      <c r="BE47" s="8" t="s">
        <v>647</v>
      </c>
      <c r="BF47" s="13" t="str">
        <f>HYPERLINK("http://dx.doi.org/10.1086/523949","http://dx.doi.org/10.1086/523949")</f>
        <v>http://dx.doi.org/10.1086/523949</v>
      </c>
      <c r="BG47" s="8" t="s">
        <v>969</v>
      </c>
      <c r="BH47" s="8" t="s">
        <v>969</v>
      </c>
      <c r="BI47" s="8">
        <v>19.0</v>
      </c>
      <c r="BJ47" s="8" t="s">
        <v>1764</v>
      </c>
      <c r="BK47" s="8" t="s">
        <v>988</v>
      </c>
      <c r="BL47" s="8" t="s">
        <v>1765</v>
      </c>
      <c r="BM47" s="8" t="s">
        <v>1766</v>
      </c>
      <c r="BN47" s="8">
        <v>1.817114E7</v>
      </c>
      <c r="BO47" s="8" t="s">
        <v>969</v>
      </c>
      <c r="BP47" s="8" t="s">
        <v>969</v>
      </c>
      <c r="BQ47" s="8" t="s">
        <v>969</v>
      </c>
      <c r="BR47" s="8" t="s">
        <v>991</v>
      </c>
      <c r="BS47" s="8" t="s">
        <v>1767</v>
      </c>
      <c r="BT47" s="8" t="s">
        <v>993</v>
      </c>
      <c r="BU47" s="8" t="s">
        <v>994</v>
      </c>
      <c r="BW47" s="8" t="s">
        <v>40</v>
      </c>
      <c r="BX47" s="8" t="s">
        <v>995</v>
      </c>
      <c r="BY47" s="8" t="s">
        <v>996</v>
      </c>
      <c r="CA47" s="8" t="str">
        <f>HYPERLINK("https%3A%2F%2Fwww.webofscience.com%2Fwos%2Fwoscc%2Ffull-record%2FWOS:000252191700017","View Full Record in Web of Science")</f>
        <v>View Full Record in Web of Science</v>
      </c>
    </row>
    <row r="48" ht="12.75" customHeight="1">
      <c r="A48" s="8" t="s">
        <v>967</v>
      </c>
      <c r="B48" s="8" t="s">
        <v>1768</v>
      </c>
      <c r="C48" s="8" t="s">
        <v>969</v>
      </c>
      <c r="D48" s="8" t="s">
        <v>969</v>
      </c>
      <c r="E48" s="8" t="s">
        <v>969</v>
      </c>
      <c r="F48" s="8" t="s">
        <v>1769</v>
      </c>
      <c r="G48" s="8" t="s">
        <v>969</v>
      </c>
      <c r="H48" s="8" t="s">
        <v>969</v>
      </c>
      <c r="I48" s="8" t="s">
        <v>1770</v>
      </c>
      <c r="J48" s="8" t="s">
        <v>1538</v>
      </c>
      <c r="K48" s="8" t="s">
        <v>969</v>
      </c>
      <c r="L48" s="8" t="s">
        <v>969</v>
      </c>
      <c r="M48" s="8" t="s">
        <v>972</v>
      </c>
      <c r="N48" s="8" t="s">
        <v>973</v>
      </c>
      <c r="O48" s="8" t="s">
        <v>969</v>
      </c>
      <c r="P48" s="8" t="s">
        <v>969</v>
      </c>
      <c r="Q48" s="8" t="s">
        <v>969</v>
      </c>
      <c r="R48" s="8" t="s">
        <v>969</v>
      </c>
      <c r="S48" s="8" t="s">
        <v>969</v>
      </c>
      <c r="T48" s="8" t="s">
        <v>1771</v>
      </c>
      <c r="U48" s="8" t="s">
        <v>1772</v>
      </c>
      <c r="V48" s="8" t="s">
        <v>1773</v>
      </c>
      <c r="W48" s="8" t="s">
        <v>1774</v>
      </c>
      <c r="X48" s="8" t="s">
        <v>1775</v>
      </c>
      <c r="Y48" s="8" t="s">
        <v>1776</v>
      </c>
      <c r="Z48" s="8" t="s">
        <v>1777</v>
      </c>
      <c r="AA48" s="8" t="s">
        <v>1778</v>
      </c>
      <c r="AB48" s="8" t="s">
        <v>1779</v>
      </c>
      <c r="AC48" s="8" t="s">
        <v>969</v>
      </c>
      <c r="AD48" s="8" t="s">
        <v>969</v>
      </c>
      <c r="AE48" s="8" t="s">
        <v>969</v>
      </c>
      <c r="AF48" s="8" t="s">
        <v>969</v>
      </c>
      <c r="AG48" s="8">
        <v>54.0</v>
      </c>
      <c r="AH48" s="8">
        <v>478.0</v>
      </c>
      <c r="AI48" s="8">
        <v>596.0</v>
      </c>
      <c r="AJ48" s="8">
        <v>2.0</v>
      </c>
      <c r="AK48" s="8">
        <v>433.0</v>
      </c>
      <c r="AL48" s="8" t="s">
        <v>1010</v>
      </c>
      <c r="AM48" s="8" t="s">
        <v>1092</v>
      </c>
      <c r="AN48" s="8" t="s">
        <v>1093</v>
      </c>
      <c r="AO48" s="8" t="s">
        <v>1548</v>
      </c>
      <c r="AP48" s="8" t="s">
        <v>1549</v>
      </c>
      <c r="AQ48" s="8" t="s">
        <v>969</v>
      </c>
      <c r="AR48" s="8" t="s">
        <v>1550</v>
      </c>
      <c r="AS48" s="8" t="s">
        <v>1551</v>
      </c>
      <c r="AT48" s="8" t="s">
        <v>1036</v>
      </c>
      <c r="AU48" s="8">
        <v>2008.0</v>
      </c>
      <c r="AV48" s="8">
        <v>22.0</v>
      </c>
      <c r="AW48" s="8">
        <v>1.0</v>
      </c>
      <c r="AX48" s="8" t="s">
        <v>969</v>
      </c>
      <c r="AY48" s="8" t="s">
        <v>969</v>
      </c>
      <c r="AZ48" s="8" t="s">
        <v>969</v>
      </c>
      <c r="BA48" s="8" t="s">
        <v>969</v>
      </c>
      <c r="BB48" s="8">
        <v>140.0</v>
      </c>
      <c r="BC48" s="8">
        <v>150.0</v>
      </c>
      <c r="BD48" s="8" t="s">
        <v>969</v>
      </c>
      <c r="BE48" s="8" t="s">
        <v>779</v>
      </c>
      <c r="BF48" s="13" t="str">
        <f>HYPERLINK("http://dx.doi.org/10.1111/j.1523-1739.2007.00852.x","http://dx.doi.org/10.1111/j.1523-1739.2007.00852.x")</f>
        <v>http://dx.doi.org/10.1111/j.1523-1739.2007.00852.x</v>
      </c>
      <c r="BG48" s="8" t="s">
        <v>969</v>
      </c>
      <c r="BH48" s="8" t="s">
        <v>969</v>
      </c>
      <c r="BI48" s="8">
        <v>11.0</v>
      </c>
      <c r="BJ48" s="8" t="s">
        <v>987</v>
      </c>
      <c r="BK48" s="8" t="s">
        <v>988</v>
      </c>
      <c r="BL48" s="8" t="s">
        <v>989</v>
      </c>
      <c r="BM48" s="8" t="s">
        <v>1780</v>
      </c>
      <c r="BN48" s="8">
        <v>1.8254859E7</v>
      </c>
      <c r="BO48" s="8" t="s">
        <v>1247</v>
      </c>
      <c r="BP48" s="8" t="s">
        <v>969</v>
      </c>
      <c r="BQ48" s="8" t="s">
        <v>969</v>
      </c>
      <c r="BR48" s="8" t="s">
        <v>991</v>
      </c>
      <c r="BS48" s="8" t="s">
        <v>1781</v>
      </c>
      <c r="BT48" s="8" t="s">
        <v>1249</v>
      </c>
      <c r="BW48" s="8" t="s">
        <v>81</v>
      </c>
      <c r="BX48" s="8" t="s">
        <v>995</v>
      </c>
      <c r="BY48" s="8" t="s">
        <v>996</v>
      </c>
      <c r="BZ48" s="8" t="s">
        <v>1180</v>
      </c>
      <c r="CA48" s="8" t="str">
        <f>HYPERLINK("https%3A%2F%2Fwww.webofscience.com%2Fwos%2Fwoscc%2Ffull-record%2FWOS:000252895700016","View Full Record in Web of Science")</f>
        <v>View Full Record in Web of Science</v>
      </c>
    </row>
    <row r="49" ht="12.75" customHeight="1">
      <c r="A49" s="8" t="s">
        <v>967</v>
      </c>
      <c r="B49" s="8" t="s">
        <v>1782</v>
      </c>
      <c r="C49" s="8" t="s">
        <v>969</v>
      </c>
      <c r="D49" s="8" t="s">
        <v>969</v>
      </c>
      <c r="E49" s="8" t="s">
        <v>969</v>
      </c>
      <c r="F49" s="8" t="s">
        <v>1783</v>
      </c>
      <c r="G49" s="8" t="s">
        <v>969</v>
      </c>
      <c r="H49" s="8" t="s">
        <v>969</v>
      </c>
      <c r="I49" s="8" t="s">
        <v>1784</v>
      </c>
      <c r="J49" s="8" t="s">
        <v>971</v>
      </c>
      <c r="K49" s="8" t="s">
        <v>969</v>
      </c>
      <c r="L49" s="8" t="s">
        <v>969</v>
      </c>
      <c r="M49" s="8" t="s">
        <v>972</v>
      </c>
      <c r="N49" s="8" t="s">
        <v>973</v>
      </c>
      <c r="O49" s="8" t="s">
        <v>969</v>
      </c>
      <c r="P49" s="8" t="s">
        <v>969</v>
      </c>
      <c r="Q49" s="8" t="s">
        <v>969</v>
      </c>
      <c r="R49" s="8" t="s">
        <v>969</v>
      </c>
      <c r="S49" s="8" t="s">
        <v>969</v>
      </c>
      <c r="T49" s="8" t="s">
        <v>1785</v>
      </c>
      <c r="U49" s="8" t="s">
        <v>1786</v>
      </c>
      <c r="V49" s="8" t="s">
        <v>1787</v>
      </c>
      <c r="W49" s="8" t="s">
        <v>1788</v>
      </c>
      <c r="X49" s="8" t="s">
        <v>1789</v>
      </c>
      <c r="Y49" s="8" t="s">
        <v>1790</v>
      </c>
      <c r="Z49" s="8" t="s">
        <v>1791</v>
      </c>
      <c r="AA49" s="8" t="s">
        <v>1792</v>
      </c>
      <c r="AB49" s="8" t="s">
        <v>1793</v>
      </c>
      <c r="AC49" s="8" t="s">
        <v>969</v>
      </c>
      <c r="AD49" s="8" t="s">
        <v>969</v>
      </c>
      <c r="AE49" s="8" t="s">
        <v>969</v>
      </c>
      <c r="AF49" s="8" t="s">
        <v>969</v>
      </c>
      <c r="AG49" s="8">
        <v>49.0</v>
      </c>
      <c r="AH49" s="8">
        <v>136.0</v>
      </c>
      <c r="AI49" s="8">
        <v>155.0</v>
      </c>
      <c r="AJ49" s="8">
        <v>2.0</v>
      </c>
      <c r="AK49" s="8">
        <v>54.0</v>
      </c>
      <c r="AL49" s="8" t="s">
        <v>1091</v>
      </c>
      <c r="AM49" s="8" t="s">
        <v>1092</v>
      </c>
      <c r="AN49" s="8" t="s">
        <v>1093</v>
      </c>
      <c r="AO49" s="8" t="s">
        <v>983</v>
      </c>
      <c r="AP49" s="8" t="s">
        <v>1094</v>
      </c>
      <c r="AQ49" s="8" t="s">
        <v>969</v>
      </c>
      <c r="AR49" s="8" t="s">
        <v>1095</v>
      </c>
      <c r="AS49" s="8" t="s">
        <v>985</v>
      </c>
      <c r="AT49" s="8" t="s">
        <v>1055</v>
      </c>
      <c r="AU49" s="8">
        <v>2008.0</v>
      </c>
      <c r="AV49" s="8">
        <v>14.0</v>
      </c>
      <c r="AW49" s="8">
        <v>3.0</v>
      </c>
      <c r="AX49" s="8" t="s">
        <v>969</v>
      </c>
      <c r="AY49" s="8" t="s">
        <v>969</v>
      </c>
      <c r="AZ49" s="8" t="s">
        <v>969</v>
      </c>
      <c r="BA49" s="8" t="s">
        <v>969</v>
      </c>
      <c r="BB49" s="8">
        <v>483.0</v>
      </c>
      <c r="BC49" s="8">
        <v>494.0</v>
      </c>
      <c r="BD49" s="8" t="s">
        <v>969</v>
      </c>
      <c r="BE49" s="8" t="s">
        <v>701</v>
      </c>
      <c r="BF49" s="13" t="str">
        <f>HYPERLINK("http://dx.doi.org/10.1111/j.1365-2486.2007.01527.x","http://dx.doi.org/10.1111/j.1365-2486.2007.01527.x")</f>
        <v>http://dx.doi.org/10.1111/j.1365-2486.2007.01527.x</v>
      </c>
      <c r="BG49" s="8" t="s">
        <v>969</v>
      </c>
      <c r="BH49" s="8" t="s">
        <v>969</v>
      </c>
      <c r="BI49" s="8">
        <v>12.0</v>
      </c>
      <c r="BJ49" s="8" t="s">
        <v>987</v>
      </c>
      <c r="BK49" s="8" t="s">
        <v>988</v>
      </c>
      <c r="BL49" s="8" t="s">
        <v>989</v>
      </c>
      <c r="BM49" s="8" t="s">
        <v>1794</v>
      </c>
      <c r="BN49" s="8" t="s">
        <v>969</v>
      </c>
      <c r="BO49" s="8" t="s">
        <v>969</v>
      </c>
      <c r="BP49" s="8" t="s">
        <v>969</v>
      </c>
      <c r="BQ49" s="8" t="s">
        <v>969</v>
      </c>
      <c r="BR49" s="8" t="s">
        <v>991</v>
      </c>
      <c r="BS49" s="8" t="s">
        <v>1795</v>
      </c>
      <c r="BT49" s="8" t="s">
        <v>1021</v>
      </c>
      <c r="BW49" s="8" t="s">
        <v>33</v>
      </c>
      <c r="BX49" s="8" t="s">
        <v>995</v>
      </c>
      <c r="CA49" s="8" t="str">
        <f>HYPERLINK("https%3A%2F%2Fwww.webofscience.com%2Fwos%2Fwoscc%2Ffull-record%2FWOS:000252929900004","View Full Record in Web of Science")</f>
        <v>View Full Record in Web of Science</v>
      </c>
    </row>
    <row r="50" ht="12.75" customHeight="1">
      <c r="A50" s="8" t="s">
        <v>967</v>
      </c>
      <c r="B50" s="8" t="s">
        <v>1796</v>
      </c>
      <c r="C50" s="8" t="s">
        <v>969</v>
      </c>
      <c r="D50" s="8" t="s">
        <v>969</v>
      </c>
      <c r="E50" s="8" t="s">
        <v>969</v>
      </c>
      <c r="F50" s="8" t="s">
        <v>1797</v>
      </c>
      <c r="G50" s="8" t="s">
        <v>969</v>
      </c>
      <c r="H50" s="8" t="s">
        <v>969</v>
      </c>
      <c r="I50" s="8" t="s">
        <v>1798</v>
      </c>
      <c r="J50" s="8" t="s">
        <v>1799</v>
      </c>
      <c r="K50" s="8" t="s">
        <v>969</v>
      </c>
      <c r="L50" s="8" t="s">
        <v>969</v>
      </c>
      <c r="M50" s="8" t="s">
        <v>972</v>
      </c>
      <c r="N50" s="8" t="s">
        <v>1145</v>
      </c>
      <c r="O50" s="8" t="s">
        <v>1800</v>
      </c>
      <c r="P50" s="8" t="s">
        <v>1801</v>
      </c>
      <c r="Q50" s="8" t="s">
        <v>1802</v>
      </c>
      <c r="R50" s="8" t="s">
        <v>1803</v>
      </c>
      <c r="S50" s="8" t="s">
        <v>969</v>
      </c>
      <c r="T50" s="8" t="s">
        <v>1804</v>
      </c>
      <c r="U50" s="8" t="s">
        <v>1805</v>
      </c>
      <c r="V50" s="8" t="s">
        <v>1806</v>
      </c>
      <c r="W50" s="8" t="s">
        <v>1807</v>
      </c>
      <c r="X50" s="8" t="s">
        <v>1808</v>
      </c>
      <c r="Y50" s="8" t="s">
        <v>1809</v>
      </c>
      <c r="Z50" s="8" t="s">
        <v>1810</v>
      </c>
      <c r="AA50" s="8" t="s">
        <v>1811</v>
      </c>
      <c r="AB50" s="8" t="s">
        <v>1812</v>
      </c>
      <c r="AC50" s="8" t="s">
        <v>969</v>
      </c>
      <c r="AD50" s="8" t="s">
        <v>969</v>
      </c>
      <c r="AE50" s="8" t="s">
        <v>969</v>
      </c>
      <c r="AF50" s="8" t="s">
        <v>969</v>
      </c>
      <c r="AG50" s="8">
        <v>68.0</v>
      </c>
      <c r="AH50" s="8">
        <v>532.0</v>
      </c>
      <c r="AI50" s="8">
        <v>709.0</v>
      </c>
      <c r="AJ50" s="8">
        <v>1.0</v>
      </c>
      <c r="AK50" s="8">
        <v>226.0</v>
      </c>
      <c r="AL50" s="8" t="s">
        <v>1813</v>
      </c>
      <c r="AM50" s="8" t="s">
        <v>1261</v>
      </c>
      <c r="AN50" s="8" t="s">
        <v>1814</v>
      </c>
      <c r="AO50" s="8" t="s">
        <v>1815</v>
      </c>
      <c r="AP50" s="8" t="s">
        <v>1816</v>
      </c>
      <c r="AQ50" s="8" t="s">
        <v>969</v>
      </c>
      <c r="AR50" s="8" t="s">
        <v>1817</v>
      </c>
      <c r="AS50" s="8" t="s">
        <v>1818</v>
      </c>
      <c r="AT50" s="8" t="s">
        <v>1819</v>
      </c>
      <c r="AU50" s="8">
        <v>2008.0</v>
      </c>
      <c r="AV50" s="8">
        <v>254.0</v>
      </c>
      <c r="AW50" s="8">
        <v>3.0</v>
      </c>
      <c r="AX50" s="8" t="s">
        <v>969</v>
      </c>
      <c r="AY50" s="8" t="s">
        <v>969</v>
      </c>
      <c r="AZ50" s="8" t="s">
        <v>969</v>
      </c>
      <c r="BA50" s="8" t="s">
        <v>969</v>
      </c>
      <c r="BB50" s="8">
        <v>390.0</v>
      </c>
      <c r="BC50" s="8">
        <v>406.0</v>
      </c>
      <c r="BD50" s="8" t="s">
        <v>969</v>
      </c>
      <c r="BE50" s="8" t="s">
        <v>569</v>
      </c>
      <c r="BF50" s="13" t="str">
        <f>HYPERLINK("http://dx.doi.org/10.1016/j.foreco.2007.07.023","http://dx.doi.org/10.1016/j.foreco.2007.07.023")</f>
        <v>http://dx.doi.org/10.1016/j.foreco.2007.07.023</v>
      </c>
      <c r="BG50" s="8" t="s">
        <v>969</v>
      </c>
      <c r="BH50" s="8" t="s">
        <v>969</v>
      </c>
      <c r="BI50" s="8">
        <v>17.0</v>
      </c>
      <c r="BJ50" s="8" t="s">
        <v>1820</v>
      </c>
      <c r="BK50" s="8" t="s">
        <v>1164</v>
      </c>
      <c r="BL50" s="8" t="s">
        <v>1820</v>
      </c>
      <c r="BM50" s="8" t="s">
        <v>1821</v>
      </c>
      <c r="BN50" s="8" t="s">
        <v>969</v>
      </c>
      <c r="BO50" s="8" t="s">
        <v>969</v>
      </c>
      <c r="BP50" s="8" t="s">
        <v>969</v>
      </c>
      <c r="BQ50" s="8" t="s">
        <v>969</v>
      </c>
      <c r="BR50" s="8" t="s">
        <v>991</v>
      </c>
      <c r="BS50" s="8" t="s">
        <v>1822</v>
      </c>
      <c r="BT50" s="8" t="s">
        <v>993</v>
      </c>
      <c r="BU50" s="8" t="s">
        <v>994</v>
      </c>
      <c r="BW50" s="8" t="s">
        <v>51</v>
      </c>
      <c r="BX50" s="8" t="s">
        <v>1022</v>
      </c>
      <c r="CA50" s="8" t="str">
        <f>HYPERLINK("https%3A%2F%2Fwww.webofscience.com%2Fwos%2Fwoscc%2Ffull-record%2FWOS:000253444600003","View Full Record in Web of Science")</f>
        <v>View Full Record in Web of Science</v>
      </c>
    </row>
    <row r="51" ht="12.75" customHeight="1">
      <c r="A51" s="8" t="s">
        <v>967</v>
      </c>
      <c r="B51" s="8" t="s">
        <v>1823</v>
      </c>
      <c r="C51" s="8" t="s">
        <v>969</v>
      </c>
      <c r="D51" s="8" t="s">
        <v>969</v>
      </c>
      <c r="E51" s="8" t="s">
        <v>969</v>
      </c>
      <c r="F51" s="8" t="s">
        <v>1824</v>
      </c>
      <c r="G51" s="8" t="s">
        <v>969</v>
      </c>
      <c r="H51" s="8" t="s">
        <v>969</v>
      </c>
      <c r="I51" s="8" t="s">
        <v>1825</v>
      </c>
      <c r="J51" s="8" t="s">
        <v>1826</v>
      </c>
      <c r="K51" s="8" t="s">
        <v>969</v>
      </c>
      <c r="L51" s="8" t="s">
        <v>969</v>
      </c>
      <c r="M51" s="8" t="s">
        <v>972</v>
      </c>
      <c r="N51" s="8" t="s">
        <v>973</v>
      </c>
      <c r="O51" s="8" t="s">
        <v>969</v>
      </c>
      <c r="P51" s="8" t="s">
        <v>969</v>
      </c>
      <c r="Q51" s="8" t="s">
        <v>969</v>
      </c>
      <c r="R51" s="8" t="s">
        <v>969</v>
      </c>
      <c r="S51" s="8" t="s">
        <v>969</v>
      </c>
      <c r="T51" s="8" t="s">
        <v>1827</v>
      </c>
      <c r="U51" s="8" t="s">
        <v>1828</v>
      </c>
      <c r="V51" s="8" t="s">
        <v>1829</v>
      </c>
      <c r="W51" s="8" t="s">
        <v>1830</v>
      </c>
      <c r="X51" s="8" t="s">
        <v>1831</v>
      </c>
      <c r="Y51" s="8" t="s">
        <v>1832</v>
      </c>
      <c r="Z51" s="8" t="s">
        <v>1833</v>
      </c>
      <c r="AA51" s="8" t="s">
        <v>1834</v>
      </c>
      <c r="AB51" s="8" t="s">
        <v>1835</v>
      </c>
      <c r="AC51" s="8" t="s">
        <v>969</v>
      </c>
      <c r="AD51" s="8" t="s">
        <v>969</v>
      </c>
      <c r="AE51" s="8" t="s">
        <v>969</v>
      </c>
      <c r="AF51" s="8" t="s">
        <v>969</v>
      </c>
      <c r="AG51" s="8">
        <v>43.0</v>
      </c>
      <c r="AH51" s="8">
        <v>238.0</v>
      </c>
      <c r="AI51" s="8">
        <v>270.0</v>
      </c>
      <c r="AJ51" s="8">
        <v>0.0</v>
      </c>
      <c r="AK51" s="8">
        <v>69.0</v>
      </c>
      <c r="AL51" s="8" t="s">
        <v>1091</v>
      </c>
      <c r="AM51" s="8" t="s">
        <v>1092</v>
      </c>
      <c r="AN51" s="8" t="s">
        <v>1093</v>
      </c>
      <c r="AO51" s="8" t="s">
        <v>1836</v>
      </c>
      <c r="AP51" s="8" t="s">
        <v>1837</v>
      </c>
      <c r="AQ51" s="8" t="s">
        <v>969</v>
      </c>
      <c r="AR51" s="8" t="s">
        <v>1838</v>
      </c>
      <c r="AS51" s="8" t="s">
        <v>1839</v>
      </c>
      <c r="AT51" s="8" t="s">
        <v>1552</v>
      </c>
      <c r="AU51" s="8">
        <v>2008.0</v>
      </c>
      <c r="AV51" s="8">
        <v>11.0</v>
      </c>
      <c r="AW51" s="8">
        <v>2.0</v>
      </c>
      <c r="AX51" s="8" t="s">
        <v>969</v>
      </c>
      <c r="AY51" s="8" t="s">
        <v>969</v>
      </c>
      <c r="AZ51" s="8" t="s">
        <v>969</v>
      </c>
      <c r="BA51" s="8" t="s">
        <v>969</v>
      </c>
      <c r="BB51" s="8">
        <v>169.0</v>
      </c>
      <c r="BC51" s="8">
        <v>178.0</v>
      </c>
      <c r="BD51" s="8" t="s">
        <v>969</v>
      </c>
      <c r="BE51" s="8" t="s">
        <v>851</v>
      </c>
      <c r="BF51" s="13" t="str">
        <f>HYPERLINK("http://dx.doi.org/10.3170/2008-7-18348","http://dx.doi.org/10.3170/2008-7-18348")</f>
        <v>http://dx.doi.org/10.3170/2008-7-18348</v>
      </c>
      <c r="BG51" s="8" t="s">
        <v>969</v>
      </c>
      <c r="BH51" s="8" t="s">
        <v>969</v>
      </c>
      <c r="BI51" s="8">
        <v>10.0</v>
      </c>
      <c r="BJ51" s="8" t="s">
        <v>1840</v>
      </c>
      <c r="BK51" s="8" t="s">
        <v>988</v>
      </c>
      <c r="BL51" s="8" t="s">
        <v>1841</v>
      </c>
      <c r="BM51" s="8" t="s">
        <v>1842</v>
      </c>
      <c r="BN51" s="8" t="s">
        <v>969</v>
      </c>
      <c r="BO51" s="8" t="s">
        <v>969</v>
      </c>
      <c r="BP51" s="8" t="s">
        <v>969</v>
      </c>
      <c r="BQ51" s="8" t="s">
        <v>969</v>
      </c>
      <c r="BR51" s="8" t="s">
        <v>991</v>
      </c>
      <c r="BS51" s="8" t="s">
        <v>1843</v>
      </c>
      <c r="BT51" s="8" t="s">
        <v>1021</v>
      </c>
      <c r="BW51" s="8" t="s">
        <v>51</v>
      </c>
      <c r="BX51" s="8" t="s">
        <v>1022</v>
      </c>
      <c r="CA51" s="8" t="str">
        <f>HYPERLINK("https%3A%2F%2Fwww.webofscience.com%2Fwos%2Fwoscc%2Ffull-record%2FWOS:000255229600003","View Full Record in Web of Science")</f>
        <v>View Full Record in Web of Science</v>
      </c>
    </row>
    <row r="52" ht="12.75" customHeight="1">
      <c r="A52" s="8" t="s">
        <v>967</v>
      </c>
      <c r="B52" s="8" t="s">
        <v>1844</v>
      </c>
      <c r="C52" s="8" t="s">
        <v>969</v>
      </c>
      <c r="D52" s="8" t="s">
        <v>969</v>
      </c>
      <c r="E52" s="8" t="s">
        <v>969</v>
      </c>
      <c r="F52" s="8" t="s">
        <v>1845</v>
      </c>
      <c r="G52" s="8" t="s">
        <v>969</v>
      </c>
      <c r="H52" s="8" t="s">
        <v>969</v>
      </c>
      <c r="I52" s="8" t="s">
        <v>1846</v>
      </c>
      <c r="J52" s="8" t="s">
        <v>1847</v>
      </c>
      <c r="K52" s="8" t="s">
        <v>969</v>
      </c>
      <c r="L52" s="8" t="s">
        <v>969</v>
      </c>
      <c r="M52" s="8" t="s">
        <v>972</v>
      </c>
      <c r="N52" s="8" t="s">
        <v>973</v>
      </c>
      <c r="O52" s="8" t="s">
        <v>969</v>
      </c>
      <c r="P52" s="8" t="s">
        <v>969</v>
      </c>
      <c r="Q52" s="8" t="s">
        <v>969</v>
      </c>
      <c r="R52" s="8" t="s">
        <v>969</v>
      </c>
      <c r="S52" s="8" t="s">
        <v>969</v>
      </c>
      <c r="T52" s="8" t="s">
        <v>1848</v>
      </c>
      <c r="U52" s="8" t="s">
        <v>1849</v>
      </c>
      <c r="V52" s="8" t="s">
        <v>1850</v>
      </c>
      <c r="W52" s="8" t="s">
        <v>1851</v>
      </c>
      <c r="X52" s="8" t="s">
        <v>1852</v>
      </c>
      <c r="Y52" s="8" t="s">
        <v>1853</v>
      </c>
      <c r="Z52" s="8" t="s">
        <v>1854</v>
      </c>
      <c r="AA52" s="8" t="s">
        <v>1855</v>
      </c>
      <c r="AB52" s="8" t="s">
        <v>1856</v>
      </c>
      <c r="AC52" s="8" t="s">
        <v>969</v>
      </c>
      <c r="AD52" s="8" t="s">
        <v>969</v>
      </c>
      <c r="AE52" s="8" t="s">
        <v>969</v>
      </c>
      <c r="AF52" s="8" t="s">
        <v>969</v>
      </c>
      <c r="AG52" s="8">
        <v>60.0</v>
      </c>
      <c r="AH52" s="8">
        <v>263.0</v>
      </c>
      <c r="AI52" s="8">
        <v>301.0</v>
      </c>
      <c r="AJ52" s="8">
        <v>5.0</v>
      </c>
      <c r="AK52" s="8">
        <v>93.0</v>
      </c>
      <c r="AL52" s="8" t="s">
        <v>1813</v>
      </c>
      <c r="AM52" s="8" t="s">
        <v>1261</v>
      </c>
      <c r="AN52" s="8" t="s">
        <v>1814</v>
      </c>
      <c r="AO52" s="8" t="s">
        <v>1857</v>
      </c>
      <c r="AP52" s="8" t="s">
        <v>1858</v>
      </c>
      <c r="AQ52" s="8" t="s">
        <v>969</v>
      </c>
      <c r="AR52" s="8" t="s">
        <v>1859</v>
      </c>
      <c r="AS52" s="8" t="s">
        <v>1860</v>
      </c>
      <c r="AT52" s="8" t="s">
        <v>1285</v>
      </c>
      <c r="AU52" s="8">
        <v>2008.0</v>
      </c>
      <c r="AV52" s="8">
        <v>126.0</v>
      </c>
      <c r="AW52" s="8" t="s">
        <v>1200</v>
      </c>
      <c r="AX52" s="8" t="s">
        <v>969</v>
      </c>
      <c r="AY52" s="8" t="s">
        <v>969</v>
      </c>
      <c r="AZ52" s="8" t="s">
        <v>969</v>
      </c>
      <c r="BA52" s="8" t="s">
        <v>969</v>
      </c>
      <c r="BB52" s="8">
        <v>13.0</v>
      </c>
      <c r="BC52" s="8">
        <v>23.0</v>
      </c>
      <c r="BD52" s="8" t="s">
        <v>969</v>
      </c>
      <c r="BE52" s="8" t="s">
        <v>545</v>
      </c>
      <c r="BF52" s="13" t="str">
        <f>HYPERLINK("http://dx.doi.org/10.1016/j.agee.2008.01.013","http://dx.doi.org/10.1016/j.agee.2008.01.013")</f>
        <v>http://dx.doi.org/10.1016/j.agee.2008.01.013</v>
      </c>
      <c r="BG52" s="8" t="s">
        <v>969</v>
      </c>
      <c r="BH52" s="8" t="s">
        <v>969</v>
      </c>
      <c r="BI52" s="8">
        <v>11.0</v>
      </c>
      <c r="BJ52" s="8" t="s">
        <v>1861</v>
      </c>
      <c r="BK52" s="8" t="s">
        <v>988</v>
      </c>
      <c r="BL52" s="8" t="s">
        <v>1862</v>
      </c>
      <c r="BM52" s="8" t="s">
        <v>1863</v>
      </c>
      <c r="BN52" s="8" t="s">
        <v>969</v>
      </c>
      <c r="BO52" s="8" t="s">
        <v>969</v>
      </c>
      <c r="BP52" s="8" t="s">
        <v>969</v>
      </c>
      <c r="BQ52" s="8" t="s">
        <v>969</v>
      </c>
      <c r="BR52" s="8" t="s">
        <v>991</v>
      </c>
      <c r="BS52" s="8" t="s">
        <v>1864</v>
      </c>
      <c r="BT52" s="8" t="s">
        <v>1249</v>
      </c>
      <c r="BW52" s="8" t="s">
        <v>51</v>
      </c>
      <c r="BX52" s="8" t="s">
        <v>1022</v>
      </c>
      <c r="CA52" s="8" t="str">
        <f>HYPERLINK("https%3A%2F%2Fwww.webofscience.com%2Fwos%2Fwoscc%2Ffull-record%2FWOS:000255694700003","View Full Record in Web of Science")</f>
        <v>View Full Record in Web of Science</v>
      </c>
    </row>
    <row r="53" ht="12.75" customHeight="1">
      <c r="A53" s="8" t="s">
        <v>967</v>
      </c>
      <c r="B53" s="8" t="s">
        <v>1865</v>
      </c>
      <c r="C53" s="8" t="s">
        <v>969</v>
      </c>
      <c r="D53" s="8" t="s">
        <v>969</v>
      </c>
      <c r="E53" s="8" t="s">
        <v>969</v>
      </c>
      <c r="F53" s="8" t="s">
        <v>1866</v>
      </c>
      <c r="G53" s="8" t="s">
        <v>969</v>
      </c>
      <c r="H53" s="8" t="s">
        <v>969</v>
      </c>
      <c r="I53" s="8" t="s">
        <v>1867</v>
      </c>
      <c r="J53" s="8" t="s">
        <v>971</v>
      </c>
      <c r="K53" s="8" t="s">
        <v>969</v>
      </c>
      <c r="L53" s="8" t="s">
        <v>969</v>
      </c>
      <c r="M53" s="8" t="s">
        <v>972</v>
      </c>
      <c r="N53" s="8" t="s">
        <v>973</v>
      </c>
      <c r="O53" s="8" t="s">
        <v>969</v>
      </c>
      <c r="P53" s="8" t="s">
        <v>969</v>
      </c>
      <c r="Q53" s="8" t="s">
        <v>969</v>
      </c>
      <c r="R53" s="8" t="s">
        <v>969</v>
      </c>
      <c r="S53" s="8" t="s">
        <v>969</v>
      </c>
      <c r="T53" s="8" t="s">
        <v>1868</v>
      </c>
      <c r="U53" s="8" t="s">
        <v>1869</v>
      </c>
      <c r="V53" s="8" t="s">
        <v>1870</v>
      </c>
      <c r="W53" s="8" t="s">
        <v>1871</v>
      </c>
      <c r="X53" s="8" t="s">
        <v>1872</v>
      </c>
      <c r="Y53" s="8" t="s">
        <v>1873</v>
      </c>
      <c r="Z53" s="8" t="s">
        <v>1874</v>
      </c>
      <c r="AA53" s="8" t="s">
        <v>1875</v>
      </c>
      <c r="AB53" s="8" t="s">
        <v>1876</v>
      </c>
      <c r="AC53" s="8" t="s">
        <v>969</v>
      </c>
      <c r="AD53" s="8" t="s">
        <v>969</v>
      </c>
      <c r="AE53" s="8" t="s">
        <v>969</v>
      </c>
      <c r="AF53" s="8" t="s">
        <v>969</v>
      </c>
      <c r="AG53" s="8">
        <v>72.0</v>
      </c>
      <c r="AH53" s="8">
        <v>207.0</v>
      </c>
      <c r="AI53" s="8">
        <v>255.0</v>
      </c>
      <c r="AJ53" s="8">
        <v>6.0</v>
      </c>
      <c r="AK53" s="8">
        <v>146.0</v>
      </c>
      <c r="AL53" s="8" t="s">
        <v>1091</v>
      </c>
      <c r="AM53" s="8" t="s">
        <v>1092</v>
      </c>
      <c r="AN53" s="8" t="s">
        <v>1093</v>
      </c>
      <c r="AO53" s="8" t="s">
        <v>983</v>
      </c>
      <c r="AP53" s="8" t="s">
        <v>1094</v>
      </c>
      <c r="AQ53" s="8" t="s">
        <v>969</v>
      </c>
      <c r="AR53" s="8" t="s">
        <v>1095</v>
      </c>
      <c r="AS53" s="8" t="s">
        <v>985</v>
      </c>
      <c r="AT53" s="8" t="s">
        <v>1285</v>
      </c>
      <c r="AU53" s="8">
        <v>2008.0</v>
      </c>
      <c r="AV53" s="8">
        <v>14.0</v>
      </c>
      <c r="AW53" s="8">
        <v>6.0</v>
      </c>
      <c r="AX53" s="8" t="s">
        <v>969</v>
      </c>
      <c r="AY53" s="8" t="s">
        <v>969</v>
      </c>
      <c r="AZ53" s="8" t="s">
        <v>969</v>
      </c>
      <c r="BA53" s="8" t="s">
        <v>969</v>
      </c>
      <c r="BB53" s="8">
        <v>1337.0</v>
      </c>
      <c r="BC53" s="8">
        <v>1352.0</v>
      </c>
      <c r="BD53" s="8" t="s">
        <v>969</v>
      </c>
      <c r="BE53" s="8" t="s">
        <v>707</v>
      </c>
      <c r="BF53" s="13" t="str">
        <f>HYPERLINK("http://dx.doi.org/10.1111/j.1365-2486.2008.01559.x","http://dx.doi.org/10.1111/j.1365-2486.2008.01559.x")</f>
        <v>http://dx.doi.org/10.1111/j.1365-2486.2008.01559.x</v>
      </c>
      <c r="BG53" s="8" t="s">
        <v>969</v>
      </c>
      <c r="BH53" s="8" t="s">
        <v>969</v>
      </c>
      <c r="BI53" s="8">
        <v>16.0</v>
      </c>
      <c r="BJ53" s="8" t="s">
        <v>987</v>
      </c>
      <c r="BK53" s="8" t="s">
        <v>988</v>
      </c>
      <c r="BL53" s="8" t="s">
        <v>989</v>
      </c>
      <c r="BM53" s="8" t="s">
        <v>1877</v>
      </c>
      <c r="BN53" s="8" t="s">
        <v>969</v>
      </c>
      <c r="BO53" s="8" t="s">
        <v>969</v>
      </c>
      <c r="BP53" s="8" t="s">
        <v>969</v>
      </c>
      <c r="BQ53" s="8" t="s">
        <v>969</v>
      </c>
      <c r="BR53" s="8" t="s">
        <v>991</v>
      </c>
      <c r="BS53" s="8" t="s">
        <v>1878</v>
      </c>
      <c r="BT53" s="8" t="s">
        <v>1115</v>
      </c>
      <c r="BU53" s="8" t="s">
        <v>1116</v>
      </c>
      <c r="BV53" s="8" t="s">
        <v>1117</v>
      </c>
      <c r="BW53" s="8" t="s">
        <v>51</v>
      </c>
      <c r="BX53" s="8" t="s">
        <v>1022</v>
      </c>
      <c r="CA53" s="8" t="str">
        <f>HYPERLINK("https%3A%2F%2Fwww.webofscience.com%2Fwos%2Fwoscc%2Ffull-record%2FWOS:000255707200011","View Full Record in Web of Science")</f>
        <v>View Full Record in Web of Science</v>
      </c>
    </row>
    <row r="54" ht="12.75" customHeight="1">
      <c r="A54" s="8" t="s">
        <v>967</v>
      </c>
      <c r="B54" s="8" t="s">
        <v>1879</v>
      </c>
      <c r="C54" s="8" t="s">
        <v>969</v>
      </c>
      <c r="D54" s="8" t="s">
        <v>969</v>
      </c>
      <c r="E54" s="8" t="s">
        <v>969</v>
      </c>
      <c r="F54" s="8" t="s">
        <v>1880</v>
      </c>
      <c r="G54" s="8" t="s">
        <v>969</v>
      </c>
      <c r="H54" s="8" t="s">
        <v>969</v>
      </c>
      <c r="I54" s="8" t="s">
        <v>1881</v>
      </c>
      <c r="J54" s="8" t="s">
        <v>1882</v>
      </c>
      <c r="K54" s="8" t="s">
        <v>969</v>
      </c>
      <c r="L54" s="8" t="s">
        <v>969</v>
      </c>
      <c r="M54" s="8" t="s">
        <v>972</v>
      </c>
      <c r="N54" s="8" t="s">
        <v>973</v>
      </c>
      <c r="O54" s="8" t="s">
        <v>969</v>
      </c>
      <c r="P54" s="8" t="s">
        <v>969</v>
      </c>
      <c r="Q54" s="8" t="s">
        <v>969</v>
      </c>
      <c r="R54" s="8" t="s">
        <v>969</v>
      </c>
      <c r="S54" s="8" t="s">
        <v>969</v>
      </c>
      <c r="T54" s="8" t="s">
        <v>1883</v>
      </c>
      <c r="U54" s="8" t="s">
        <v>1884</v>
      </c>
      <c r="V54" s="8" t="s">
        <v>1885</v>
      </c>
      <c r="W54" s="8" t="s">
        <v>1886</v>
      </c>
      <c r="X54" s="8" t="s">
        <v>1887</v>
      </c>
      <c r="Y54" s="8" t="s">
        <v>1888</v>
      </c>
      <c r="Z54" s="8" t="s">
        <v>1889</v>
      </c>
      <c r="AA54" s="8" t="s">
        <v>1890</v>
      </c>
      <c r="AB54" s="8" t="s">
        <v>969</v>
      </c>
      <c r="AC54" s="8" t="s">
        <v>969</v>
      </c>
      <c r="AD54" s="8" t="s">
        <v>969</v>
      </c>
      <c r="AE54" s="8" t="s">
        <v>969</v>
      </c>
      <c r="AF54" s="8" t="s">
        <v>969</v>
      </c>
      <c r="AG54" s="8">
        <v>78.0</v>
      </c>
      <c r="AH54" s="8">
        <v>191.0</v>
      </c>
      <c r="AI54" s="8">
        <v>236.0</v>
      </c>
      <c r="AJ54" s="8">
        <v>1.0</v>
      </c>
      <c r="AK54" s="8">
        <v>155.0</v>
      </c>
      <c r="AL54" s="8" t="s">
        <v>1091</v>
      </c>
      <c r="AM54" s="8" t="s">
        <v>1092</v>
      </c>
      <c r="AN54" s="8" t="s">
        <v>1093</v>
      </c>
      <c r="AO54" s="8" t="s">
        <v>1891</v>
      </c>
      <c r="AP54" s="8" t="s">
        <v>1892</v>
      </c>
      <c r="AQ54" s="8" t="s">
        <v>969</v>
      </c>
      <c r="AR54" s="8" t="s">
        <v>1893</v>
      </c>
      <c r="AS54" s="8" t="s">
        <v>1894</v>
      </c>
      <c r="AT54" s="8" t="s">
        <v>1096</v>
      </c>
      <c r="AU54" s="8">
        <v>2008.0</v>
      </c>
      <c r="AV54" s="8">
        <v>96.0</v>
      </c>
      <c r="AW54" s="8">
        <v>4.0</v>
      </c>
      <c r="AX54" s="8" t="s">
        <v>969</v>
      </c>
      <c r="AY54" s="8" t="s">
        <v>969</v>
      </c>
      <c r="AZ54" s="8" t="s">
        <v>969</v>
      </c>
      <c r="BA54" s="8" t="s">
        <v>969</v>
      </c>
      <c r="BB54" s="8">
        <v>784.0</v>
      </c>
      <c r="BC54" s="8">
        <v>794.0</v>
      </c>
      <c r="BD54" s="8" t="s">
        <v>969</v>
      </c>
      <c r="BE54" s="8" t="s">
        <v>734</v>
      </c>
      <c r="BF54" s="13" t="str">
        <f>HYPERLINK("http://dx.doi.org/10.1111/j.1365-2745.2008.01369.x","http://dx.doi.org/10.1111/j.1365-2745.2008.01369.x")</f>
        <v>http://dx.doi.org/10.1111/j.1365-2745.2008.01369.x</v>
      </c>
      <c r="BG54" s="8" t="s">
        <v>969</v>
      </c>
      <c r="BH54" s="8" t="s">
        <v>969</v>
      </c>
      <c r="BI54" s="8">
        <v>11.0</v>
      </c>
      <c r="BJ54" s="8" t="s">
        <v>1895</v>
      </c>
      <c r="BK54" s="8" t="s">
        <v>988</v>
      </c>
      <c r="BL54" s="8" t="s">
        <v>1896</v>
      </c>
      <c r="BM54" s="8" t="s">
        <v>1897</v>
      </c>
      <c r="BN54" s="8" t="s">
        <v>969</v>
      </c>
      <c r="BO54" s="8" t="s">
        <v>969</v>
      </c>
      <c r="BP54" s="8" t="s">
        <v>969</v>
      </c>
      <c r="BQ54" s="8" t="s">
        <v>969</v>
      </c>
      <c r="BR54" s="8" t="s">
        <v>991</v>
      </c>
      <c r="BS54" s="8" t="s">
        <v>1898</v>
      </c>
      <c r="BT54" s="8" t="s">
        <v>993</v>
      </c>
      <c r="BU54" s="8" t="s">
        <v>994</v>
      </c>
      <c r="BW54" s="8" t="s">
        <v>51</v>
      </c>
      <c r="BX54" s="8" t="s">
        <v>1022</v>
      </c>
      <c r="CA54" s="8" t="str">
        <f>HYPERLINK("https%3A%2F%2Fwww.webofscience.com%2Fwos%2Fwoscc%2Ffull-record%2FWOS:000256635800024","View Full Record in Web of Science")</f>
        <v>View Full Record in Web of Science</v>
      </c>
    </row>
    <row r="55" ht="12.75" customHeight="1">
      <c r="A55" s="8" t="s">
        <v>967</v>
      </c>
      <c r="B55" s="8" t="s">
        <v>1899</v>
      </c>
      <c r="C55" s="8" t="s">
        <v>969</v>
      </c>
      <c r="D55" s="8" t="s">
        <v>969</v>
      </c>
      <c r="E55" s="8" t="s">
        <v>969</v>
      </c>
      <c r="F55" s="8" t="s">
        <v>1900</v>
      </c>
      <c r="G55" s="8" t="s">
        <v>969</v>
      </c>
      <c r="H55" s="8" t="s">
        <v>969</v>
      </c>
      <c r="I55" s="8" t="s">
        <v>1901</v>
      </c>
      <c r="J55" s="8" t="s">
        <v>1183</v>
      </c>
      <c r="K55" s="8" t="s">
        <v>969</v>
      </c>
      <c r="L55" s="8" t="s">
        <v>969</v>
      </c>
      <c r="M55" s="8" t="s">
        <v>972</v>
      </c>
      <c r="N55" s="8" t="s">
        <v>973</v>
      </c>
      <c r="O55" s="8" t="s">
        <v>969</v>
      </c>
      <c r="P55" s="8" t="s">
        <v>969</v>
      </c>
      <c r="Q55" s="8" t="s">
        <v>969</v>
      </c>
      <c r="R55" s="8" t="s">
        <v>969</v>
      </c>
      <c r="S55" s="8" t="s">
        <v>969</v>
      </c>
      <c r="T55" s="8" t="s">
        <v>1902</v>
      </c>
      <c r="U55" s="8" t="s">
        <v>1903</v>
      </c>
      <c r="V55" s="8" t="s">
        <v>1904</v>
      </c>
      <c r="W55" s="8" t="s">
        <v>1905</v>
      </c>
      <c r="X55" s="8" t="s">
        <v>1906</v>
      </c>
      <c r="Y55" s="8" t="s">
        <v>1907</v>
      </c>
      <c r="Z55" s="8" t="s">
        <v>1908</v>
      </c>
      <c r="AA55" s="8" t="s">
        <v>1909</v>
      </c>
      <c r="AB55" s="8" t="s">
        <v>1793</v>
      </c>
      <c r="AC55" s="8" t="s">
        <v>969</v>
      </c>
      <c r="AD55" s="8" t="s">
        <v>969</v>
      </c>
      <c r="AE55" s="8" t="s">
        <v>969</v>
      </c>
      <c r="AF55" s="8" t="s">
        <v>969</v>
      </c>
      <c r="AG55" s="8">
        <v>66.0</v>
      </c>
      <c r="AH55" s="8">
        <v>115.0</v>
      </c>
      <c r="AI55" s="8">
        <v>137.0</v>
      </c>
      <c r="AJ55" s="8">
        <v>3.0</v>
      </c>
      <c r="AK55" s="8">
        <v>105.0</v>
      </c>
      <c r="AL55" s="8" t="s">
        <v>1192</v>
      </c>
      <c r="AM55" s="8" t="s">
        <v>981</v>
      </c>
      <c r="AN55" s="8" t="s">
        <v>1408</v>
      </c>
      <c r="AO55" s="8" t="s">
        <v>1195</v>
      </c>
      <c r="AP55" s="8" t="s">
        <v>1196</v>
      </c>
      <c r="AQ55" s="8" t="s">
        <v>969</v>
      </c>
      <c r="AR55" s="8" t="s">
        <v>1197</v>
      </c>
      <c r="AS55" s="8" t="s">
        <v>1198</v>
      </c>
      <c r="AT55" s="8" t="s">
        <v>1177</v>
      </c>
      <c r="AU55" s="8">
        <v>2008.0</v>
      </c>
      <c r="AV55" s="8">
        <v>141.0</v>
      </c>
      <c r="AW55" s="8">
        <v>5.0</v>
      </c>
      <c r="AX55" s="8" t="s">
        <v>969</v>
      </c>
      <c r="AY55" s="8" t="s">
        <v>969</v>
      </c>
      <c r="AZ55" s="8" t="s">
        <v>969</v>
      </c>
      <c r="BA55" s="8" t="s">
        <v>969</v>
      </c>
      <c r="BB55" s="8">
        <v>1343.0</v>
      </c>
      <c r="BC55" s="8">
        <v>1353.0</v>
      </c>
      <c r="BD55" s="8" t="s">
        <v>969</v>
      </c>
      <c r="BE55" s="8" t="s">
        <v>551</v>
      </c>
      <c r="BF55" s="13" t="str">
        <f>HYPERLINK("http://dx.doi.org/10.1016/j.biocon.2008.03.007","http://dx.doi.org/10.1016/j.biocon.2008.03.007")</f>
        <v>http://dx.doi.org/10.1016/j.biocon.2008.03.007</v>
      </c>
      <c r="BG55" s="8" t="s">
        <v>969</v>
      </c>
      <c r="BH55" s="8" t="s">
        <v>969</v>
      </c>
      <c r="BI55" s="8">
        <v>11.0</v>
      </c>
      <c r="BJ55" s="8" t="s">
        <v>987</v>
      </c>
      <c r="BK55" s="8" t="s">
        <v>988</v>
      </c>
      <c r="BL55" s="8" t="s">
        <v>989</v>
      </c>
      <c r="BM55" s="8" t="s">
        <v>1910</v>
      </c>
      <c r="BN55" s="8" t="s">
        <v>969</v>
      </c>
      <c r="BO55" s="8" t="s">
        <v>969</v>
      </c>
      <c r="BP55" s="8" t="s">
        <v>969</v>
      </c>
      <c r="BQ55" s="8" t="s">
        <v>969</v>
      </c>
      <c r="BR55" s="8" t="s">
        <v>991</v>
      </c>
      <c r="BS55" s="8" t="s">
        <v>1911</v>
      </c>
      <c r="BT55" s="8" t="s">
        <v>1021</v>
      </c>
      <c r="BW55" s="8" t="s">
        <v>81</v>
      </c>
      <c r="BX55" s="8" t="s">
        <v>995</v>
      </c>
      <c r="BY55" s="8" t="s">
        <v>996</v>
      </c>
      <c r="BZ55" s="8" t="s">
        <v>1180</v>
      </c>
      <c r="CA55" s="8" t="str">
        <f>HYPERLINK("https%3A%2F%2Fwww.webofscience.com%2Fwos%2Fwoscc%2Ffull-record%2FWOS:000257008400017","View Full Record in Web of Science")</f>
        <v>View Full Record in Web of Science</v>
      </c>
    </row>
    <row r="56" ht="12.75" customHeight="1">
      <c r="A56" s="8" t="s">
        <v>967</v>
      </c>
      <c r="B56" s="8" t="s">
        <v>1912</v>
      </c>
      <c r="C56" s="8" t="s">
        <v>969</v>
      </c>
      <c r="D56" s="8" t="s">
        <v>969</v>
      </c>
      <c r="E56" s="8" t="s">
        <v>969</v>
      </c>
      <c r="F56" s="8" t="s">
        <v>1913</v>
      </c>
      <c r="G56" s="8" t="s">
        <v>969</v>
      </c>
      <c r="H56" s="8" t="s">
        <v>969</v>
      </c>
      <c r="I56" s="8" t="s">
        <v>1914</v>
      </c>
      <c r="J56" s="8" t="s">
        <v>971</v>
      </c>
      <c r="K56" s="8" t="s">
        <v>969</v>
      </c>
      <c r="L56" s="8" t="s">
        <v>969</v>
      </c>
      <c r="M56" s="8" t="s">
        <v>972</v>
      </c>
      <c r="N56" s="8" t="s">
        <v>973</v>
      </c>
      <c r="O56" s="8" t="s">
        <v>969</v>
      </c>
      <c r="P56" s="8" t="s">
        <v>969</v>
      </c>
      <c r="Q56" s="8" t="s">
        <v>969</v>
      </c>
      <c r="R56" s="8" t="s">
        <v>969</v>
      </c>
      <c r="S56" s="8" t="s">
        <v>969</v>
      </c>
      <c r="T56" s="8" t="s">
        <v>1915</v>
      </c>
      <c r="U56" s="8" t="s">
        <v>1916</v>
      </c>
      <c r="V56" s="8" t="s">
        <v>1917</v>
      </c>
      <c r="W56" s="8" t="s">
        <v>1918</v>
      </c>
      <c r="X56" s="8" t="s">
        <v>1919</v>
      </c>
      <c r="Y56" s="8" t="s">
        <v>1920</v>
      </c>
      <c r="Z56" s="8" t="s">
        <v>1921</v>
      </c>
      <c r="AA56" s="8" t="s">
        <v>969</v>
      </c>
      <c r="AB56" s="8" t="s">
        <v>1922</v>
      </c>
      <c r="AC56" s="8" t="s">
        <v>969</v>
      </c>
      <c r="AD56" s="8" t="s">
        <v>969</v>
      </c>
      <c r="AE56" s="8" t="s">
        <v>969</v>
      </c>
      <c r="AF56" s="8" t="s">
        <v>969</v>
      </c>
      <c r="AG56" s="8">
        <v>88.0</v>
      </c>
      <c r="AH56" s="8">
        <v>295.0</v>
      </c>
      <c r="AI56" s="8">
        <v>342.0</v>
      </c>
      <c r="AJ56" s="8">
        <v>3.0</v>
      </c>
      <c r="AK56" s="8">
        <v>142.0</v>
      </c>
      <c r="AL56" s="8" t="s">
        <v>1091</v>
      </c>
      <c r="AM56" s="8" t="s">
        <v>1092</v>
      </c>
      <c r="AN56" s="8" t="s">
        <v>1093</v>
      </c>
      <c r="AO56" s="8" t="s">
        <v>983</v>
      </c>
      <c r="AP56" s="8" t="s">
        <v>1094</v>
      </c>
      <c r="AQ56" s="8" t="s">
        <v>969</v>
      </c>
      <c r="AR56" s="8" t="s">
        <v>1095</v>
      </c>
      <c r="AS56" s="8" t="s">
        <v>985</v>
      </c>
      <c r="AT56" s="8" t="s">
        <v>1211</v>
      </c>
      <c r="AU56" s="8">
        <v>2008.0</v>
      </c>
      <c r="AV56" s="8">
        <v>14.0</v>
      </c>
      <c r="AW56" s="8">
        <v>8.0</v>
      </c>
      <c r="AX56" s="8" t="s">
        <v>969</v>
      </c>
      <c r="AY56" s="8" t="s">
        <v>969</v>
      </c>
      <c r="AZ56" s="8" t="s">
        <v>969</v>
      </c>
      <c r="BA56" s="8" t="s">
        <v>969</v>
      </c>
      <c r="BB56" s="8">
        <v>1703.0</v>
      </c>
      <c r="BC56" s="8">
        <v>1720.0</v>
      </c>
      <c r="BD56" s="8" t="s">
        <v>969</v>
      </c>
      <c r="BE56" s="8" t="s">
        <v>710</v>
      </c>
      <c r="BF56" s="13" t="str">
        <f>HYPERLINK("http://dx.doi.org/10.1111/j.1365-2486.2008.01596.x","http://dx.doi.org/10.1111/j.1365-2486.2008.01596.x")</f>
        <v>http://dx.doi.org/10.1111/j.1365-2486.2008.01596.x</v>
      </c>
      <c r="BG56" s="8" t="s">
        <v>969</v>
      </c>
      <c r="BH56" s="8" t="s">
        <v>969</v>
      </c>
      <c r="BI56" s="8">
        <v>18.0</v>
      </c>
      <c r="BJ56" s="8" t="s">
        <v>987</v>
      </c>
      <c r="BK56" s="8" t="s">
        <v>988</v>
      </c>
      <c r="BL56" s="8" t="s">
        <v>989</v>
      </c>
      <c r="BM56" s="8" t="s">
        <v>1923</v>
      </c>
      <c r="BN56" s="8" t="s">
        <v>969</v>
      </c>
      <c r="BO56" s="8" t="s">
        <v>1924</v>
      </c>
      <c r="BP56" s="8" t="s">
        <v>969</v>
      </c>
      <c r="BQ56" s="8" t="s">
        <v>969</v>
      </c>
      <c r="BR56" s="8" t="s">
        <v>991</v>
      </c>
      <c r="BS56" s="8" t="s">
        <v>1925</v>
      </c>
      <c r="BT56" s="8" t="s">
        <v>1099</v>
      </c>
      <c r="BW56" s="8" t="s">
        <v>209</v>
      </c>
      <c r="BX56" s="8" t="s">
        <v>995</v>
      </c>
      <c r="BY56" s="8" t="s">
        <v>996</v>
      </c>
      <c r="BZ56" s="8" t="s">
        <v>1374</v>
      </c>
      <c r="CA56" s="8" t="str">
        <f>HYPERLINK("https%3A%2F%2Fwww.webofscience.com%2Fwos%2Fwoscc%2Ffull-record%2FWOS:000257712400001","View Full Record in Web of Science")</f>
        <v>View Full Record in Web of Science</v>
      </c>
    </row>
    <row r="57" ht="12.75" customHeight="1">
      <c r="A57" s="8" t="s">
        <v>967</v>
      </c>
      <c r="B57" s="8" t="s">
        <v>1926</v>
      </c>
      <c r="C57" s="8" t="s">
        <v>969</v>
      </c>
      <c r="D57" s="8" t="s">
        <v>969</v>
      </c>
      <c r="E57" s="8" t="s">
        <v>969</v>
      </c>
      <c r="F57" s="8" t="s">
        <v>1927</v>
      </c>
      <c r="G57" s="8" t="s">
        <v>969</v>
      </c>
      <c r="H57" s="8" t="s">
        <v>969</v>
      </c>
      <c r="I57" s="8" t="s">
        <v>1928</v>
      </c>
      <c r="J57" s="8" t="s">
        <v>1929</v>
      </c>
      <c r="K57" s="8" t="s">
        <v>969</v>
      </c>
      <c r="L57" s="8" t="s">
        <v>969</v>
      </c>
      <c r="M57" s="8" t="s">
        <v>972</v>
      </c>
      <c r="N57" s="8" t="s">
        <v>973</v>
      </c>
      <c r="O57" s="8" t="s">
        <v>969</v>
      </c>
      <c r="P57" s="8" t="s">
        <v>969</v>
      </c>
      <c r="Q57" s="8" t="s">
        <v>969</v>
      </c>
      <c r="R57" s="8" t="s">
        <v>969</v>
      </c>
      <c r="S57" s="8" t="s">
        <v>969</v>
      </c>
      <c r="T57" s="8" t="s">
        <v>1930</v>
      </c>
      <c r="U57" s="8" t="s">
        <v>1931</v>
      </c>
      <c r="V57" s="8" t="s">
        <v>1932</v>
      </c>
      <c r="W57" s="8" t="s">
        <v>1933</v>
      </c>
      <c r="X57" s="8" t="s">
        <v>1934</v>
      </c>
      <c r="Y57" s="8" t="s">
        <v>1935</v>
      </c>
      <c r="Z57" s="8" t="s">
        <v>1936</v>
      </c>
      <c r="AA57" s="8" t="s">
        <v>1937</v>
      </c>
      <c r="AB57" s="8" t="s">
        <v>1938</v>
      </c>
      <c r="AC57" s="8" t="s">
        <v>1939</v>
      </c>
      <c r="AD57" s="8" t="s">
        <v>1940</v>
      </c>
      <c r="AE57" s="8" t="s">
        <v>1941</v>
      </c>
      <c r="AF57" s="8" t="s">
        <v>969</v>
      </c>
      <c r="AG57" s="8">
        <v>20.0</v>
      </c>
      <c r="AH57" s="8">
        <v>129.0</v>
      </c>
      <c r="AI57" s="8">
        <v>162.0</v>
      </c>
      <c r="AJ57" s="8">
        <v>4.0</v>
      </c>
      <c r="AK57" s="8">
        <v>126.0</v>
      </c>
      <c r="AL57" s="8" t="s">
        <v>1130</v>
      </c>
      <c r="AM57" s="8" t="s">
        <v>1071</v>
      </c>
      <c r="AN57" s="8" t="s">
        <v>1131</v>
      </c>
      <c r="AO57" s="8" t="s">
        <v>1942</v>
      </c>
      <c r="AP57" s="8" t="s">
        <v>969</v>
      </c>
      <c r="AQ57" s="8" t="s">
        <v>969</v>
      </c>
      <c r="AR57" s="8" t="s">
        <v>1943</v>
      </c>
      <c r="AS57" s="8" t="s">
        <v>1944</v>
      </c>
      <c r="AT57" s="8" t="s">
        <v>1945</v>
      </c>
      <c r="AU57" s="8">
        <v>2008.0</v>
      </c>
      <c r="AV57" s="8">
        <v>4.0</v>
      </c>
      <c r="AW57" s="8">
        <v>5.0</v>
      </c>
      <c r="AX57" s="8" t="s">
        <v>969</v>
      </c>
      <c r="AY57" s="8" t="s">
        <v>969</v>
      </c>
      <c r="AZ57" s="8" t="s">
        <v>969</v>
      </c>
      <c r="BA57" s="8" t="s">
        <v>969</v>
      </c>
      <c r="BB57" s="8">
        <v>564.0</v>
      </c>
      <c r="BC57" s="8">
        <v>567.0</v>
      </c>
      <c r="BD57" s="8" t="s">
        <v>969</v>
      </c>
      <c r="BE57" s="8" t="s">
        <v>653</v>
      </c>
      <c r="BF57" s="13" t="str">
        <f>HYPERLINK("http://dx.doi.org/10.1098/rsbl.2008.0231","http://dx.doi.org/10.1098/rsbl.2008.0231")</f>
        <v>http://dx.doi.org/10.1098/rsbl.2008.0231</v>
      </c>
      <c r="BG57" s="8" t="s">
        <v>969</v>
      </c>
      <c r="BH57" s="8" t="s">
        <v>969</v>
      </c>
      <c r="BI57" s="8">
        <v>4.0</v>
      </c>
      <c r="BJ57" s="8" t="s">
        <v>1137</v>
      </c>
      <c r="BK57" s="8" t="s">
        <v>988</v>
      </c>
      <c r="BL57" s="8" t="s">
        <v>1138</v>
      </c>
      <c r="BM57" s="8" t="s">
        <v>1946</v>
      </c>
      <c r="BN57" s="8">
        <v>1.8664416E7</v>
      </c>
      <c r="BO57" s="8" t="s">
        <v>1227</v>
      </c>
      <c r="BP57" s="8" t="s">
        <v>969</v>
      </c>
      <c r="BQ57" s="8" t="s">
        <v>969</v>
      </c>
      <c r="BR57" s="8" t="s">
        <v>991</v>
      </c>
      <c r="BS57" s="8" t="s">
        <v>1947</v>
      </c>
      <c r="BT57" s="8" t="s">
        <v>1021</v>
      </c>
      <c r="BW57" s="8" t="s">
        <v>51</v>
      </c>
      <c r="BX57" s="8" t="s">
        <v>1022</v>
      </c>
      <c r="CA57" s="8" t="str">
        <f>HYPERLINK("https%3A%2F%2Fwww.webofscience.com%2Fwos%2Fwoscc%2Ffull-record%2FWOS:000259085900035","View Full Record in Web of Science")</f>
        <v>View Full Record in Web of Science</v>
      </c>
    </row>
    <row r="58" ht="12.75" customHeight="1">
      <c r="A58" s="8" t="s">
        <v>967</v>
      </c>
      <c r="B58" s="8" t="s">
        <v>1948</v>
      </c>
      <c r="C58" s="8" t="s">
        <v>969</v>
      </c>
      <c r="D58" s="8" t="s">
        <v>969</v>
      </c>
      <c r="E58" s="8" t="s">
        <v>969</v>
      </c>
      <c r="F58" s="8" t="s">
        <v>1949</v>
      </c>
      <c r="G58" s="8" t="s">
        <v>969</v>
      </c>
      <c r="H58" s="8" t="s">
        <v>969</v>
      </c>
      <c r="I58" s="8" t="s">
        <v>1950</v>
      </c>
      <c r="J58" s="8" t="s">
        <v>1951</v>
      </c>
      <c r="K58" s="8" t="s">
        <v>969</v>
      </c>
      <c r="L58" s="8" t="s">
        <v>969</v>
      </c>
      <c r="M58" s="8" t="s">
        <v>972</v>
      </c>
      <c r="N58" s="8" t="s">
        <v>973</v>
      </c>
      <c r="O58" s="8" t="s">
        <v>969</v>
      </c>
      <c r="P58" s="8" t="s">
        <v>969</v>
      </c>
      <c r="Q58" s="8" t="s">
        <v>969</v>
      </c>
      <c r="R58" s="8" t="s">
        <v>969</v>
      </c>
      <c r="S58" s="8" t="s">
        <v>969</v>
      </c>
      <c r="T58" s="8" t="s">
        <v>969</v>
      </c>
      <c r="U58" s="8" t="s">
        <v>1952</v>
      </c>
      <c r="V58" s="8" t="s">
        <v>1953</v>
      </c>
      <c r="W58" s="8" t="s">
        <v>1954</v>
      </c>
      <c r="X58" s="8" t="s">
        <v>1955</v>
      </c>
      <c r="Y58" s="8" t="s">
        <v>1956</v>
      </c>
      <c r="Z58" s="8" t="s">
        <v>1957</v>
      </c>
      <c r="AA58" s="8" t="s">
        <v>1958</v>
      </c>
      <c r="AB58" s="8" t="s">
        <v>1959</v>
      </c>
      <c r="AC58" s="8" t="s">
        <v>1960</v>
      </c>
      <c r="AD58" s="8" t="s">
        <v>1961</v>
      </c>
      <c r="AE58" s="8" t="s">
        <v>1962</v>
      </c>
      <c r="AF58" s="8" t="s">
        <v>969</v>
      </c>
      <c r="AG58" s="8">
        <v>32.0</v>
      </c>
      <c r="AH58" s="8">
        <v>985.0</v>
      </c>
      <c r="AI58" s="8">
        <v>1170.0</v>
      </c>
      <c r="AJ58" s="8">
        <v>7.0</v>
      </c>
      <c r="AK58" s="8">
        <v>547.0</v>
      </c>
      <c r="AL58" s="8" t="s">
        <v>1963</v>
      </c>
      <c r="AM58" s="8" t="s">
        <v>1388</v>
      </c>
      <c r="AN58" s="8" t="s">
        <v>1964</v>
      </c>
      <c r="AO58" s="8" t="s">
        <v>1965</v>
      </c>
      <c r="AP58" s="8" t="s">
        <v>1966</v>
      </c>
      <c r="AQ58" s="8" t="s">
        <v>969</v>
      </c>
      <c r="AR58" s="8" t="s">
        <v>1951</v>
      </c>
      <c r="AS58" s="8" t="s">
        <v>1967</v>
      </c>
      <c r="AT58" s="8" t="s">
        <v>1968</v>
      </c>
      <c r="AU58" s="8">
        <v>2008.0</v>
      </c>
      <c r="AV58" s="8">
        <v>322.0</v>
      </c>
      <c r="AW58" s="8">
        <v>5899.0</v>
      </c>
      <c r="AX58" s="8" t="s">
        <v>969</v>
      </c>
      <c r="AY58" s="8" t="s">
        <v>969</v>
      </c>
      <c r="AZ58" s="8" t="s">
        <v>969</v>
      </c>
      <c r="BA58" s="8" t="s">
        <v>969</v>
      </c>
      <c r="BB58" s="8">
        <v>258.0</v>
      </c>
      <c r="BC58" s="8">
        <v>261.0</v>
      </c>
      <c r="BD58" s="8" t="s">
        <v>969</v>
      </c>
      <c r="BE58" s="8" t="s">
        <v>797</v>
      </c>
      <c r="BF58" s="13" t="str">
        <f>HYPERLINK("http://dx.doi.org/10.1126/science.1162547","http://dx.doi.org/10.1126/science.1162547")</f>
        <v>http://dx.doi.org/10.1126/science.1162547</v>
      </c>
      <c r="BG58" s="8" t="s">
        <v>969</v>
      </c>
      <c r="BH58" s="8" t="s">
        <v>969</v>
      </c>
      <c r="BI58" s="8">
        <v>4.0</v>
      </c>
      <c r="BJ58" s="8" t="s">
        <v>1076</v>
      </c>
      <c r="BK58" s="8" t="s">
        <v>988</v>
      </c>
      <c r="BL58" s="8" t="s">
        <v>1077</v>
      </c>
      <c r="BM58" s="8" t="s">
        <v>1969</v>
      </c>
      <c r="BN58" s="8">
        <v>1.8845754E7</v>
      </c>
      <c r="BO58" s="8" t="s">
        <v>969</v>
      </c>
      <c r="BP58" s="8" t="s">
        <v>969</v>
      </c>
      <c r="BQ58" s="8" t="s">
        <v>969</v>
      </c>
      <c r="BR58" s="8" t="s">
        <v>991</v>
      </c>
      <c r="BS58" s="8" t="s">
        <v>1970</v>
      </c>
      <c r="BT58" s="8" t="s">
        <v>993</v>
      </c>
      <c r="BU58" s="8" t="s">
        <v>1356</v>
      </c>
      <c r="BW58" s="8" t="s">
        <v>96</v>
      </c>
      <c r="BX58" s="8" t="s">
        <v>1586</v>
      </c>
      <c r="CA58" s="8" t="str">
        <f>HYPERLINK("https%3A%2F%2Fwww.webofscience.com%2Fwos%2Fwoscc%2Ffull-record%2FWOS:000259902300048","View Full Record in Web of Science")</f>
        <v>View Full Record in Web of Science</v>
      </c>
    </row>
    <row r="59" ht="12.75" customHeight="1">
      <c r="A59" s="8" t="s">
        <v>967</v>
      </c>
      <c r="B59" s="8" t="s">
        <v>1971</v>
      </c>
      <c r="C59" s="8" t="s">
        <v>969</v>
      </c>
      <c r="D59" s="8" t="s">
        <v>969</v>
      </c>
      <c r="E59" s="8" t="s">
        <v>969</v>
      </c>
      <c r="F59" s="8" t="s">
        <v>1972</v>
      </c>
      <c r="G59" s="8" t="s">
        <v>969</v>
      </c>
      <c r="H59" s="8" t="s">
        <v>969</v>
      </c>
      <c r="I59" s="8" t="s">
        <v>1973</v>
      </c>
      <c r="J59" s="8" t="s">
        <v>1974</v>
      </c>
      <c r="K59" s="8" t="s">
        <v>969</v>
      </c>
      <c r="L59" s="8" t="s">
        <v>969</v>
      </c>
      <c r="M59" s="8" t="s">
        <v>972</v>
      </c>
      <c r="N59" s="8" t="s">
        <v>973</v>
      </c>
      <c r="O59" s="8" t="s">
        <v>969</v>
      </c>
      <c r="P59" s="8" t="s">
        <v>969</v>
      </c>
      <c r="Q59" s="8" t="s">
        <v>969</v>
      </c>
      <c r="R59" s="8" t="s">
        <v>969</v>
      </c>
      <c r="S59" s="8" t="s">
        <v>969</v>
      </c>
      <c r="T59" s="8" t="s">
        <v>969</v>
      </c>
      <c r="U59" s="8" t="s">
        <v>969</v>
      </c>
      <c r="V59" s="8" t="s">
        <v>1975</v>
      </c>
      <c r="W59" s="8" t="s">
        <v>1976</v>
      </c>
      <c r="X59" s="8" t="s">
        <v>1977</v>
      </c>
      <c r="Y59" s="8" t="s">
        <v>1978</v>
      </c>
      <c r="Z59" s="8" t="s">
        <v>1979</v>
      </c>
      <c r="AA59" s="8" t="s">
        <v>1980</v>
      </c>
      <c r="AB59" s="8" t="s">
        <v>1981</v>
      </c>
      <c r="AC59" s="8" t="s">
        <v>1982</v>
      </c>
      <c r="AD59" s="8" t="s">
        <v>1983</v>
      </c>
      <c r="AE59" s="8" t="s">
        <v>1984</v>
      </c>
      <c r="AF59" s="8" t="s">
        <v>969</v>
      </c>
      <c r="AG59" s="8">
        <v>47.0</v>
      </c>
      <c r="AH59" s="8">
        <v>220.0</v>
      </c>
      <c r="AI59" s="8">
        <v>245.0</v>
      </c>
      <c r="AJ59" s="8">
        <v>0.0</v>
      </c>
      <c r="AK59" s="8">
        <v>96.0</v>
      </c>
      <c r="AL59" s="8" t="s">
        <v>1985</v>
      </c>
      <c r="AM59" s="8" t="s">
        <v>1986</v>
      </c>
      <c r="AN59" s="8" t="s">
        <v>1987</v>
      </c>
      <c r="AO59" s="8" t="s">
        <v>1988</v>
      </c>
      <c r="AP59" s="8" t="s">
        <v>969</v>
      </c>
      <c r="AQ59" s="8" t="s">
        <v>969</v>
      </c>
      <c r="AR59" s="8" t="s">
        <v>1974</v>
      </c>
      <c r="AS59" s="8" t="s">
        <v>1989</v>
      </c>
      <c r="AT59" s="8" t="s">
        <v>1990</v>
      </c>
      <c r="AU59" s="8">
        <v>2008.0</v>
      </c>
      <c r="AV59" s="8">
        <v>3.0</v>
      </c>
      <c r="AW59" s="8">
        <v>1.0</v>
      </c>
      <c r="AX59" s="8" t="s">
        <v>969</v>
      </c>
      <c r="AY59" s="8" t="s">
        <v>969</v>
      </c>
      <c r="AZ59" s="8" t="s">
        <v>969</v>
      </c>
      <c r="BA59" s="8" t="s">
        <v>969</v>
      </c>
      <c r="BB59" s="8" t="s">
        <v>969</v>
      </c>
      <c r="BC59" s="8" t="s">
        <v>969</v>
      </c>
      <c r="BD59" s="8" t="s">
        <v>1991</v>
      </c>
      <c r="BE59" s="8" t="s">
        <v>809</v>
      </c>
      <c r="BF59" s="13" t="str">
        <f>HYPERLINK("http://dx.doi.org/10.1371/journal.pone.0001439","http://dx.doi.org/10.1371/journal.pone.0001439")</f>
        <v>http://dx.doi.org/10.1371/journal.pone.0001439</v>
      </c>
      <c r="BG59" s="8" t="s">
        <v>969</v>
      </c>
      <c r="BH59" s="8" t="s">
        <v>969</v>
      </c>
      <c r="BI59" s="8">
        <v>11.0</v>
      </c>
      <c r="BJ59" s="8" t="s">
        <v>1076</v>
      </c>
      <c r="BK59" s="8" t="s">
        <v>988</v>
      </c>
      <c r="BL59" s="8" t="s">
        <v>1077</v>
      </c>
      <c r="BM59" s="8" t="s">
        <v>1992</v>
      </c>
      <c r="BN59" s="8">
        <v>1.819725E7</v>
      </c>
      <c r="BO59" s="8" t="s">
        <v>1993</v>
      </c>
      <c r="BP59" s="8" t="s">
        <v>969</v>
      </c>
      <c r="BQ59" s="8" t="s">
        <v>969</v>
      </c>
      <c r="BR59" s="8" t="s">
        <v>991</v>
      </c>
      <c r="BS59" s="8" t="s">
        <v>1994</v>
      </c>
      <c r="BT59" s="8" t="s">
        <v>1021</v>
      </c>
      <c r="BW59" s="8" t="s">
        <v>81</v>
      </c>
      <c r="BX59" s="8" t="s">
        <v>995</v>
      </c>
      <c r="BY59" s="8" t="s">
        <v>996</v>
      </c>
      <c r="BZ59" s="8" t="s">
        <v>1180</v>
      </c>
      <c r="CA59" s="8" t="str">
        <f>HYPERLINK("https%3A%2F%2Fwww.webofscience.com%2Fwos%2Fwoscc%2Ffull-record%2FWOS:000260503800011","View Full Record in Web of Science")</f>
        <v>View Full Record in Web of Science</v>
      </c>
    </row>
    <row r="60" ht="12.75" customHeight="1">
      <c r="A60" s="8" t="s">
        <v>967</v>
      </c>
      <c r="B60" s="8" t="s">
        <v>1995</v>
      </c>
      <c r="C60" s="8" t="s">
        <v>969</v>
      </c>
      <c r="D60" s="8" t="s">
        <v>969</v>
      </c>
      <c r="E60" s="8" t="s">
        <v>969</v>
      </c>
      <c r="F60" s="8" t="s">
        <v>1996</v>
      </c>
      <c r="G60" s="8" t="s">
        <v>969</v>
      </c>
      <c r="H60" s="8" t="s">
        <v>969</v>
      </c>
      <c r="I60" s="8" t="s">
        <v>1997</v>
      </c>
      <c r="J60" s="8" t="s">
        <v>1998</v>
      </c>
      <c r="K60" s="8" t="s">
        <v>969</v>
      </c>
      <c r="L60" s="8" t="s">
        <v>969</v>
      </c>
      <c r="M60" s="8" t="s">
        <v>972</v>
      </c>
      <c r="N60" s="8" t="s">
        <v>973</v>
      </c>
      <c r="O60" s="8" t="s">
        <v>969</v>
      </c>
      <c r="P60" s="8" t="s">
        <v>969</v>
      </c>
      <c r="Q60" s="8" t="s">
        <v>969</v>
      </c>
      <c r="R60" s="8" t="s">
        <v>969</v>
      </c>
      <c r="S60" s="8" t="s">
        <v>969</v>
      </c>
      <c r="T60" s="8" t="s">
        <v>969</v>
      </c>
      <c r="U60" s="8" t="s">
        <v>1999</v>
      </c>
      <c r="V60" s="8" t="s">
        <v>2000</v>
      </c>
      <c r="W60" s="8" t="s">
        <v>2001</v>
      </c>
      <c r="X60" s="8" t="s">
        <v>1220</v>
      </c>
      <c r="Y60" s="8" t="s">
        <v>2002</v>
      </c>
      <c r="Z60" s="8" t="s">
        <v>2003</v>
      </c>
      <c r="AA60" s="8" t="s">
        <v>2004</v>
      </c>
      <c r="AB60" s="8" t="s">
        <v>2005</v>
      </c>
      <c r="AC60" s="8" t="s">
        <v>2006</v>
      </c>
      <c r="AD60" s="8" t="s">
        <v>2006</v>
      </c>
      <c r="AE60" s="8" t="s">
        <v>2007</v>
      </c>
      <c r="AF60" s="8" t="s">
        <v>969</v>
      </c>
      <c r="AG60" s="8">
        <v>64.0</v>
      </c>
      <c r="AH60" s="8">
        <v>17.0</v>
      </c>
      <c r="AI60" s="8">
        <v>19.0</v>
      </c>
      <c r="AJ60" s="8">
        <v>0.0</v>
      </c>
      <c r="AK60" s="8">
        <v>37.0</v>
      </c>
      <c r="AL60" s="8" t="s">
        <v>1755</v>
      </c>
      <c r="AM60" s="8" t="s">
        <v>1756</v>
      </c>
      <c r="AN60" s="8" t="s">
        <v>1757</v>
      </c>
      <c r="AO60" s="8" t="s">
        <v>2008</v>
      </c>
      <c r="AP60" s="8" t="s">
        <v>969</v>
      </c>
      <c r="AQ60" s="8" t="s">
        <v>969</v>
      </c>
      <c r="AR60" s="8" t="s">
        <v>2009</v>
      </c>
      <c r="AS60" s="8" t="s">
        <v>2010</v>
      </c>
      <c r="AT60" s="8" t="s">
        <v>2011</v>
      </c>
      <c r="AU60" s="8">
        <v>2008.0</v>
      </c>
      <c r="AV60" s="8">
        <v>81.0</v>
      </c>
      <c r="AW60" s="8">
        <v>6.0</v>
      </c>
      <c r="AX60" s="8" t="s">
        <v>969</v>
      </c>
      <c r="AY60" s="8" t="s">
        <v>969</v>
      </c>
      <c r="AZ60" s="8" t="s">
        <v>969</v>
      </c>
      <c r="BA60" s="8" t="s">
        <v>969</v>
      </c>
      <c r="BB60" s="8">
        <v>880.0</v>
      </c>
      <c r="BC60" s="8">
        <v>890.0</v>
      </c>
      <c r="BD60" s="8" t="s">
        <v>969</v>
      </c>
      <c r="BE60" s="8" t="s">
        <v>650</v>
      </c>
      <c r="BF60" s="13" t="str">
        <f>HYPERLINK("http://dx.doi.org/10.1086/588171","http://dx.doi.org/10.1086/588171")</f>
        <v>http://dx.doi.org/10.1086/588171</v>
      </c>
      <c r="BG60" s="8" t="s">
        <v>969</v>
      </c>
      <c r="BH60" s="8" t="s">
        <v>969</v>
      </c>
      <c r="BI60" s="8">
        <v>11.0</v>
      </c>
      <c r="BJ60" s="8" t="s">
        <v>2012</v>
      </c>
      <c r="BK60" s="8" t="s">
        <v>988</v>
      </c>
      <c r="BL60" s="8" t="s">
        <v>2012</v>
      </c>
      <c r="BM60" s="8" t="s">
        <v>2013</v>
      </c>
      <c r="BN60" s="8">
        <v>1.8937565E7</v>
      </c>
      <c r="BO60" s="8" t="s">
        <v>969</v>
      </c>
      <c r="BP60" s="8" t="s">
        <v>969</v>
      </c>
      <c r="BQ60" s="8" t="s">
        <v>969</v>
      </c>
      <c r="BR60" s="8" t="s">
        <v>991</v>
      </c>
      <c r="BS60" s="8" t="s">
        <v>2014</v>
      </c>
      <c r="BT60" s="8" t="s">
        <v>1115</v>
      </c>
      <c r="BU60" s="8" t="s">
        <v>1116</v>
      </c>
      <c r="BV60" s="8" t="s">
        <v>1117</v>
      </c>
      <c r="BW60" s="8" t="s">
        <v>56</v>
      </c>
      <c r="BX60" s="8" t="s">
        <v>995</v>
      </c>
      <c r="BY60" s="8" t="s">
        <v>996</v>
      </c>
      <c r="BZ60" s="8" t="s">
        <v>997</v>
      </c>
      <c r="CA60" s="8" t="str">
        <f>HYPERLINK("https%3A%2F%2Fwww.webofscience.com%2Fwos%2Fwoscc%2Ffull-record%2FWOS:000260547400015","View Full Record in Web of Science")</f>
        <v>View Full Record in Web of Science</v>
      </c>
    </row>
    <row r="61" ht="12.75" customHeight="1">
      <c r="A61" s="8" t="s">
        <v>967</v>
      </c>
      <c r="B61" s="8" t="s">
        <v>2015</v>
      </c>
      <c r="C61" s="8" t="s">
        <v>969</v>
      </c>
      <c r="D61" s="8" t="s">
        <v>969</v>
      </c>
      <c r="E61" s="8" t="s">
        <v>969</v>
      </c>
      <c r="F61" s="8" t="s">
        <v>2016</v>
      </c>
      <c r="G61" s="8" t="s">
        <v>969</v>
      </c>
      <c r="H61" s="8" t="s">
        <v>969</v>
      </c>
      <c r="I61" s="8" t="s">
        <v>2017</v>
      </c>
      <c r="J61" s="8" t="s">
        <v>2018</v>
      </c>
      <c r="K61" s="8" t="s">
        <v>969</v>
      </c>
      <c r="L61" s="8" t="s">
        <v>969</v>
      </c>
      <c r="M61" s="8" t="s">
        <v>972</v>
      </c>
      <c r="N61" s="8" t="s">
        <v>973</v>
      </c>
      <c r="O61" s="8" t="s">
        <v>969</v>
      </c>
      <c r="P61" s="8" t="s">
        <v>969</v>
      </c>
      <c r="Q61" s="8" t="s">
        <v>969</v>
      </c>
      <c r="R61" s="8" t="s">
        <v>969</v>
      </c>
      <c r="S61" s="8" t="s">
        <v>969</v>
      </c>
      <c r="T61" s="8" t="s">
        <v>2019</v>
      </c>
      <c r="U61" s="8" t="s">
        <v>2020</v>
      </c>
      <c r="V61" s="8" t="s">
        <v>2021</v>
      </c>
      <c r="W61" s="8" t="s">
        <v>2022</v>
      </c>
      <c r="X61" s="8" t="s">
        <v>2023</v>
      </c>
      <c r="Y61" s="8" t="s">
        <v>2024</v>
      </c>
      <c r="Z61" s="8" t="s">
        <v>2025</v>
      </c>
      <c r="AA61" s="8" t="s">
        <v>2026</v>
      </c>
      <c r="AB61" s="8" t="s">
        <v>2027</v>
      </c>
      <c r="AC61" s="8" t="s">
        <v>2028</v>
      </c>
      <c r="AD61" s="8" t="s">
        <v>2029</v>
      </c>
      <c r="AE61" s="8" t="s">
        <v>2030</v>
      </c>
      <c r="AF61" s="8" t="s">
        <v>969</v>
      </c>
      <c r="AG61" s="8">
        <v>49.0</v>
      </c>
      <c r="AH61" s="8">
        <v>334.0</v>
      </c>
      <c r="AI61" s="8">
        <v>384.0</v>
      </c>
      <c r="AJ61" s="8">
        <v>1.0</v>
      </c>
      <c r="AK61" s="8">
        <v>203.0</v>
      </c>
      <c r="AL61" s="8" t="s">
        <v>2031</v>
      </c>
      <c r="AM61" s="8" t="s">
        <v>1388</v>
      </c>
      <c r="AN61" s="8" t="s">
        <v>2032</v>
      </c>
      <c r="AO61" s="8" t="s">
        <v>2033</v>
      </c>
      <c r="AP61" s="8" t="s">
        <v>2034</v>
      </c>
      <c r="AQ61" s="8" t="s">
        <v>969</v>
      </c>
      <c r="AR61" s="8" t="s">
        <v>2018</v>
      </c>
      <c r="AS61" s="8" t="s">
        <v>1267</v>
      </c>
      <c r="AT61" s="8" t="s">
        <v>986</v>
      </c>
      <c r="AU61" s="8">
        <v>2008.0</v>
      </c>
      <c r="AV61" s="8">
        <v>89.0</v>
      </c>
      <c r="AW61" s="8">
        <v>12.0</v>
      </c>
      <c r="AX61" s="8" t="s">
        <v>969</v>
      </c>
      <c r="AY61" s="8" t="s">
        <v>969</v>
      </c>
      <c r="AZ61" s="8" t="s">
        <v>969</v>
      </c>
      <c r="BA61" s="8" t="s">
        <v>969</v>
      </c>
      <c r="BB61" s="8">
        <v>3472.0</v>
      </c>
      <c r="BC61" s="8">
        <v>3479.0</v>
      </c>
      <c r="BD61" s="8" t="s">
        <v>969</v>
      </c>
      <c r="BE61" s="8" t="s">
        <v>836</v>
      </c>
      <c r="BF61" s="13" t="str">
        <f>HYPERLINK("http://dx.doi.org/10.1890/07-1748.1","http://dx.doi.org/10.1890/07-1748.1")</f>
        <v>http://dx.doi.org/10.1890/07-1748.1</v>
      </c>
      <c r="BG61" s="8" t="s">
        <v>969</v>
      </c>
      <c r="BH61" s="8" t="s">
        <v>969</v>
      </c>
      <c r="BI61" s="8">
        <v>8.0</v>
      </c>
      <c r="BJ61" s="8" t="s">
        <v>1267</v>
      </c>
      <c r="BK61" s="8" t="s">
        <v>988</v>
      </c>
      <c r="BL61" s="8" t="s">
        <v>1268</v>
      </c>
      <c r="BM61" s="8" t="s">
        <v>2035</v>
      </c>
      <c r="BN61" s="8">
        <v>1.9137952E7</v>
      </c>
      <c r="BO61" s="8" t="s">
        <v>969</v>
      </c>
      <c r="BP61" s="8" t="s">
        <v>969</v>
      </c>
      <c r="BQ61" s="8" t="s">
        <v>969</v>
      </c>
      <c r="BR61" s="8" t="s">
        <v>991</v>
      </c>
      <c r="BS61" s="8" t="s">
        <v>2036</v>
      </c>
      <c r="BT61" s="8" t="s">
        <v>1021</v>
      </c>
      <c r="BW61" s="8" t="s">
        <v>96</v>
      </c>
      <c r="BX61" s="8" t="s">
        <v>1586</v>
      </c>
      <c r="CA61" s="8" t="str">
        <f>HYPERLINK("https%3A%2F%2Fwww.webofscience.com%2Fwos%2Fwoscc%2Ffull-record%2FWOS:000261524000021","View Full Record in Web of Science")</f>
        <v>View Full Record in Web of Science</v>
      </c>
    </row>
    <row r="62" ht="12.75" customHeight="1">
      <c r="A62" s="8" t="s">
        <v>967</v>
      </c>
      <c r="B62" s="8" t="s">
        <v>2037</v>
      </c>
      <c r="C62" s="8" t="s">
        <v>969</v>
      </c>
      <c r="D62" s="8" t="s">
        <v>969</v>
      </c>
      <c r="E62" s="8" t="s">
        <v>969</v>
      </c>
      <c r="F62" s="8" t="s">
        <v>2038</v>
      </c>
      <c r="G62" s="8" t="s">
        <v>969</v>
      </c>
      <c r="H62" s="8" t="s">
        <v>969</v>
      </c>
      <c r="I62" s="8" t="s">
        <v>2039</v>
      </c>
      <c r="J62" s="8" t="s">
        <v>1974</v>
      </c>
      <c r="K62" s="8" t="s">
        <v>969</v>
      </c>
      <c r="L62" s="8" t="s">
        <v>969</v>
      </c>
      <c r="M62" s="8" t="s">
        <v>972</v>
      </c>
      <c r="N62" s="8" t="s">
        <v>973</v>
      </c>
      <c r="O62" s="8" t="s">
        <v>969</v>
      </c>
      <c r="P62" s="8" t="s">
        <v>969</v>
      </c>
      <c r="Q62" s="8" t="s">
        <v>969</v>
      </c>
      <c r="R62" s="8" t="s">
        <v>969</v>
      </c>
      <c r="S62" s="8" t="s">
        <v>969</v>
      </c>
      <c r="T62" s="8" t="s">
        <v>969</v>
      </c>
      <c r="U62" s="8" t="s">
        <v>2040</v>
      </c>
      <c r="V62" s="8" t="s">
        <v>2041</v>
      </c>
      <c r="W62" s="8" t="s">
        <v>2042</v>
      </c>
      <c r="X62" s="8" t="s">
        <v>2043</v>
      </c>
      <c r="Y62" s="8" t="s">
        <v>2044</v>
      </c>
      <c r="Z62" s="8" t="s">
        <v>2045</v>
      </c>
      <c r="AA62" s="8" t="s">
        <v>2046</v>
      </c>
      <c r="AB62" s="8" t="s">
        <v>2047</v>
      </c>
      <c r="AC62" s="8" t="s">
        <v>969</v>
      </c>
      <c r="AD62" s="8" t="s">
        <v>969</v>
      </c>
      <c r="AE62" s="8" t="s">
        <v>969</v>
      </c>
      <c r="AF62" s="8" t="s">
        <v>969</v>
      </c>
      <c r="AG62" s="8">
        <v>65.0</v>
      </c>
      <c r="AH62" s="8">
        <v>343.0</v>
      </c>
      <c r="AI62" s="8">
        <v>448.0</v>
      </c>
      <c r="AJ62" s="8">
        <v>0.0</v>
      </c>
      <c r="AK62" s="8">
        <v>122.0</v>
      </c>
      <c r="AL62" s="8" t="s">
        <v>1985</v>
      </c>
      <c r="AM62" s="8" t="s">
        <v>1986</v>
      </c>
      <c r="AN62" s="8" t="s">
        <v>1987</v>
      </c>
      <c r="AO62" s="8" t="s">
        <v>1988</v>
      </c>
      <c r="AP62" s="8" t="s">
        <v>969</v>
      </c>
      <c r="AQ62" s="8" t="s">
        <v>969</v>
      </c>
      <c r="AR62" s="8" t="s">
        <v>1974</v>
      </c>
      <c r="AS62" s="8" t="s">
        <v>1989</v>
      </c>
      <c r="AT62" s="8" t="s">
        <v>2048</v>
      </c>
      <c r="AU62" s="8">
        <v>2008.0</v>
      </c>
      <c r="AV62" s="8">
        <v>3.0</v>
      </c>
      <c r="AW62" s="8">
        <v>6.0</v>
      </c>
      <c r="AX62" s="8" t="s">
        <v>969</v>
      </c>
      <c r="AY62" s="8" t="s">
        <v>969</v>
      </c>
      <c r="AZ62" s="8" t="s">
        <v>969</v>
      </c>
      <c r="BA62" s="8" t="s">
        <v>969</v>
      </c>
      <c r="BB62" s="8" t="s">
        <v>969</v>
      </c>
      <c r="BC62" s="8" t="s">
        <v>969</v>
      </c>
      <c r="BD62" s="8" t="s">
        <v>2049</v>
      </c>
      <c r="BE62" s="8" t="s">
        <v>812</v>
      </c>
      <c r="BF62" s="13" t="str">
        <f>HYPERLINK("http://dx.doi.org/10.1371/journal.pone.0002502","http://dx.doi.org/10.1371/journal.pone.0002502")</f>
        <v>http://dx.doi.org/10.1371/journal.pone.0002502</v>
      </c>
      <c r="BG62" s="8" t="s">
        <v>969</v>
      </c>
      <c r="BH62" s="8" t="s">
        <v>969</v>
      </c>
      <c r="BI62" s="8">
        <v>10.0</v>
      </c>
      <c r="BJ62" s="8" t="s">
        <v>1076</v>
      </c>
      <c r="BK62" s="8" t="s">
        <v>988</v>
      </c>
      <c r="BL62" s="8" t="s">
        <v>1077</v>
      </c>
      <c r="BM62" s="8" t="s">
        <v>2050</v>
      </c>
      <c r="BN62" s="8">
        <v>1.8648541E7</v>
      </c>
      <c r="BO62" s="8" t="s">
        <v>1140</v>
      </c>
      <c r="BP62" s="8" t="s">
        <v>969</v>
      </c>
      <c r="BQ62" s="8" t="s">
        <v>969</v>
      </c>
      <c r="BR62" s="8" t="s">
        <v>991</v>
      </c>
      <c r="BS62" s="8" t="s">
        <v>2051</v>
      </c>
      <c r="BT62" s="8" t="s">
        <v>993</v>
      </c>
      <c r="BU62" s="8" t="s">
        <v>994</v>
      </c>
      <c r="BW62" s="8" t="s">
        <v>51</v>
      </c>
      <c r="BX62" s="8" t="s">
        <v>1022</v>
      </c>
      <c r="CA62" s="8" t="str">
        <f>HYPERLINK("https%3A%2F%2Fwww.webofscience.com%2Fwos%2Fwoscc%2Ffull-record%2FWOS:000263288000024","View Full Record in Web of Science")</f>
        <v>View Full Record in Web of Science</v>
      </c>
    </row>
    <row r="63" ht="12.75" customHeight="1">
      <c r="A63" s="8" t="s">
        <v>967</v>
      </c>
      <c r="B63" s="8" t="s">
        <v>2052</v>
      </c>
      <c r="C63" s="8" t="s">
        <v>969</v>
      </c>
      <c r="D63" s="8" t="s">
        <v>969</v>
      </c>
      <c r="E63" s="8" t="s">
        <v>969</v>
      </c>
      <c r="F63" s="8" t="s">
        <v>2053</v>
      </c>
      <c r="G63" s="8" t="s">
        <v>969</v>
      </c>
      <c r="H63" s="8" t="s">
        <v>969</v>
      </c>
      <c r="I63" s="8" t="s">
        <v>2054</v>
      </c>
      <c r="J63" s="8" t="s">
        <v>1120</v>
      </c>
      <c r="K63" s="8" t="s">
        <v>969</v>
      </c>
      <c r="L63" s="8" t="s">
        <v>969</v>
      </c>
      <c r="M63" s="8" t="s">
        <v>972</v>
      </c>
      <c r="N63" s="8" t="s">
        <v>973</v>
      </c>
      <c r="O63" s="8" t="s">
        <v>969</v>
      </c>
      <c r="P63" s="8" t="s">
        <v>969</v>
      </c>
      <c r="Q63" s="8" t="s">
        <v>969</v>
      </c>
      <c r="R63" s="8" t="s">
        <v>969</v>
      </c>
      <c r="S63" s="8" t="s">
        <v>969</v>
      </c>
      <c r="T63" s="8" t="s">
        <v>2055</v>
      </c>
      <c r="U63" s="8" t="s">
        <v>2056</v>
      </c>
      <c r="V63" s="8" t="s">
        <v>2057</v>
      </c>
      <c r="W63" s="8" t="s">
        <v>2058</v>
      </c>
      <c r="X63" s="8" t="s">
        <v>2059</v>
      </c>
      <c r="Y63" s="8" t="s">
        <v>2060</v>
      </c>
      <c r="Z63" s="8" t="s">
        <v>2061</v>
      </c>
      <c r="AA63" s="8" t="s">
        <v>2062</v>
      </c>
      <c r="AB63" s="8" t="s">
        <v>2063</v>
      </c>
      <c r="AC63" s="8" t="s">
        <v>2064</v>
      </c>
      <c r="AD63" s="8" t="s">
        <v>2065</v>
      </c>
      <c r="AE63" s="8" t="s">
        <v>2066</v>
      </c>
      <c r="AF63" s="8" t="s">
        <v>969</v>
      </c>
      <c r="AG63" s="8">
        <v>36.0</v>
      </c>
      <c r="AH63" s="8">
        <v>260.0</v>
      </c>
      <c r="AI63" s="8">
        <v>293.0</v>
      </c>
      <c r="AJ63" s="8">
        <v>0.0</v>
      </c>
      <c r="AK63" s="8">
        <v>238.0</v>
      </c>
      <c r="AL63" s="8" t="s">
        <v>1130</v>
      </c>
      <c r="AM63" s="8" t="s">
        <v>1071</v>
      </c>
      <c r="AN63" s="8" t="s">
        <v>1131</v>
      </c>
      <c r="AO63" s="8" t="s">
        <v>1132</v>
      </c>
      <c r="AP63" s="8" t="s">
        <v>1133</v>
      </c>
      <c r="AQ63" s="8" t="s">
        <v>969</v>
      </c>
      <c r="AR63" s="8" t="s">
        <v>1134</v>
      </c>
      <c r="AS63" s="8" t="s">
        <v>1135</v>
      </c>
      <c r="AT63" s="8" t="s">
        <v>2067</v>
      </c>
      <c r="AU63" s="8">
        <v>2009.0</v>
      </c>
      <c r="AV63" s="8">
        <v>276.0</v>
      </c>
      <c r="AW63" s="8">
        <v>1661.0</v>
      </c>
      <c r="AX63" s="8" t="s">
        <v>969</v>
      </c>
      <c r="AY63" s="8" t="s">
        <v>969</v>
      </c>
      <c r="AZ63" s="8" t="s">
        <v>969</v>
      </c>
      <c r="BA63" s="8" t="s">
        <v>969</v>
      </c>
      <c r="BB63" s="8">
        <v>1415.0</v>
      </c>
      <c r="BC63" s="8">
        <v>1420.0</v>
      </c>
      <c r="BD63" s="8" t="s">
        <v>969</v>
      </c>
      <c r="BE63" s="8" t="s">
        <v>662</v>
      </c>
      <c r="BF63" s="13" t="str">
        <f>HYPERLINK("http://dx.doi.org/10.1098/rspb.2008.1681","http://dx.doi.org/10.1098/rspb.2008.1681")</f>
        <v>http://dx.doi.org/10.1098/rspb.2008.1681</v>
      </c>
      <c r="BG63" s="8" t="s">
        <v>969</v>
      </c>
      <c r="BH63" s="8" t="s">
        <v>969</v>
      </c>
      <c r="BI63" s="8">
        <v>6.0</v>
      </c>
      <c r="BJ63" s="8" t="s">
        <v>1137</v>
      </c>
      <c r="BK63" s="8" t="s">
        <v>988</v>
      </c>
      <c r="BL63" s="8" t="s">
        <v>1138</v>
      </c>
      <c r="BM63" s="8" t="s">
        <v>2068</v>
      </c>
      <c r="BN63" s="8">
        <v>1.9324811E7</v>
      </c>
      <c r="BO63" s="8" t="s">
        <v>1227</v>
      </c>
      <c r="BP63" s="8" t="s">
        <v>969</v>
      </c>
      <c r="BQ63" s="8" t="s">
        <v>969</v>
      </c>
      <c r="BR63" s="8" t="s">
        <v>991</v>
      </c>
      <c r="BS63" s="8" t="s">
        <v>2069</v>
      </c>
      <c r="BT63" s="8" t="s">
        <v>993</v>
      </c>
      <c r="BU63" s="8" t="s">
        <v>994</v>
      </c>
      <c r="BW63" s="8" t="s">
        <v>56</v>
      </c>
      <c r="BX63" s="8" t="s">
        <v>995</v>
      </c>
      <c r="BY63" s="8" t="s">
        <v>996</v>
      </c>
      <c r="BZ63" s="8" t="s">
        <v>997</v>
      </c>
      <c r="CA63" s="8" t="str">
        <f>HYPERLINK("https%3A%2F%2Fwww.webofscience.com%2Fwos%2Fwoscc%2Ffull-record%2FWOS:000264351900004","View Full Record in Web of Science")</f>
        <v>View Full Record in Web of Science</v>
      </c>
    </row>
    <row r="64" ht="12.75" customHeight="1">
      <c r="A64" s="8" t="s">
        <v>967</v>
      </c>
      <c r="B64" s="8" t="s">
        <v>2070</v>
      </c>
      <c r="C64" s="8" t="s">
        <v>969</v>
      </c>
      <c r="D64" s="8" t="s">
        <v>969</v>
      </c>
      <c r="E64" s="8" t="s">
        <v>969</v>
      </c>
      <c r="F64" s="8" t="s">
        <v>2071</v>
      </c>
      <c r="G64" s="8" t="s">
        <v>969</v>
      </c>
      <c r="H64" s="8" t="s">
        <v>969</v>
      </c>
      <c r="I64" s="8" t="s">
        <v>2072</v>
      </c>
      <c r="J64" s="8" t="s">
        <v>1273</v>
      </c>
      <c r="K64" s="8" t="s">
        <v>969</v>
      </c>
      <c r="L64" s="8" t="s">
        <v>969</v>
      </c>
      <c r="M64" s="8" t="s">
        <v>972</v>
      </c>
      <c r="N64" s="8" t="s">
        <v>973</v>
      </c>
      <c r="O64" s="8" t="s">
        <v>969</v>
      </c>
      <c r="P64" s="8" t="s">
        <v>969</v>
      </c>
      <c r="Q64" s="8" t="s">
        <v>969</v>
      </c>
      <c r="R64" s="8" t="s">
        <v>969</v>
      </c>
      <c r="S64" s="8" t="s">
        <v>969</v>
      </c>
      <c r="T64" s="8" t="s">
        <v>969</v>
      </c>
      <c r="U64" s="8" t="s">
        <v>2073</v>
      </c>
      <c r="V64" s="8" t="s">
        <v>2074</v>
      </c>
      <c r="W64" s="8" t="s">
        <v>2075</v>
      </c>
      <c r="X64" s="8" t="s">
        <v>2076</v>
      </c>
      <c r="Y64" s="8" t="s">
        <v>2077</v>
      </c>
      <c r="Z64" s="8" t="s">
        <v>2078</v>
      </c>
      <c r="AA64" s="8" t="s">
        <v>2079</v>
      </c>
      <c r="AB64" s="8" t="s">
        <v>2080</v>
      </c>
      <c r="AC64" s="8" t="s">
        <v>2081</v>
      </c>
      <c r="AD64" s="8" t="s">
        <v>2082</v>
      </c>
      <c r="AE64" s="8" t="s">
        <v>2083</v>
      </c>
      <c r="AF64" s="8" t="s">
        <v>969</v>
      </c>
      <c r="AG64" s="8">
        <v>55.0</v>
      </c>
      <c r="AH64" s="8">
        <v>239.0</v>
      </c>
      <c r="AI64" s="8">
        <v>267.0</v>
      </c>
      <c r="AJ64" s="8">
        <v>2.0</v>
      </c>
      <c r="AK64" s="8">
        <v>122.0</v>
      </c>
      <c r="AL64" s="8" t="s">
        <v>1091</v>
      </c>
      <c r="AM64" s="8" t="s">
        <v>1092</v>
      </c>
      <c r="AN64" s="8" t="s">
        <v>1093</v>
      </c>
      <c r="AO64" s="8" t="s">
        <v>1282</v>
      </c>
      <c r="AP64" s="8" t="s">
        <v>1283</v>
      </c>
      <c r="AQ64" s="8" t="s">
        <v>969</v>
      </c>
      <c r="AR64" s="8" t="s">
        <v>1273</v>
      </c>
      <c r="AS64" s="8" t="s">
        <v>1284</v>
      </c>
      <c r="AT64" s="8" t="s">
        <v>1036</v>
      </c>
      <c r="AU64" s="8">
        <v>2009.0</v>
      </c>
      <c r="AV64" s="8">
        <v>32.0</v>
      </c>
      <c r="AW64" s="8">
        <v>1.0</v>
      </c>
      <c r="AX64" s="8" t="s">
        <v>969</v>
      </c>
      <c r="AY64" s="8" t="s">
        <v>969</v>
      </c>
      <c r="AZ64" s="8" t="s">
        <v>969</v>
      </c>
      <c r="BA64" s="8" t="s">
        <v>969</v>
      </c>
      <c r="BB64" s="8">
        <v>34.0</v>
      </c>
      <c r="BC64" s="8">
        <v>45.0</v>
      </c>
      <c r="BD64" s="8" t="s">
        <v>969</v>
      </c>
      <c r="BE64" s="8" t="s">
        <v>782</v>
      </c>
      <c r="BF64" s="13" t="str">
        <f>HYPERLINK("http://dx.doi.org/10.1111/j.1600-0587.2009.05789.x","http://dx.doi.org/10.1111/j.1600-0587.2009.05789.x")</f>
        <v>http://dx.doi.org/10.1111/j.1600-0587.2009.05789.x</v>
      </c>
      <c r="BG64" s="8" t="s">
        <v>969</v>
      </c>
      <c r="BH64" s="8" t="s">
        <v>969</v>
      </c>
      <c r="BI64" s="8">
        <v>12.0</v>
      </c>
      <c r="BJ64" s="8" t="s">
        <v>1286</v>
      </c>
      <c r="BK64" s="8" t="s">
        <v>988</v>
      </c>
      <c r="BL64" s="8" t="s">
        <v>989</v>
      </c>
      <c r="BM64" s="8" t="s">
        <v>2084</v>
      </c>
      <c r="BN64" s="8" t="s">
        <v>969</v>
      </c>
      <c r="BO64" s="8" t="s">
        <v>2085</v>
      </c>
      <c r="BP64" s="8" t="s">
        <v>969</v>
      </c>
      <c r="BQ64" s="8" t="s">
        <v>969</v>
      </c>
      <c r="BR64" s="8" t="s">
        <v>991</v>
      </c>
      <c r="BS64" s="8" t="s">
        <v>2086</v>
      </c>
      <c r="BT64" s="8" t="s">
        <v>1021</v>
      </c>
      <c r="BW64" s="8" t="s">
        <v>51</v>
      </c>
      <c r="BX64" s="8" t="s">
        <v>1022</v>
      </c>
      <c r="CA64" s="8" t="str">
        <f>HYPERLINK("https%3A%2F%2Fwww.webofscience.com%2Fwos%2Fwoscc%2Ffull-record%2FWOS:000264880300005","View Full Record in Web of Science")</f>
        <v>View Full Record in Web of Science</v>
      </c>
    </row>
    <row r="65" ht="12.75" customHeight="1">
      <c r="A65" s="8" t="s">
        <v>967</v>
      </c>
      <c r="B65" s="8" t="s">
        <v>2087</v>
      </c>
      <c r="C65" s="8" t="s">
        <v>969</v>
      </c>
      <c r="D65" s="8" t="s">
        <v>969</v>
      </c>
      <c r="E65" s="8" t="s">
        <v>969</v>
      </c>
      <c r="F65" s="8" t="s">
        <v>2088</v>
      </c>
      <c r="G65" s="8" t="s">
        <v>969</v>
      </c>
      <c r="H65" s="8" t="s">
        <v>969</v>
      </c>
      <c r="I65" s="8" t="s">
        <v>2089</v>
      </c>
      <c r="J65" s="8" t="s">
        <v>2090</v>
      </c>
      <c r="K65" s="8" t="s">
        <v>969</v>
      </c>
      <c r="L65" s="8" t="s">
        <v>969</v>
      </c>
      <c r="M65" s="8" t="s">
        <v>972</v>
      </c>
      <c r="N65" s="8" t="s">
        <v>973</v>
      </c>
      <c r="O65" s="8" t="s">
        <v>969</v>
      </c>
      <c r="P65" s="8" t="s">
        <v>969</v>
      </c>
      <c r="Q65" s="8" t="s">
        <v>969</v>
      </c>
      <c r="R65" s="8" t="s">
        <v>969</v>
      </c>
      <c r="S65" s="8" t="s">
        <v>969</v>
      </c>
      <c r="T65" s="8" t="s">
        <v>2091</v>
      </c>
      <c r="U65" s="8" t="s">
        <v>2092</v>
      </c>
      <c r="V65" s="8" t="s">
        <v>2093</v>
      </c>
      <c r="W65" s="8" t="s">
        <v>2094</v>
      </c>
      <c r="X65" s="8" t="s">
        <v>2095</v>
      </c>
      <c r="Y65" s="8" t="s">
        <v>2096</v>
      </c>
      <c r="Z65" s="8" t="s">
        <v>2097</v>
      </c>
      <c r="AA65" s="8" t="s">
        <v>2098</v>
      </c>
      <c r="AB65" s="8" t="s">
        <v>2099</v>
      </c>
      <c r="AC65" s="8" t="s">
        <v>2100</v>
      </c>
      <c r="AD65" s="8" t="s">
        <v>2101</v>
      </c>
      <c r="AE65" s="8" t="s">
        <v>2102</v>
      </c>
      <c r="AF65" s="8" t="s">
        <v>969</v>
      </c>
      <c r="AG65" s="8">
        <v>56.0</v>
      </c>
      <c r="AH65" s="8">
        <v>146.0</v>
      </c>
      <c r="AI65" s="8">
        <v>164.0</v>
      </c>
      <c r="AJ65" s="8">
        <v>1.0</v>
      </c>
      <c r="AK65" s="8">
        <v>88.0</v>
      </c>
      <c r="AL65" s="8" t="s">
        <v>2103</v>
      </c>
      <c r="AM65" s="8" t="s">
        <v>2104</v>
      </c>
      <c r="AN65" s="8" t="s">
        <v>2105</v>
      </c>
      <c r="AO65" s="8" t="s">
        <v>2106</v>
      </c>
      <c r="AP65" s="8" t="s">
        <v>2107</v>
      </c>
      <c r="AQ65" s="8" t="s">
        <v>969</v>
      </c>
      <c r="AR65" s="8" t="s">
        <v>2108</v>
      </c>
      <c r="AS65" s="8" t="s">
        <v>2109</v>
      </c>
      <c r="AT65" s="8" t="s">
        <v>1055</v>
      </c>
      <c r="AU65" s="8">
        <v>2009.0</v>
      </c>
      <c r="AV65" s="8">
        <v>71.0</v>
      </c>
      <c r="AW65" s="8">
        <v>1.0</v>
      </c>
      <c r="AX65" s="8" t="s">
        <v>969</v>
      </c>
      <c r="AY65" s="8" t="s">
        <v>969</v>
      </c>
      <c r="AZ65" s="8" t="s">
        <v>969</v>
      </c>
      <c r="BA65" s="8" t="s">
        <v>969</v>
      </c>
      <c r="BB65" s="8">
        <v>3.0</v>
      </c>
      <c r="BC65" s="8">
        <v>14.0</v>
      </c>
      <c r="BD65" s="8" t="s">
        <v>969</v>
      </c>
      <c r="BE65" s="8" t="s">
        <v>508</v>
      </c>
      <c r="BF65" s="13" t="str">
        <f>HYPERLINK("http://dx.doi.org/10.1007/s00027-009-9159-5","http://dx.doi.org/10.1007/s00027-009-9159-5")</f>
        <v>http://dx.doi.org/10.1007/s00027-009-9159-5</v>
      </c>
      <c r="BG65" s="8" t="s">
        <v>969</v>
      </c>
      <c r="BH65" s="8" t="s">
        <v>969</v>
      </c>
      <c r="BI65" s="8">
        <v>12.0</v>
      </c>
      <c r="BJ65" s="8" t="s">
        <v>2110</v>
      </c>
      <c r="BK65" s="8" t="s">
        <v>988</v>
      </c>
      <c r="BL65" s="8" t="s">
        <v>2111</v>
      </c>
      <c r="BM65" s="8" t="s">
        <v>2112</v>
      </c>
      <c r="BN65" s="8" t="s">
        <v>969</v>
      </c>
      <c r="BO65" s="8" t="s">
        <v>969</v>
      </c>
      <c r="BP65" s="8" t="s">
        <v>969</v>
      </c>
      <c r="BQ65" s="8" t="s">
        <v>969</v>
      </c>
      <c r="BR65" s="8" t="s">
        <v>991</v>
      </c>
      <c r="BS65" s="8" t="s">
        <v>2113</v>
      </c>
      <c r="BT65" s="8" t="s">
        <v>1021</v>
      </c>
      <c r="BW65" s="8" t="s">
        <v>33</v>
      </c>
      <c r="BX65" s="8" t="s">
        <v>995</v>
      </c>
      <c r="CA65" s="8" t="str">
        <f>HYPERLINK("https%3A%2F%2Fwww.webofscience.com%2Fwos%2Fwoscc%2Ffull-record%2FWOS:000265087700002","View Full Record in Web of Science")</f>
        <v>View Full Record in Web of Science</v>
      </c>
    </row>
    <row r="66" ht="12.75" customHeight="1">
      <c r="A66" s="8" t="s">
        <v>967</v>
      </c>
      <c r="B66" s="8" t="s">
        <v>2114</v>
      </c>
      <c r="C66" s="8" t="s">
        <v>969</v>
      </c>
      <c r="D66" s="8" t="s">
        <v>969</v>
      </c>
      <c r="E66" s="8" t="s">
        <v>969</v>
      </c>
      <c r="F66" s="8" t="s">
        <v>2115</v>
      </c>
      <c r="G66" s="8" t="s">
        <v>969</v>
      </c>
      <c r="H66" s="8" t="s">
        <v>969</v>
      </c>
      <c r="I66" s="8" t="s">
        <v>2116</v>
      </c>
      <c r="J66" s="8" t="s">
        <v>971</v>
      </c>
      <c r="K66" s="8" t="s">
        <v>969</v>
      </c>
      <c r="L66" s="8" t="s">
        <v>969</v>
      </c>
      <c r="M66" s="8" t="s">
        <v>972</v>
      </c>
      <c r="N66" s="8" t="s">
        <v>973</v>
      </c>
      <c r="O66" s="8" t="s">
        <v>969</v>
      </c>
      <c r="P66" s="8" t="s">
        <v>969</v>
      </c>
      <c r="Q66" s="8" t="s">
        <v>969</v>
      </c>
      <c r="R66" s="8" t="s">
        <v>969</v>
      </c>
      <c r="S66" s="8" t="s">
        <v>969</v>
      </c>
      <c r="T66" s="8" t="s">
        <v>2117</v>
      </c>
      <c r="U66" s="8" t="s">
        <v>2118</v>
      </c>
      <c r="V66" s="8" t="s">
        <v>2119</v>
      </c>
      <c r="W66" s="8" t="s">
        <v>2120</v>
      </c>
      <c r="X66" s="8" t="s">
        <v>2121</v>
      </c>
      <c r="Y66" s="8" t="s">
        <v>2122</v>
      </c>
      <c r="Z66" s="8" t="s">
        <v>2123</v>
      </c>
      <c r="AA66" s="8" t="s">
        <v>2124</v>
      </c>
      <c r="AB66" s="8" t="s">
        <v>2125</v>
      </c>
      <c r="AC66" s="8" t="s">
        <v>2126</v>
      </c>
      <c r="AD66" s="8" t="s">
        <v>2127</v>
      </c>
      <c r="AE66" s="8" t="s">
        <v>2128</v>
      </c>
      <c r="AF66" s="8" t="s">
        <v>969</v>
      </c>
      <c r="AG66" s="8">
        <v>73.0</v>
      </c>
      <c r="AH66" s="8">
        <v>449.0</v>
      </c>
      <c r="AI66" s="8">
        <v>501.0</v>
      </c>
      <c r="AJ66" s="8">
        <v>2.0</v>
      </c>
      <c r="AK66" s="8">
        <v>300.0</v>
      </c>
      <c r="AL66" s="8" t="s">
        <v>1091</v>
      </c>
      <c r="AM66" s="8" t="s">
        <v>1092</v>
      </c>
      <c r="AN66" s="8" t="s">
        <v>1093</v>
      </c>
      <c r="AO66" s="8" t="s">
        <v>983</v>
      </c>
      <c r="AP66" s="8" t="s">
        <v>1094</v>
      </c>
      <c r="AQ66" s="8" t="s">
        <v>969</v>
      </c>
      <c r="AR66" s="8" t="s">
        <v>1095</v>
      </c>
      <c r="AS66" s="8" t="s">
        <v>985</v>
      </c>
      <c r="AT66" s="8" t="s">
        <v>1285</v>
      </c>
      <c r="AU66" s="8">
        <v>2009.0</v>
      </c>
      <c r="AV66" s="8">
        <v>15.0</v>
      </c>
      <c r="AW66" s="8">
        <v>6.0</v>
      </c>
      <c r="AX66" s="8" t="s">
        <v>969</v>
      </c>
      <c r="AY66" s="8" t="s">
        <v>969</v>
      </c>
      <c r="AZ66" s="8" t="s">
        <v>969</v>
      </c>
      <c r="BA66" s="8" t="s">
        <v>969</v>
      </c>
      <c r="BB66" s="8">
        <v>1557.0</v>
      </c>
      <c r="BC66" s="8">
        <v>1569.0</v>
      </c>
      <c r="BD66" s="8" t="s">
        <v>969</v>
      </c>
      <c r="BE66" s="8" t="s">
        <v>713</v>
      </c>
      <c r="BF66" s="13" t="str">
        <f>HYPERLINK("http://dx.doi.org/10.1111/j.1365-2486.2008.01766.x","http://dx.doi.org/10.1111/j.1365-2486.2008.01766.x")</f>
        <v>http://dx.doi.org/10.1111/j.1365-2486.2008.01766.x</v>
      </c>
      <c r="BG66" s="8" t="s">
        <v>969</v>
      </c>
      <c r="BH66" s="8" t="s">
        <v>969</v>
      </c>
      <c r="BI66" s="8">
        <v>13.0</v>
      </c>
      <c r="BJ66" s="8" t="s">
        <v>987</v>
      </c>
      <c r="BK66" s="8" t="s">
        <v>988</v>
      </c>
      <c r="BL66" s="8" t="s">
        <v>989</v>
      </c>
      <c r="BM66" s="8" t="s">
        <v>2129</v>
      </c>
      <c r="BN66" s="8" t="s">
        <v>969</v>
      </c>
      <c r="BO66" s="8" t="s">
        <v>969</v>
      </c>
      <c r="BP66" s="8" t="s">
        <v>969</v>
      </c>
      <c r="BQ66" s="8" t="s">
        <v>969</v>
      </c>
      <c r="BR66" s="8" t="s">
        <v>991</v>
      </c>
      <c r="BS66" s="8" t="s">
        <v>2130</v>
      </c>
      <c r="BT66" s="8" t="s">
        <v>1021</v>
      </c>
      <c r="BW66" s="8" t="s">
        <v>51</v>
      </c>
      <c r="BX66" s="8" t="s">
        <v>1022</v>
      </c>
      <c r="CA66" s="8" t="str">
        <f>HYPERLINK("https%3A%2F%2Fwww.webofscience.com%2Fwos%2Fwoscc%2Ffull-record%2FWOS:000265771400016","View Full Record in Web of Science")</f>
        <v>View Full Record in Web of Science</v>
      </c>
    </row>
    <row r="67" ht="12.75" customHeight="1">
      <c r="A67" s="8" t="s">
        <v>967</v>
      </c>
      <c r="B67" s="8" t="s">
        <v>2131</v>
      </c>
      <c r="C67" s="8" t="s">
        <v>969</v>
      </c>
      <c r="D67" s="8" t="s">
        <v>969</v>
      </c>
      <c r="E67" s="8" t="s">
        <v>969</v>
      </c>
      <c r="F67" s="8" t="s">
        <v>2132</v>
      </c>
      <c r="G67" s="8" t="s">
        <v>969</v>
      </c>
      <c r="H67" s="8" t="s">
        <v>969</v>
      </c>
      <c r="I67" s="8" t="s">
        <v>2133</v>
      </c>
      <c r="J67" s="8" t="s">
        <v>2018</v>
      </c>
      <c r="K67" s="8" t="s">
        <v>969</v>
      </c>
      <c r="L67" s="8" t="s">
        <v>969</v>
      </c>
      <c r="M67" s="8" t="s">
        <v>972</v>
      </c>
      <c r="N67" s="8" t="s">
        <v>973</v>
      </c>
      <c r="O67" s="8" t="s">
        <v>969</v>
      </c>
      <c r="P67" s="8" t="s">
        <v>969</v>
      </c>
      <c r="Q67" s="8" t="s">
        <v>969</v>
      </c>
      <c r="R67" s="8" t="s">
        <v>969</v>
      </c>
      <c r="S67" s="8" t="s">
        <v>969</v>
      </c>
      <c r="T67" s="8" t="s">
        <v>2134</v>
      </c>
      <c r="U67" s="8" t="s">
        <v>2135</v>
      </c>
      <c r="V67" s="8" t="s">
        <v>2136</v>
      </c>
      <c r="W67" s="8" t="s">
        <v>2137</v>
      </c>
      <c r="X67" s="8" t="s">
        <v>2138</v>
      </c>
      <c r="Y67" s="8" t="s">
        <v>2139</v>
      </c>
      <c r="Z67" s="8" t="s">
        <v>2140</v>
      </c>
      <c r="AA67" s="8" t="s">
        <v>2141</v>
      </c>
      <c r="AB67" s="8" t="s">
        <v>969</v>
      </c>
      <c r="AC67" s="8" t="s">
        <v>2142</v>
      </c>
      <c r="AD67" s="8" t="s">
        <v>2143</v>
      </c>
      <c r="AE67" s="8" t="s">
        <v>2144</v>
      </c>
      <c r="AF67" s="8" t="s">
        <v>969</v>
      </c>
      <c r="AG67" s="8">
        <v>97.0</v>
      </c>
      <c r="AH67" s="8">
        <v>380.0</v>
      </c>
      <c r="AI67" s="8">
        <v>442.0</v>
      </c>
      <c r="AJ67" s="8">
        <v>1.0</v>
      </c>
      <c r="AK67" s="8">
        <v>288.0</v>
      </c>
      <c r="AL67" s="8" t="s">
        <v>1091</v>
      </c>
      <c r="AM67" s="8" t="s">
        <v>1092</v>
      </c>
      <c r="AN67" s="8" t="s">
        <v>1093</v>
      </c>
      <c r="AO67" s="8" t="s">
        <v>2033</v>
      </c>
      <c r="AP67" s="8" t="s">
        <v>2034</v>
      </c>
      <c r="AQ67" s="8" t="s">
        <v>969</v>
      </c>
      <c r="AR67" s="8" t="s">
        <v>2018</v>
      </c>
      <c r="AS67" s="8" t="s">
        <v>1267</v>
      </c>
      <c r="AT67" s="8" t="s">
        <v>1177</v>
      </c>
      <c r="AU67" s="8">
        <v>2009.0</v>
      </c>
      <c r="AV67" s="8">
        <v>90.0</v>
      </c>
      <c r="AW67" s="8">
        <v>5.0</v>
      </c>
      <c r="AX67" s="8" t="s">
        <v>969</v>
      </c>
      <c r="AY67" s="8" t="s">
        <v>969</v>
      </c>
      <c r="AZ67" s="8" t="s">
        <v>969</v>
      </c>
      <c r="BA67" s="8" t="s">
        <v>969</v>
      </c>
      <c r="BB67" s="8">
        <v>1301.0</v>
      </c>
      <c r="BC67" s="8">
        <v>1313.0</v>
      </c>
      <c r="BD67" s="8" t="s">
        <v>969</v>
      </c>
      <c r="BE67" s="8" t="s">
        <v>839</v>
      </c>
      <c r="BF67" s="13" t="str">
        <f>HYPERLINK("http://dx.doi.org/10.1890/08-0134.1","http://dx.doi.org/10.1890/08-0134.1")</f>
        <v>http://dx.doi.org/10.1890/08-0134.1</v>
      </c>
      <c r="BG67" s="8" t="s">
        <v>969</v>
      </c>
      <c r="BH67" s="8" t="s">
        <v>969</v>
      </c>
      <c r="BI67" s="8">
        <v>13.0</v>
      </c>
      <c r="BJ67" s="8" t="s">
        <v>1267</v>
      </c>
      <c r="BK67" s="8" t="s">
        <v>988</v>
      </c>
      <c r="BL67" s="8" t="s">
        <v>1268</v>
      </c>
      <c r="BM67" s="8" t="s">
        <v>2145</v>
      </c>
      <c r="BN67" s="8">
        <v>1.953755E7</v>
      </c>
      <c r="BO67" s="8" t="s">
        <v>969</v>
      </c>
      <c r="BP67" s="8" t="s">
        <v>969</v>
      </c>
      <c r="BQ67" s="8" t="s">
        <v>969</v>
      </c>
      <c r="BR67" s="8" t="s">
        <v>991</v>
      </c>
      <c r="BS67" s="8" t="s">
        <v>2146</v>
      </c>
      <c r="BT67" s="8" t="s">
        <v>993</v>
      </c>
      <c r="BU67" s="8" t="s">
        <v>994</v>
      </c>
      <c r="BW67" s="8" t="s">
        <v>51</v>
      </c>
      <c r="BX67" s="8" t="s">
        <v>1022</v>
      </c>
      <c r="CA67" s="8" t="str">
        <f>HYPERLINK("https%3A%2F%2Fwww.webofscience.com%2Fwos%2Fwoscc%2Ffull-record%2FWOS:000265816200012","View Full Record in Web of Science")</f>
        <v>View Full Record in Web of Science</v>
      </c>
    </row>
    <row r="68" ht="12.75" customHeight="1">
      <c r="A68" s="8" t="s">
        <v>967</v>
      </c>
      <c r="B68" s="8" t="s">
        <v>2147</v>
      </c>
      <c r="C68" s="8" t="s">
        <v>969</v>
      </c>
      <c r="D68" s="8" t="s">
        <v>969</v>
      </c>
      <c r="E68" s="8" t="s">
        <v>969</v>
      </c>
      <c r="F68" s="8" t="s">
        <v>2148</v>
      </c>
      <c r="G68" s="8" t="s">
        <v>969</v>
      </c>
      <c r="H68" s="8" t="s">
        <v>969</v>
      </c>
      <c r="I68" s="8" t="s">
        <v>2149</v>
      </c>
      <c r="J68" s="8" t="s">
        <v>1427</v>
      </c>
      <c r="K68" s="8" t="s">
        <v>969</v>
      </c>
      <c r="L68" s="8" t="s">
        <v>969</v>
      </c>
      <c r="M68" s="8" t="s">
        <v>972</v>
      </c>
      <c r="N68" s="8" t="s">
        <v>973</v>
      </c>
      <c r="O68" s="8" t="s">
        <v>969</v>
      </c>
      <c r="P68" s="8" t="s">
        <v>969</v>
      </c>
      <c r="Q68" s="8" t="s">
        <v>969</v>
      </c>
      <c r="R68" s="8" t="s">
        <v>969</v>
      </c>
      <c r="S68" s="8" t="s">
        <v>969</v>
      </c>
      <c r="T68" s="8" t="s">
        <v>2150</v>
      </c>
      <c r="U68" s="8" t="s">
        <v>2151</v>
      </c>
      <c r="V68" s="8" t="s">
        <v>2152</v>
      </c>
      <c r="W68" s="8" t="s">
        <v>2153</v>
      </c>
      <c r="X68" s="8" t="s">
        <v>2154</v>
      </c>
      <c r="Y68" s="8" t="s">
        <v>2155</v>
      </c>
      <c r="Z68" s="8" t="s">
        <v>2156</v>
      </c>
      <c r="AA68" s="8" t="s">
        <v>2157</v>
      </c>
      <c r="AB68" s="8" t="s">
        <v>2158</v>
      </c>
      <c r="AC68" s="8" t="s">
        <v>2159</v>
      </c>
      <c r="AD68" s="8" t="s">
        <v>2160</v>
      </c>
      <c r="AE68" s="8" t="s">
        <v>2161</v>
      </c>
      <c r="AF68" s="8" t="s">
        <v>969</v>
      </c>
      <c r="AG68" s="8">
        <v>67.0</v>
      </c>
      <c r="AH68" s="8">
        <v>103.0</v>
      </c>
      <c r="AI68" s="8">
        <v>117.0</v>
      </c>
      <c r="AJ68" s="8">
        <v>0.0</v>
      </c>
      <c r="AK68" s="8">
        <v>81.0</v>
      </c>
      <c r="AL68" s="8" t="s">
        <v>1091</v>
      </c>
      <c r="AM68" s="8" t="s">
        <v>1092</v>
      </c>
      <c r="AN68" s="8" t="s">
        <v>1093</v>
      </c>
      <c r="AO68" s="8" t="s">
        <v>1437</v>
      </c>
      <c r="AP68" s="8" t="s">
        <v>1499</v>
      </c>
      <c r="AQ68" s="8" t="s">
        <v>969</v>
      </c>
      <c r="AR68" s="8" t="s">
        <v>1438</v>
      </c>
      <c r="AS68" s="8" t="s">
        <v>1439</v>
      </c>
      <c r="AT68" s="8" t="s">
        <v>1016</v>
      </c>
      <c r="AU68" s="8">
        <v>2010.0</v>
      </c>
      <c r="AV68" s="8">
        <v>16.0</v>
      </c>
      <c r="AW68" s="8">
        <v>1.0</v>
      </c>
      <c r="AX68" s="8" t="s">
        <v>969</v>
      </c>
      <c r="AY68" s="8" t="s">
        <v>969</v>
      </c>
      <c r="AZ68" s="8" t="s">
        <v>969</v>
      </c>
      <c r="BA68" s="8" t="s">
        <v>969</v>
      </c>
      <c r="BB68" s="8">
        <v>187.0</v>
      </c>
      <c r="BC68" s="8">
        <v>201.0</v>
      </c>
      <c r="BD68" s="8" t="s">
        <v>969</v>
      </c>
      <c r="BE68" s="8" t="s">
        <v>761</v>
      </c>
      <c r="BF68" s="13" t="str">
        <f>HYPERLINK("http://dx.doi.org/10.1111/j.1472-4642.2009.00623.x","http://dx.doi.org/10.1111/j.1472-4642.2009.00623.x")</f>
        <v>http://dx.doi.org/10.1111/j.1472-4642.2009.00623.x</v>
      </c>
      <c r="BG68" s="8" t="s">
        <v>969</v>
      </c>
      <c r="BH68" s="8" t="s">
        <v>969</v>
      </c>
      <c r="BI68" s="8">
        <v>15.0</v>
      </c>
      <c r="BJ68" s="8" t="s">
        <v>1286</v>
      </c>
      <c r="BK68" s="8" t="s">
        <v>988</v>
      </c>
      <c r="BL68" s="8" t="s">
        <v>989</v>
      </c>
      <c r="BM68" s="8" t="s">
        <v>2162</v>
      </c>
      <c r="BN68" s="8" t="s">
        <v>969</v>
      </c>
      <c r="BO68" s="8" t="s">
        <v>969</v>
      </c>
      <c r="BP68" s="8" t="s">
        <v>969</v>
      </c>
      <c r="BQ68" s="8" t="s">
        <v>969</v>
      </c>
      <c r="BR68" s="8" t="s">
        <v>991</v>
      </c>
      <c r="BS68" s="8" t="s">
        <v>2163</v>
      </c>
      <c r="BT68" s="8" t="s">
        <v>1115</v>
      </c>
      <c r="BU68" s="8" t="s">
        <v>1116</v>
      </c>
      <c r="BV68" s="8" t="s">
        <v>1117</v>
      </c>
      <c r="BW68" s="8" t="s">
        <v>51</v>
      </c>
      <c r="BX68" s="8" t="s">
        <v>1022</v>
      </c>
      <c r="CA68" s="8" t="str">
        <f>HYPERLINK("https%3A%2F%2Fwww.webofscience.com%2Fwos%2Fwoscc%2Ffull-record%2FWOS:000273723100018","View Full Record in Web of Science")</f>
        <v>View Full Record in Web of Science</v>
      </c>
    </row>
    <row r="69" ht="12.75" customHeight="1">
      <c r="A69" s="8" t="s">
        <v>967</v>
      </c>
      <c r="B69" s="8" t="s">
        <v>2164</v>
      </c>
      <c r="C69" s="8" t="s">
        <v>969</v>
      </c>
      <c r="D69" s="8" t="s">
        <v>969</v>
      </c>
      <c r="E69" s="8" t="s">
        <v>969</v>
      </c>
      <c r="F69" s="8" t="s">
        <v>2165</v>
      </c>
      <c r="G69" s="8" t="s">
        <v>969</v>
      </c>
      <c r="H69" s="8" t="s">
        <v>969</v>
      </c>
      <c r="I69" s="8" t="s">
        <v>2166</v>
      </c>
      <c r="J69" s="8" t="s">
        <v>1645</v>
      </c>
      <c r="K69" s="8" t="s">
        <v>969</v>
      </c>
      <c r="L69" s="8" t="s">
        <v>969</v>
      </c>
      <c r="M69" s="8" t="s">
        <v>972</v>
      </c>
      <c r="N69" s="8" t="s">
        <v>973</v>
      </c>
      <c r="O69" s="8" t="s">
        <v>969</v>
      </c>
      <c r="P69" s="8" t="s">
        <v>969</v>
      </c>
      <c r="Q69" s="8" t="s">
        <v>969</v>
      </c>
      <c r="R69" s="8" t="s">
        <v>969</v>
      </c>
      <c r="S69" s="8" t="s">
        <v>969</v>
      </c>
      <c r="T69" s="8" t="s">
        <v>2167</v>
      </c>
      <c r="U69" s="8" t="s">
        <v>2168</v>
      </c>
      <c r="V69" s="8" t="s">
        <v>2169</v>
      </c>
      <c r="W69" s="8" t="s">
        <v>2170</v>
      </c>
      <c r="X69" s="8" t="s">
        <v>2171</v>
      </c>
      <c r="Y69" s="8" t="s">
        <v>2172</v>
      </c>
      <c r="Z69" s="8" t="s">
        <v>2173</v>
      </c>
      <c r="AA69" s="8" t="s">
        <v>2174</v>
      </c>
      <c r="AB69" s="8" t="s">
        <v>2175</v>
      </c>
      <c r="AC69" s="8" t="s">
        <v>2176</v>
      </c>
      <c r="AD69" s="8" t="s">
        <v>2177</v>
      </c>
      <c r="AE69" s="8" t="s">
        <v>2178</v>
      </c>
      <c r="AF69" s="8" t="s">
        <v>969</v>
      </c>
      <c r="AG69" s="8">
        <v>89.0</v>
      </c>
      <c r="AH69" s="8">
        <v>67.0</v>
      </c>
      <c r="AI69" s="8">
        <v>82.0</v>
      </c>
      <c r="AJ69" s="8">
        <v>0.0</v>
      </c>
      <c r="AK69" s="8">
        <v>85.0</v>
      </c>
      <c r="AL69" s="8" t="s">
        <v>1609</v>
      </c>
      <c r="AM69" s="8" t="s">
        <v>1032</v>
      </c>
      <c r="AN69" s="8" t="s">
        <v>1210</v>
      </c>
      <c r="AO69" s="8" t="s">
        <v>1653</v>
      </c>
      <c r="AP69" s="8" t="s">
        <v>1654</v>
      </c>
      <c r="AQ69" s="8" t="s">
        <v>969</v>
      </c>
      <c r="AR69" s="8" t="s">
        <v>1655</v>
      </c>
      <c r="AS69" s="8" t="s">
        <v>1656</v>
      </c>
      <c r="AT69" s="8" t="s">
        <v>1055</v>
      </c>
      <c r="AU69" s="8">
        <v>2010.0</v>
      </c>
      <c r="AV69" s="8">
        <v>19.0</v>
      </c>
      <c r="AW69" s="8">
        <v>3.0</v>
      </c>
      <c r="AX69" s="8" t="s">
        <v>969</v>
      </c>
      <c r="AY69" s="8" t="s">
        <v>969</v>
      </c>
      <c r="AZ69" s="8" t="s">
        <v>969</v>
      </c>
      <c r="BA69" s="8" t="s">
        <v>969</v>
      </c>
      <c r="BB69" s="8">
        <v>695.0</v>
      </c>
      <c r="BC69" s="8">
        <v>723.0</v>
      </c>
      <c r="BD69" s="8" t="s">
        <v>969</v>
      </c>
      <c r="BE69" s="8" t="s">
        <v>530</v>
      </c>
      <c r="BF69" s="13" t="str">
        <f>HYPERLINK("http://dx.doi.org/10.1007/s10531-009-9728-x","http://dx.doi.org/10.1007/s10531-009-9728-x")</f>
        <v>http://dx.doi.org/10.1007/s10531-009-9728-x</v>
      </c>
      <c r="BG69" s="8" t="s">
        <v>969</v>
      </c>
      <c r="BH69" s="8" t="s">
        <v>969</v>
      </c>
      <c r="BI69" s="8">
        <v>29.0</v>
      </c>
      <c r="BJ69" s="8" t="s">
        <v>987</v>
      </c>
      <c r="BK69" s="8" t="s">
        <v>988</v>
      </c>
      <c r="BL69" s="8" t="s">
        <v>989</v>
      </c>
      <c r="BM69" s="8" t="s">
        <v>2179</v>
      </c>
      <c r="BN69" s="8" t="s">
        <v>969</v>
      </c>
      <c r="BO69" s="8" t="s">
        <v>969</v>
      </c>
      <c r="BP69" s="8" t="s">
        <v>969</v>
      </c>
      <c r="BQ69" s="8" t="s">
        <v>969</v>
      </c>
      <c r="BR69" s="8" t="s">
        <v>991</v>
      </c>
      <c r="BS69" s="8" t="s">
        <v>2180</v>
      </c>
      <c r="BT69" s="8" t="s">
        <v>1021</v>
      </c>
      <c r="BW69" s="8" t="s">
        <v>33</v>
      </c>
      <c r="BX69" s="8" t="s">
        <v>995</v>
      </c>
      <c r="CA69" s="8" t="str">
        <f>HYPERLINK("https%3A%2F%2Fwww.webofscience.com%2Fwos%2Fwoscc%2Ffull-record%2FWOS:000274330800007","View Full Record in Web of Science")</f>
        <v>View Full Record in Web of Science</v>
      </c>
    </row>
    <row r="70" ht="12.75" customHeight="1">
      <c r="A70" s="8" t="s">
        <v>967</v>
      </c>
      <c r="B70" s="8" t="s">
        <v>2181</v>
      </c>
      <c r="C70" s="8" t="s">
        <v>969</v>
      </c>
      <c r="D70" s="8" t="s">
        <v>969</v>
      </c>
      <c r="E70" s="8" t="s">
        <v>969</v>
      </c>
      <c r="F70" s="8" t="s">
        <v>2182</v>
      </c>
      <c r="G70" s="8" t="s">
        <v>969</v>
      </c>
      <c r="H70" s="8" t="s">
        <v>969</v>
      </c>
      <c r="I70" s="8" t="s">
        <v>2183</v>
      </c>
      <c r="J70" s="8" t="s">
        <v>971</v>
      </c>
      <c r="K70" s="8" t="s">
        <v>969</v>
      </c>
      <c r="L70" s="8" t="s">
        <v>969</v>
      </c>
      <c r="M70" s="8" t="s">
        <v>972</v>
      </c>
      <c r="N70" s="8" t="s">
        <v>973</v>
      </c>
      <c r="O70" s="8" t="s">
        <v>969</v>
      </c>
      <c r="P70" s="8" t="s">
        <v>969</v>
      </c>
      <c r="Q70" s="8" t="s">
        <v>969</v>
      </c>
      <c r="R70" s="8" t="s">
        <v>969</v>
      </c>
      <c r="S70" s="8" t="s">
        <v>969</v>
      </c>
      <c r="T70" s="8" t="s">
        <v>2184</v>
      </c>
      <c r="U70" s="8" t="s">
        <v>2185</v>
      </c>
      <c r="V70" s="8" t="s">
        <v>2186</v>
      </c>
      <c r="W70" s="8" t="s">
        <v>2187</v>
      </c>
      <c r="X70" s="8" t="s">
        <v>2188</v>
      </c>
      <c r="Y70" s="8" t="s">
        <v>2189</v>
      </c>
      <c r="Z70" s="8" t="s">
        <v>2190</v>
      </c>
      <c r="AA70" s="8" t="s">
        <v>2191</v>
      </c>
      <c r="AB70" s="8" t="s">
        <v>2192</v>
      </c>
      <c r="AC70" s="8" t="s">
        <v>2193</v>
      </c>
      <c r="AD70" s="8" t="s">
        <v>2194</v>
      </c>
      <c r="AE70" s="8" t="s">
        <v>2195</v>
      </c>
      <c r="AF70" s="8" t="s">
        <v>969</v>
      </c>
      <c r="AG70" s="8">
        <v>54.0</v>
      </c>
      <c r="AH70" s="8">
        <v>206.0</v>
      </c>
      <c r="AI70" s="8">
        <v>246.0</v>
      </c>
      <c r="AJ70" s="8">
        <v>1.0</v>
      </c>
      <c r="AK70" s="8">
        <v>159.0</v>
      </c>
      <c r="AL70" s="8" t="s">
        <v>1091</v>
      </c>
      <c r="AM70" s="8" t="s">
        <v>1092</v>
      </c>
      <c r="AN70" s="8" t="s">
        <v>1093</v>
      </c>
      <c r="AO70" s="8" t="s">
        <v>983</v>
      </c>
      <c r="AP70" s="8" t="s">
        <v>1094</v>
      </c>
      <c r="AQ70" s="8" t="s">
        <v>969</v>
      </c>
      <c r="AR70" s="8" t="s">
        <v>1095</v>
      </c>
      <c r="AS70" s="8" t="s">
        <v>985</v>
      </c>
      <c r="AT70" s="8" t="s">
        <v>1036</v>
      </c>
      <c r="AU70" s="8">
        <v>2010.0</v>
      </c>
      <c r="AV70" s="8">
        <v>16.0</v>
      </c>
      <c r="AW70" s="8">
        <v>2.0</v>
      </c>
      <c r="AX70" s="8" t="s">
        <v>969</v>
      </c>
      <c r="AY70" s="8" t="s">
        <v>969</v>
      </c>
      <c r="AZ70" s="8" t="s">
        <v>969</v>
      </c>
      <c r="BA70" s="8" t="s">
        <v>969</v>
      </c>
      <c r="BB70" s="8">
        <v>561.0</v>
      </c>
      <c r="BC70" s="8">
        <v>576.0</v>
      </c>
      <c r="BD70" s="8" t="s">
        <v>969</v>
      </c>
      <c r="BE70" s="8" t="s">
        <v>716</v>
      </c>
      <c r="BF70" s="13" t="str">
        <f>HYPERLINK("http://dx.doi.org/10.1111/j.1365-2486.2009.02021.x","http://dx.doi.org/10.1111/j.1365-2486.2009.02021.x")</f>
        <v>http://dx.doi.org/10.1111/j.1365-2486.2009.02021.x</v>
      </c>
      <c r="BG70" s="8" t="s">
        <v>969</v>
      </c>
      <c r="BH70" s="8" t="s">
        <v>969</v>
      </c>
      <c r="BI70" s="8">
        <v>16.0</v>
      </c>
      <c r="BJ70" s="8" t="s">
        <v>987</v>
      </c>
      <c r="BK70" s="8" t="s">
        <v>988</v>
      </c>
      <c r="BL70" s="8" t="s">
        <v>989</v>
      </c>
      <c r="BM70" s="8" t="s">
        <v>2196</v>
      </c>
      <c r="BN70" s="8" t="s">
        <v>969</v>
      </c>
      <c r="BO70" s="8" t="s">
        <v>969</v>
      </c>
      <c r="BP70" s="8" t="s">
        <v>969</v>
      </c>
      <c r="BQ70" s="8" t="s">
        <v>969</v>
      </c>
      <c r="BR70" s="8" t="s">
        <v>991</v>
      </c>
      <c r="BS70" s="8" t="s">
        <v>2197</v>
      </c>
      <c r="BT70" s="8" t="s">
        <v>1021</v>
      </c>
      <c r="BW70" s="8" t="s">
        <v>56</v>
      </c>
      <c r="BX70" s="8" t="s">
        <v>995</v>
      </c>
      <c r="BY70" s="8" t="s">
        <v>996</v>
      </c>
      <c r="BZ70" s="8" t="s">
        <v>997</v>
      </c>
      <c r="CA70" s="8" t="str">
        <f>HYPERLINK("https%3A%2F%2Fwww.webofscience.com%2Fwos%2Fwoscc%2Ffull-record%2FWOS:000274419400007","View Full Record in Web of Science")</f>
        <v>View Full Record in Web of Science</v>
      </c>
    </row>
    <row r="71" ht="12.75" customHeight="1">
      <c r="A71" s="8" t="s">
        <v>967</v>
      </c>
      <c r="B71" s="8" t="s">
        <v>2198</v>
      </c>
      <c r="C71" s="8" t="s">
        <v>969</v>
      </c>
      <c r="D71" s="8" t="s">
        <v>969</v>
      </c>
      <c r="E71" s="8" t="s">
        <v>969</v>
      </c>
      <c r="F71" s="8" t="s">
        <v>2199</v>
      </c>
      <c r="G71" s="8" t="s">
        <v>969</v>
      </c>
      <c r="H71" s="8" t="s">
        <v>969</v>
      </c>
      <c r="I71" s="8" t="s">
        <v>2200</v>
      </c>
      <c r="J71" s="8" t="s">
        <v>1951</v>
      </c>
      <c r="K71" s="8" t="s">
        <v>969</v>
      </c>
      <c r="L71" s="8" t="s">
        <v>969</v>
      </c>
      <c r="M71" s="8" t="s">
        <v>972</v>
      </c>
      <c r="N71" s="8" t="s">
        <v>973</v>
      </c>
      <c r="O71" s="8" t="s">
        <v>969</v>
      </c>
      <c r="P71" s="8" t="s">
        <v>969</v>
      </c>
      <c r="Q71" s="8" t="s">
        <v>969</v>
      </c>
      <c r="R71" s="8" t="s">
        <v>969</v>
      </c>
      <c r="S71" s="8" t="s">
        <v>969</v>
      </c>
      <c r="T71" s="8" t="s">
        <v>969</v>
      </c>
      <c r="U71" s="8" t="s">
        <v>2201</v>
      </c>
      <c r="V71" s="8" t="s">
        <v>2202</v>
      </c>
      <c r="W71" s="8" t="s">
        <v>2203</v>
      </c>
      <c r="X71" s="8" t="s">
        <v>2204</v>
      </c>
      <c r="Y71" s="8" t="s">
        <v>2205</v>
      </c>
      <c r="Z71" s="8" t="s">
        <v>2206</v>
      </c>
      <c r="AA71" s="8" t="s">
        <v>2207</v>
      </c>
      <c r="AB71" s="8" t="s">
        <v>2208</v>
      </c>
      <c r="AC71" s="8" t="s">
        <v>2209</v>
      </c>
      <c r="AD71" s="8" t="s">
        <v>2210</v>
      </c>
      <c r="AE71" s="8" t="s">
        <v>2211</v>
      </c>
      <c r="AF71" s="8" t="s">
        <v>969</v>
      </c>
      <c r="AG71" s="8">
        <v>28.0</v>
      </c>
      <c r="AH71" s="8">
        <v>1537.0</v>
      </c>
      <c r="AI71" s="8">
        <v>1776.0</v>
      </c>
      <c r="AJ71" s="8">
        <v>8.0</v>
      </c>
      <c r="AK71" s="8">
        <v>775.0</v>
      </c>
      <c r="AL71" s="8" t="s">
        <v>1963</v>
      </c>
      <c r="AM71" s="8" t="s">
        <v>1388</v>
      </c>
      <c r="AN71" s="8" t="s">
        <v>1964</v>
      </c>
      <c r="AO71" s="8" t="s">
        <v>1965</v>
      </c>
      <c r="AP71" s="8" t="s">
        <v>1966</v>
      </c>
      <c r="AQ71" s="8" t="s">
        <v>969</v>
      </c>
      <c r="AR71" s="8" t="s">
        <v>1951</v>
      </c>
      <c r="AS71" s="8" t="s">
        <v>1967</v>
      </c>
      <c r="AT71" s="8" t="s">
        <v>2212</v>
      </c>
      <c r="AU71" s="8">
        <v>2010.0</v>
      </c>
      <c r="AV71" s="8">
        <v>328.0</v>
      </c>
      <c r="AW71" s="8">
        <v>5980.0</v>
      </c>
      <c r="AX71" s="8" t="s">
        <v>969</v>
      </c>
      <c r="AY71" s="8" t="s">
        <v>969</v>
      </c>
      <c r="AZ71" s="8" t="s">
        <v>969</v>
      </c>
      <c r="BA71" s="8" t="s">
        <v>969</v>
      </c>
      <c r="BB71" s="8">
        <v>894.0</v>
      </c>
      <c r="BC71" s="8">
        <v>899.0</v>
      </c>
      <c r="BD71" s="8" t="s">
        <v>969</v>
      </c>
      <c r="BE71" s="8" t="s">
        <v>800</v>
      </c>
      <c r="BF71" s="13" t="str">
        <f>HYPERLINK("http://dx.doi.org/10.1126/science.1184695","http://dx.doi.org/10.1126/science.1184695")</f>
        <v>http://dx.doi.org/10.1126/science.1184695</v>
      </c>
      <c r="BG71" s="8" t="s">
        <v>969</v>
      </c>
      <c r="BH71" s="8" t="s">
        <v>969</v>
      </c>
      <c r="BI71" s="8">
        <v>6.0</v>
      </c>
      <c r="BJ71" s="8" t="s">
        <v>1076</v>
      </c>
      <c r="BK71" s="8" t="s">
        <v>988</v>
      </c>
      <c r="BL71" s="8" t="s">
        <v>1077</v>
      </c>
      <c r="BM71" s="8" t="s">
        <v>2213</v>
      </c>
      <c r="BN71" s="8">
        <v>2.0466932E7</v>
      </c>
      <c r="BO71" s="8" t="s">
        <v>1227</v>
      </c>
      <c r="BP71" s="8" t="s">
        <v>969</v>
      </c>
      <c r="BQ71" s="8" t="s">
        <v>969</v>
      </c>
      <c r="BR71" s="8" t="s">
        <v>991</v>
      </c>
      <c r="BS71" s="8" t="s">
        <v>2214</v>
      </c>
      <c r="BT71" s="8" t="s">
        <v>1249</v>
      </c>
      <c r="BW71" s="8" t="s">
        <v>40</v>
      </c>
      <c r="BX71" s="8" t="s">
        <v>995</v>
      </c>
      <c r="BY71" s="8" t="s">
        <v>996</v>
      </c>
      <c r="CA71" s="8" t="str">
        <f>HYPERLINK("https%3A%2F%2Fwww.webofscience.com%2Fwos%2Fwoscc%2Ffull-record%2FWOS:000277618800050","View Full Record in Web of Science")</f>
        <v>View Full Record in Web of Science</v>
      </c>
    </row>
    <row r="72" ht="12.75" customHeight="1">
      <c r="A72" s="8" t="s">
        <v>967</v>
      </c>
      <c r="B72" s="8" t="s">
        <v>2215</v>
      </c>
      <c r="C72" s="8" t="s">
        <v>969</v>
      </c>
      <c r="D72" s="8" t="s">
        <v>969</v>
      </c>
      <c r="E72" s="8" t="s">
        <v>969</v>
      </c>
      <c r="F72" s="8" t="s">
        <v>2216</v>
      </c>
      <c r="G72" s="8" t="s">
        <v>969</v>
      </c>
      <c r="H72" s="8" t="s">
        <v>969</v>
      </c>
      <c r="I72" s="8" t="s">
        <v>2217</v>
      </c>
      <c r="J72" s="8" t="s">
        <v>2218</v>
      </c>
      <c r="K72" s="8" t="s">
        <v>969</v>
      </c>
      <c r="L72" s="8" t="s">
        <v>969</v>
      </c>
      <c r="M72" s="8" t="s">
        <v>972</v>
      </c>
      <c r="N72" s="8" t="s">
        <v>973</v>
      </c>
      <c r="O72" s="8" t="s">
        <v>969</v>
      </c>
      <c r="P72" s="8" t="s">
        <v>969</v>
      </c>
      <c r="Q72" s="8" t="s">
        <v>969</v>
      </c>
      <c r="R72" s="8" t="s">
        <v>969</v>
      </c>
      <c r="S72" s="8" t="s">
        <v>969</v>
      </c>
      <c r="T72" s="8" t="s">
        <v>2219</v>
      </c>
      <c r="U72" s="8" t="s">
        <v>2220</v>
      </c>
      <c r="V72" s="8" t="s">
        <v>2221</v>
      </c>
      <c r="W72" s="8" t="s">
        <v>2222</v>
      </c>
      <c r="X72" s="8" t="s">
        <v>2223</v>
      </c>
      <c r="Y72" s="8" t="s">
        <v>2224</v>
      </c>
      <c r="Z72" s="8" t="s">
        <v>2225</v>
      </c>
      <c r="AA72" s="8" t="s">
        <v>2226</v>
      </c>
      <c r="AB72" s="8" t="s">
        <v>2227</v>
      </c>
      <c r="AC72" s="8" t="s">
        <v>2228</v>
      </c>
      <c r="AD72" s="8" t="s">
        <v>2229</v>
      </c>
      <c r="AE72" s="8" t="s">
        <v>2230</v>
      </c>
      <c r="AF72" s="8" t="s">
        <v>969</v>
      </c>
      <c r="AG72" s="8">
        <v>41.0</v>
      </c>
      <c r="AH72" s="8">
        <v>26.0</v>
      </c>
      <c r="AI72" s="8">
        <v>36.0</v>
      </c>
      <c r="AJ72" s="8">
        <v>1.0</v>
      </c>
      <c r="AK72" s="8">
        <v>57.0</v>
      </c>
      <c r="AL72" s="8" t="s">
        <v>1091</v>
      </c>
      <c r="AM72" s="8" t="s">
        <v>1092</v>
      </c>
      <c r="AN72" s="8" t="s">
        <v>1093</v>
      </c>
      <c r="AO72" s="8" t="s">
        <v>2231</v>
      </c>
      <c r="AP72" s="8" t="s">
        <v>2232</v>
      </c>
      <c r="AQ72" s="8" t="s">
        <v>969</v>
      </c>
      <c r="AR72" s="8" t="s">
        <v>2233</v>
      </c>
      <c r="AS72" s="8" t="s">
        <v>2234</v>
      </c>
      <c r="AT72" s="8" t="s">
        <v>1285</v>
      </c>
      <c r="AU72" s="8">
        <v>2010.0</v>
      </c>
      <c r="AV72" s="8">
        <v>5.0</v>
      </c>
      <c r="AW72" s="8">
        <v>2.0</v>
      </c>
      <c r="AX72" s="8" t="s">
        <v>969</v>
      </c>
      <c r="AY72" s="8" t="s">
        <v>969</v>
      </c>
      <c r="AZ72" s="8" t="s">
        <v>969</v>
      </c>
      <c r="BA72" s="8" t="s">
        <v>969</v>
      </c>
      <c r="BB72" s="8">
        <v>154.0</v>
      </c>
      <c r="BC72" s="8">
        <v>163.0</v>
      </c>
      <c r="BD72" s="8" t="s">
        <v>969</v>
      </c>
      <c r="BE72" s="8" t="s">
        <v>788</v>
      </c>
      <c r="BF72" s="13" t="str">
        <f>HYPERLINK("http://dx.doi.org/10.1111/j.1749-4877.2010.00198.x","http://dx.doi.org/10.1111/j.1749-4877.2010.00198.x")</f>
        <v>http://dx.doi.org/10.1111/j.1749-4877.2010.00198.x</v>
      </c>
      <c r="BG72" s="8" t="s">
        <v>969</v>
      </c>
      <c r="BH72" s="8" t="s">
        <v>969</v>
      </c>
      <c r="BI72" s="8">
        <v>10.0</v>
      </c>
      <c r="BJ72" s="8" t="s">
        <v>1321</v>
      </c>
      <c r="BK72" s="8" t="s">
        <v>988</v>
      </c>
      <c r="BL72" s="8" t="s">
        <v>1321</v>
      </c>
      <c r="BM72" s="8" t="s">
        <v>2235</v>
      </c>
      <c r="BN72" s="8">
        <v>2.1392333E7</v>
      </c>
      <c r="BO72" s="8" t="s">
        <v>969</v>
      </c>
      <c r="BP72" s="8" t="s">
        <v>969</v>
      </c>
      <c r="BQ72" s="8" t="s">
        <v>969</v>
      </c>
      <c r="BR72" s="8" t="s">
        <v>991</v>
      </c>
      <c r="BS72" s="8" t="s">
        <v>2236</v>
      </c>
      <c r="BT72" s="8" t="s">
        <v>1021</v>
      </c>
      <c r="BW72" s="8" t="s">
        <v>81</v>
      </c>
      <c r="BX72" s="8" t="s">
        <v>995</v>
      </c>
      <c r="BY72" s="8" t="s">
        <v>996</v>
      </c>
      <c r="BZ72" s="8" t="s">
        <v>1180</v>
      </c>
      <c r="CA72" s="8" t="str">
        <f>HYPERLINK("https%3A%2F%2Fwww.webofscience.com%2Fwos%2Fwoscc%2Ffull-record%2FWOS:000278345400009","View Full Record in Web of Science")</f>
        <v>View Full Record in Web of Science</v>
      </c>
    </row>
    <row r="73" ht="12.75" customHeight="1">
      <c r="A73" s="8" t="s">
        <v>967</v>
      </c>
      <c r="B73" s="8" t="s">
        <v>2237</v>
      </c>
      <c r="C73" s="8" t="s">
        <v>969</v>
      </c>
      <c r="D73" s="8" t="s">
        <v>969</v>
      </c>
      <c r="E73" s="8" t="s">
        <v>969</v>
      </c>
      <c r="F73" s="8" t="s">
        <v>2238</v>
      </c>
      <c r="G73" s="8" t="s">
        <v>969</v>
      </c>
      <c r="H73" s="8" t="s">
        <v>969</v>
      </c>
      <c r="I73" s="8" t="s">
        <v>2239</v>
      </c>
      <c r="J73" s="8" t="s">
        <v>971</v>
      </c>
      <c r="K73" s="8" t="s">
        <v>969</v>
      </c>
      <c r="L73" s="8" t="s">
        <v>969</v>
      </c>
      <c r="M73" s="8" t="s">
        <v>972</v>
      </c>
      <c r="N73" s="8" t="s">
        <v>973</v>
      </c>
      <c r="O73" s="8" t="s">
        <v>969</v>
      </c>
      <c r="P73" s="8" t="s">
        <v>969</v>
      </c>
      <c r="Q73" s="8" t="s">
        <v>969</v>
      </c>
      <c r="R73" s="8" t="s">
        <v>969</v>
      </c>
      <c r="S73" s="8" t="s">
        <v>969</v>
      </c>
      <c r="T73" s="8" t="s">
        <v>2240</v>
      </c>
      <c r="U73" s="8" t="s">
        <v>2241</v>
      </c>
      <c r="V73" s="8" t="s">
        <v>2242</v>
      </c>
      <c r="W73" s="8" t="s">
        <v>2243</v>
      </c>
      <c r="X73" s="8" t="s">
        <v>2244</v>
      </c>
      <c r="Y73" s="8" t="s">
        <v>2245</v>
      </c>
      <c r="Z73" s="8" t="s">
        <v>2246</v>
      </c>
      <c r="AA73" s="8" t="s">
        <v>2247</v>
      </c>
      <c r="AB73" s="8" t="s">
        <v>2248</v>
      </c>
      <c r="AC73" s="8" t="s">
        <v>2249</v>
      </c>
      <c r="AD73" s="8" t="s">
        <v>2250</v>
      </c>
      <c r="AE73" s="8" t="s">
        <v>2251</v>
      </c>
      <c r="AF73" s="8" t="s">
        <v>969</v>
      </c>
      <c r="AG73" s="8">
        <v>67.0</v>
      </c>
      <c r="AH73" s="8">
        <v>525.0</v>
      </c>
      <c r="AI73" s="8">
        <v>583.0</v>
      </c>
      <c r="AJ73" s="8">
        <v>5.0</v>
      </c>
      <c r="AK73" s="8">
        <v>452.0</v>
      </c>
      <c r="AL73" s="8" t="s">
        <v>1091</v>
      </c>
      <c r="AM73" s="8" t="s">
        <v>1092</v>
      </c>
      <c r="AN73" s="8" t="s">
        <v>1093</v>
      </c>
      <c r="AO73" s="8" t="s">
        <v>983</v>
      </c>
      <c r="AP73" s="8" t="s">
        <v>1094</v>
      </c>
      <c r="AQ73" s="8" t="s">
        <v>969</v>
      </c>
      <c r="AR73" s="8" t="s">
        <v>1095</v>
      </c>
      <c r="AS73" s="8" t="s">
        <v>985</v>
      </c>
      <c r="AT73" s="8" t="s">
        <v>1096</v>
      </c>
      <c r="AU73" s="8">
        <v>2011.0</v>
      </c>
      <c r="AV73" s="8">
        <v>17.0</v>
      </c>
      <c r="AW73" s="8">
        <v>7.0</v>
      </c>
      <c r="AX73" s="8" t="s">
        <v>969</v>
      </c>
      <c r="AY73" s="8" t="s">
        <v>969</v>
      </c>
      <c r="AZ73" s="8" t="s">
        <v>969</v>
      </c>
      <c r="BA73" s="8" t="s">
        <v>969</v>
      </c>
      <c r="BB73" s="8">
        <v>2330.0</v>
      </c>
      <c r="BC73" s="8">
        <v>2341.0</v>
      </c>
      <c r="BD73" s="8" t="s">
        <v>969</v>
      </c>
      <c r="BE73" s="8" t="s">
        <v>722</v>
      </c>
      <c r="BF73" s="13" t="str">
        <f>HYPERLINK("http://dx.doi.org/10.1111/j.1365-2486.2010.02393.x","http://dx.doi.org/10.1111/j.1365-2486.2010.02393.x")</f>
        <v>http://dx.doi.org/10.1111/j.1365-2486.2010.02393.x</v>
      </c>
      <c r="BG73" s="8" t="s">
        <v>969</v>
      </c>
      <c r="BH73" s="8" t="s">
        <v>969</v>
      </c>
      <c r="BI73" s="8">
        <v>12.0</v>
      </c>
      <c r="BJ73" s="8" t="s">
        <v>987</v>
      </c>
      <c r="BK73" s="8" t="s">
        <v>988</v>
      </c>
      <c r="BL73" s="8" t="s">
        <v>989</v>
      </c>
      <c r="BM73" s="8" t="s">
        <v>2252</v>
      </c>
      <c r="BN73" s="8" t="s">
        <v>969</v>
      </c>
      <c r="BO73" s="8" t="s">
        <v>969</v>
      </c>
      <c r="BP73" s="8" t="s">
        <v>969</v>
      </c>
      <c r="BQ73" s="8" t="s">
        <v>969</v>
      </c>
      <c r="BR73" s="8" t="s">
        <v>991</v>
      </c>
      <c r="BS73" s="8" t="s">
        <v>2253</v>
      </c>
      <c r="BT73" s="8" t="s">
        <v>1021</v>
      </c>
      <c r="BW73" s="8" t="s">
        <v>51</v>
      </c>
      <c r="BX73" s="8" t="s">
        <v>1022</v>
      </c>
      <c r="CA73" s="8" t="str">
        <f>HYPERLINK("https%3A%2F%2Fwww.webofscience.com%2Fwos%2Fwoscc%2Ffull-record%2FWOS:000291221000006","View Full Record in Web of Science")</f>
        <v>View Full Record in Web of Science</v>
      </c>
    </row>
    <row r="74" ht="12.75" customHeight="1">
      <c r="A74" s="8" t="s">
        <v>967</v>
      </c>
      <c r="B74" s="8" t="s">
        <v>2254</v>
      </c>
      <c r="C74" s="8" t="s">
        <v>969</v>
      </c>
      <c r="D74" s="8" t="s">
        <v>969</v>
      </c>
      <c r="E74" s="8" t="s">
        <v>969</v>
      </c>
      <c r="F74" s="8" t="s">
        <v>2255</v>
      </c>
      <c r="G74" s="8" t="s">
        <v>969</v>
      </c>
      <c r="H74" s="8" t="s">
        <v>969</v>
      </c>
      <c r="I74" s="8" t="s">
        <v>2256</v>
      </c>
      <c r="J74" s="8" t="s">
        <v>1799</v>
      </c>
      <c r="K74" s="8" t="s">
        <v>969</v>
      </c>
      <c r="L74" s="8" t="s">
        <v>969</v>
      </c>
      <c r="M74" s="8" t="s">
        <v>972</v>
      </c>
      <c r="N74" s="8" t="s">
        <v>973</v>
      </c>
      <c r="O74" s="8" t="s">
        <v>969</v>
      </c>
      <c r="P74" s="8" t="s">
        <v>969</v>
      </c>
      <c r="Q74" s="8" t="s">
        <v>969</v>
      </c>
      <c r="R74" s="8" t="s">
        <v>969</v>
      </c>
      <c r="S74" s="8" t="s">
        <v>969</v>
      </c>
      <c r="T74" s="8" t="s">
        <v>2257</v>
      </c>
      <c r="U74" s="8" t="s">
        <v>2258</v>
      </c>
      <c r="V74" s="8" t="s">
        <v>2259</v>
      </c>
      <c r="W74" s="8" t="s">
        <v>2260</v>
      </c>
      <c r="X74" s="8" t="s">
        <v>2261</v>
      </c>
      <c r="Y74" s="8" t="s">
        <v>2262</v>
      </c>
      <c r="Z74" s="8" t="s">
        <v>2263</v>
      </c>
      <c r="AA74" s="8" t="s">
        <v>2264</v>
      </c>
      <c r="AB74" s="8" t="s">
        <v>969</v>
      </c>
      <c r="AC74" s="8" t="s">
        <v>2265</v>
      </c>
      <c r="AD74" s="8" t="s">
        <v>2266</v>
      </c>
      <c r="AE74" s="8" t="s">
        <v>2267</v>
      </c>
      <c r="AF74" s="8" t="s">
        <v>969</v>
      </c>
      <c r="AG74" s="8">
        <v>67.0</v>
      </c>
      <c r="AH74" s="8">
        <v>91.0</v>
      </c>
      <c r="AI74" s="8">
        <v>112.0</v>
      </c>
      <c r="AJ74" s="8">
        <v>3.0</v>
      </c>
      <c r="AK74" s="8">
        <v>96.0</v>
      </c>
      <c r="AL74" s="8" t="s">
        <v>1813</v>
      </c>
      <c r="AM74" s="8" t="s">
        <v>1261</v>
      </c>
      <c r="AN74" s="8" t="s">
        <v>1814</v>
      </c>
      <c r="AO74" s="8" t="s">
        <v>1815</v>
      </c>
      <c r="AP74" s="8" t="s">
        <v>1816</v>
      </c>
      <c r="AQ74" s="8" t="s">
        <v>969</v>
      </c>
      <c r="AR74" s="8" t="s">
        <v>1817</v>
      </c>
      <c r="AS74" s="8" t="s">
        <v>1818</v>
      </c>
      <c r="AT74" s="8" t="s">
        <v>2268</v>
      </c>
      <c r="AU74" s="8">
        <v>2011.0</v>
      </c>
      <c r="AV74" s="8">
        <v>262.0</v>
      </c>
      <c r="AW74" s="8">
        <v>3.0</v>
      </c>
      <c r="AX74" s="8" t="s">
        <v>969</v>
      </c>
      <c r="AY74" s="8" t="s">
        <v>969</v>
      </c>
      <c r="AZ74" s="8" t="s">
        <v>969</v>
      </c>
      <c r="BA74" s="8" t="s">
        <v>969</v>
      </c>
      <c r="BB74" s="8">
        <v>307.0</v>
      </c>
      <c r="BC74" s="8">
        <v>316.0</v>
      </c>
      <c r="BD74" s="8" t="s">
        <v>969</v>
      </c>
      <c r="BE74" s="8" t="s">
        <v>572</v>
      </c>
      <c r="BF74" s="13" t="str">
        <f>HYPERLINK("http://dx.doi.org/10.1016/j.foreco.2011.03.036","http://dx.doi.org/10.1016/j.foreco.2011.03.036")</f>
        <v>http://dx.doi.org/10.1016/j.foreco.2011.03.036</v>
      </c>
      <c r="BG74" s="8" t="s">
        <v>969</v>
      </c>
      <c r="BH74" s="8" t="s">
        <v>969</v>
      </c>
      <c r="BI74" s="8">
        <v>10.0</v>
      </c>
      <c r="BJ74" s="8" t="s">
        <v>1820</v>
      </c>
      <c r="BK74" s="8" t="s">
        <v>988</v>
      </c>
      <c r="BL74" s="8" t="s">
        <v>1820</v>
      </c>
      <c r="BM74" s="8" t="s">
        <v>2269</v>
      </c>
      <c r="BN74" s="8" t="s">
        <v>969</v>
      </c>
      <c r="BO74" s="8" t="s">
        <v>969</v>
      </c>
      <c r="BP74" s="8" t="s">
        <v>969</v>
      </c>
      <c r="BQ74" s="8" t="s">
        <v>969</v>
      </c>
      <c r="BR74" s="8" t="s">
        <v>991</v>
      </c>
      <c r="BS74" s="8" t="s">
        <v>2270</v>
      </c>
      <c r="BT74" s="8" t="s">
        <v>993</v>
      </c>
      <c r="BU74" s="8" t="s">
        <v>994</v>
      </c>
      <c r="BW74" s="8" t="s">
        <v>33</v>
      </c>
      <c r="BX74" s="8" t="s">
        <v>995</v>
      </c>
      <c r="CA74" s="8" t="str">
        <f>HYPERLINK("https%3A%2F%2Fwww.webofscience.com%2Fwos%2Fwoscc%2Ffull-record%2FWOS:000292428500001","View Full Record in Web of Science")</f>
        <v>View Full Record in Web of Science</v>
      </c>
    </row>
    <row r="75" ht="12.75" customHeight="1">
      <c r="A75" s="8" t="s">
        <v>967</v>
      </c>
      <c r="B75" s="8" t="s">
        <v>2271</v>
      </c>
      <c r="C75" s="8" t="s">
        <v>969</v>
      </c>
      <c r="D75" s="8" t="s">
        <v>969</v>
      </c>
      <c r="E75" s="8" t="s">
        <v>969</v>
      </c>
      <c r="F75" s="8" t="s">
        <v>2272</v>
      </c>
      <c r="G75" s="8" t="s">
        <v>969</v>
      </c>
      <c r="H75" s="8" t="s">
        <v>969</v>
      </c>
      <c r="I75" s="8" t="s">
        <v>2273</v>
      </c>
      <c r="J75" s="8" t="s">
        <v>1144</v>
      </c>
      <c r="K75" s="8" t="s">
        <v>969</v>
      </c>
      <c r="L75" s="8" t="s">
        <v>969</v>
      </c>
      <c r="M75" s="8" t="s">
        <v>972</v>
      </c>
      <c r="N75" s="8" t="s">
        <v>973</v>
      </c>
      <c r="O75" s="8" t="s">
        <v>969</v>
      </c>
      <c r="P75" s="8" t="s">
        <v>969</v>
      </c>
      <c r="Q75" s="8" t="s">
        <v>969</v>
      </c>
      <c r="R75" s="8" t="s">
        <v>969</v>
      </c>
      <c r="S75" s="8" t="s">
        <v>969</v>
      </c>
      <c r="T75" s="8" t="s">
        <v>2274</v>
      </c>
      <c r="U75" s="8" t="s">
        <v>2275</v>
      </c>
      <c r="V75" s="8" t="s">
        <v>2276</v>
      </c>
      <c r="W75" s="8" t="s">
        <v>2277</v>
      </c>
      <c r="X75" s="8" t="s">
        <v>2278</v>
      </c>
      <c r="Y75" s="8" t="s">
        <v>2279</v>
      </c>
      <c r="Z75" s="8" t="s">
        <v>2280</v>
      </c>
      <c r="AA75" s="8" t="s">
        <v>2281</v>
      </c>
      <c r="AB75" s="8" t="s">
        <v>2282</v>
      </c>
      <c r="AC75" s="8" t="s">
        <v>2283</v>
      </c>
      <c r="AD75" s="8" t="s">
        <v>2284</v>
      </c>
      <c r="AE75" s="8" t="s">
        <v>2285</v>
      </c>
      <c r="AF75" s="8" t="s">
        <v>969</v>
      </c>
      <c r="AG75" s="8">
        <v>64.0</v>
      </c>
      <c r="AH75" s="8">
        <v>270.0</v>
      </c>
      <c r="AI75" s="8">
        <v>296.0</v>
      </c>
      <c r="AJ75" s="8">
        <v>1.0</v>
      </c>
      <c r="AK75" s="8">
        <v>124.0</v>
      </c>
      <c r="AL75" s="8" t="s">
        <v>1091</v>
      </c>
      <c r="AM75" s="8" t="s">
        <v>1092</v>
      </c>
      <c r="AN75" s="8" t="s">
        <v>1093</v>
      </c>
      <c r="AO75" s="8" t="s">
        <v>1159</v>
      </c>
      <c r="AP75" s="8" t="s">
        <v>1160</v>
      </c>
      <c r="AQ75" s="8" t="s">
        <v>969</v>
      </c>
      <c r="AR75" s="8" t="s">
        <v>1161</v>
      </c>
      <c r="AS75" s="8" t="s">
        <v>1162</v>
      </c>
      <c r="AT75" s="8" t="s">
        <v>1300</v>
      </c>
      <c r="AU75" s="8">
        <v>2011.0</v>
      </c>
      <c r="AV75" s="8">
        <v>20.0</v>
      </c>
      <c r="AW75" s="8">
        <v>5.0</v>
      </c>
      <c r="AX75" s="8" t="s">
        <v>969</v>
      </c>
      <c r="AY75" s="8" t="s">
        <v>969</v>
      </c>
      <c r="AZ75" s="8" t="s">
        <v>969</v>
      </c>
      <c r="BA75" s="8" t="s">
        <v>969</v>
      </c>
      <c r="BB75" s="8">
        <v>766.0</v>
      </c>
      <c r="BC75" s="8">
        <v>778.0</v>
      </c>
      <c r="BD75" s="8" t="s">
        <v>969</v>
      </c>
      <c r="BE75" s="8" t="s">
        <v>758</v>
      </c>
      <c r="BF75" s="13" t="str">
        <f>HYPERLINK("http://dx.doi.org/10.1111/j.1466-8238.2010.00646.x","http://dx.doi.org/10.1111/j.1466-8238.2010.00646.x")</f>
        <v>http://dx.doi.org/10.1111/j.1466-8238.2010.00646.x</v>
      </c>
      <c r="BG75" s="8" t="s">
        <v>969</v>
      </c>
      <c r="BH75" s="8" t="s">
        <v>969</v>
      </c>
      <c r="BI75" s="8">
        <v>13.0</v>
      </c>
      <c r="BJ75" s="8" t="s">
        <v>1017</v>
      </c>
      <c r="BK75" s="8" t="s">
        <v>988</v>
      </c>
      <c r="BL75" s="8" t="s">
        <v>1018</v>
      </c>
      <c r="BM75" s="8" t="s">
        <v>2286</v>
      </c>
      <c r="BN75" s="8" t="s">
        <v>969</v>
      </c>
      <c r="BO75" s="8" t="s">
        <v>1247</v>
      </c>
      <c r="BP75" s="8" t="s">
        <v>969</v>
      </c>
      <c r="BQ75" s="8" t="s">
        <v>969</v>
      </c>
      <c r="BR75" s="8" t="s">
        <v>991</v>
      </c>
      <c r="BS75" s="8" t="s">
        <v>2287</v>
      </c>
      <c r="BT75" s="8" t="s">
        <v>1021</v>
      </c>
      <c r="BW75" s="8" t="s">
        <v>51</v>
      </c>
      <c r="BX75" s="8" t="s">
        <v>1022</v>
      </c>
      <c r="CA75" s="8" t="str">
        <f>HYPERLINK("https%3A%2F%2Fwww.webofscience.com%2Fwos%2Fwoscc%2Ffull-record%2FWOS:000293701300011","View Full Record in Web of Science")</f>
        <v>View Full Record in Web of Science</v>
      </c>
    </row>
    <row r="76" ht="12.75" customHeight="1">
      <c r="A76" s="8" t="s">
        <v>967</v>
      </c>
      <c r="B76" s="8" t="s">
        <v>2288</v>
      </c>
      <c r="C76" s="8" t="s">
        <v>969</v>
      </c>
      <c r="D76" s="8" t="s">
        <v>969</v>
      </c>
      <c r="E76" s="8" t="s">
        <v>969</v>
      </c>
      <c r="F76" s="8" t="s">
        <v>2289</v>
      </c>
      <c r="G76" s="8" t="s">
        <v>969</v>
      </c>
      <c r="H76" s="8" t="s">
        <v>969</v>
      </c>
      <c r="I76" s="8" t="s">
        <v>2290</v>
      </c>
      <c r="J76" s="8" t="s">
        <v>1377</v>
      </c>
      <c r="K76" s="8" t="s">
        <v>969</v>
      </c>
      <c r="L76" s="8" t="s">
        <v>969</v>
      </c>
      <c r="M76" s="8" t="s">
        <v>972</v>
      </c>
      <c r="N76" s="8" t="s">
        <v>973</v>
      </c>
      <c r="O76" s="8" t="s">
        <v>969</v>
      </c>
      <c r="P76" s="8" t="s">
        <v>969</v>
      </c>
      <c r="Q76" s="8" t="s">
        <v>969</v>
      </c>
      <c r="R76" s="8" t="s">
        <v>969</v>
      </c>
      <c r="S76" s="8" t="s">
        <v>969</v>
      </c>
      <c r="T76" s="8" t="s">
        <v>2291</v>
      </c>
      <c r="U76" s="8" t="s">
        <v>2292</v>
      </c>
      <c r="V76" s="8" t="s">
        <v>2293</v>
      </c>
      <c r="W76" s="8" t="s">
        <v>2294</v>
      </c>
      <c r="X76" s="8" t="s">
        <v>2295</v>
      </c>
      <c r="Y76" s="8" t="s">
        <v>2296</v>
      </c>
      <c r="Z76" s="8" t="s">
        <v>2297</v>
      </c>
      <c r="AA76" s="8" t="s">
        <v>2298</v>
      </c>
      <c r="AB76" s="8" t="s">
        <v>2299</v>
      </c>
      <c r="AC76" s="8" t="s">
        <v>2300</v>
      </c>
      <c r="AD76" s="8" t="s">
        <v>2301</v>
      </c>
      <c r="AE76" s="8" t="s">
        <v>2302</v>
      </c>
      <c r="AF76" s="8" t="s">
        <v>969</v>
      </c>
      <c r="AG76" s="8">
        <v>48.0</v>
      </c>
      <c r="AH76" s="8">
        <v>476.0</v>
      </c>
      <c r="AI76" s="8">
        <v>572.0</v>
      </c>
      <c r="AJ76" s="8">
        <v>2.0</v>
      </c>
      <c r="AK76" s="8">
        <v>327.0</v>
      </c>
      <c r="AL76" s="8" t="s">
        <v>1387</v>
      </c>
      <c r="AM76" s="8" t="s">
        <v>1388</v>
      </c>
      <c r="AN76" s="8" t="s">
        <v>1389</v>
      </c>
      <c r="AO76" s="8" t="s">
        <v>1390</v>
      </c>
      <c r="AP76" s="8" t="s">
        <v>1391</v>
      </c>
      <c r="AQ76" s="8" t="s">
        <v>969</v>
      </c>
      <c r="AR76" s="8" t="s">
        <v>1392</v>
      </c>
      <c r="AS76" s="8" t="s">
        <v>1393</v>
      </c>
      <c r="AT76" s="8" t="s">
        <v>2303</v>
      </c>
      <c r="AU76" s="8">
        <v>2011.0</v>
      </c>
      <c r="AV76" s="8">
        <v>108.0</v>
      </c>
      <c r="AW76" s="8">
        <v>34.0</v>
      </c>
      <c r="AX76" s="8" t="s">
        <v>969</v>
      </c>
      <c r="AY76" s="8" t="s">
        <v>969</v>
      </c>
      <c r="AZ76" s="8" t="s">
        <v>969</v>
      </c>
      <c r="BA76" s="8" t="s">
        <v>969</v>
      </c>
      <c r="BB76" s="8">
        <v>14175.0</v>
      </c>
      <c r="BC76" s="8">
        <v>14180.0</v>
      </c>
      <c r="BD76" s="8" t="s">
        <v>969</v>
      </c>
      <c r="BE76" s="8" t="s">
        <v>641</v>
      </c>
      <c r="BF76" s="13" t="str">
        <f>HYPERLINK("http://dx.doi.org/10.1073/pnas.1103097108","http://dx.doi.org/10.1073/pnas.1103097108")</f>
        <v>http://dx.doi.org/10.1073/pnas.1103097108</v>
      </c>
      <c r="BG76" s="8" t="s">
        <v>969</v>
      </c>
      <c r="BH76" s="8" t="s">
        <v>969</v>
      </c>
      <c r="BI76" s="8">
        <v>6.0</v>
      </c>
      <c r="BJ76" s="8" t="s">
        <v>1076</v>
      </c>
      <c r="BK76" s="8" t="s">
        <v>988</v>
      </c>
      <c r="BL76" s="8" t="s">
        <v>1077</v>
      </c>
      <c r="BM76" s="8" t="s">
        <v>2304</v>
      </c>
      <c r="BN76" s="8">
        <v>2.1844354E7</v>
      </c>
      <c r="BO76" s="8" t="s">
        <v>1227</v>
      </c>
      <c r="BP76" s="8" t="s">
        <v>969</v>
      </c>
      <c r="BQ76" s="8" t="s">
        <v>969</v>
      </c>
      <c r="BR76" s="8" t="s">
        <v>991</v>
      </c>
      <c r="BS76" s="8" t="s">
        <v>2305</v>
      </c>
      <c r="BT76" s="8" t="s">
        <v>993</v>
      </c>
      <c r="BU76" s="8" t="s">
        <v>994</v>
      </c>
      <c r="BW76" s="8" t="s">
        <v>67</v>
      </c>
      <c r="CA76" s="8" t="str">
        <f>HYPERLINK("https%3A%2F%2Fwww.webofscience.com%2Fwos%2Fwoscc%2Ffull-record%2FWOS:000294163500063","View Full Record in Web of Science")</f>
        <v>View Full Record in Web of Science</v>
      </c>
    </row>
    <row r="77" ht="12.75" customHeight="1">
      <c r="A77" s="8" t="s">
        <v>967</v>
      </c>
      <c r="B77" s="8" t="s">
        <v>2306</v>
      </c>
      <c r="C77" s="8" t="s">
        <v>969</v>
      </c>
      <c r="D77" s="8" t="s">
        <v>969</v>
      </c>
      <c r="E77" s="8" t="s">
        <v>969</v>
      </c>
      <c r="F77" s="8" t="s">
        <v>2307</v>
      </c>
      <c r="G77" s="8" t="s">
        <v>969</v>
      </c>
      <c r="H77" s="8" t="s">
        <v>969</v>
      </c>
      <c r="I77" s="8" t="s">
        <v>2308</v>
      </c>
      <c r="J77" s="8" t="s">
        <v>2309</v>
      </c>
      <c r="K77" s="8" t="s">
        <v>969</v>
      </c>
      <c r="L77" s="8" t="s">
        <v>969</v>
      </c>
      <c r="M77" s="8" t="s">
        <v>972</v>
      </c>
      <c r="N77" s="8" t="s">
        <v>973</v>
      </c>
      <c r="O77" s="8" t="s">
        <v>969</v>
      </c>
      <c r="P77" s="8" t="s">
        <v>969</v>
      </c>
      <c r="Q77" s="8" t="s">
        <v>969</v>
      </c>
      <c r="R77" s="8" t="s">
        <v>969</v>
      </c>
      <c r="S77" s="8" t="s">
        <v>969</v>
      </c>
      <c r="T77" s="8" t="s">
        <v>2310</v>
      </c>
      <c r="U77" s="8" t="s">
        <v>2311</v>
      </c>
      <c r="V77" s="8" t="s">
        <v>2312</v>
      </c>
      <c r="W77" s="8" t="s">
        <v>2313</v>
      </c>
      <c r="X77" s="8" t="s">
        <v>2314</v>
      </c>
      <c r="Y77" s="8" t="s">
        <v>2315</v>
      </c>
      <c r="Z77" s="8" t="s">
        <v>2316</v>
      </c>
      <c r="AA77" s="8" t="s">
        <v>2317</v>
      </c>
      <c r="AB77" s="8" t="s">
        <v>2318</v>
      </c>
      <c r="AC77" s="8" t="s">
        <v>2319</v>
      </c>
      <c r="AD77" s="8" t="s">
        <v>2319</v>
      </c>
      <c r="AE77" s="8" t="s">
        <v>2320</v>
      </c>
      <c r="AF77" s="8" t="s">
        <v>969</v>
      </c>
      <c r="AG77" s="8">
        <v>43.0</v>
      </c>
      <c r="AH77" s="8">
        <v>165.0</v>
      </c>
      <c r="AI77" s="8">
        <v>187.0</v>
      </c>
      <c r="AJ77" s="8">
        <v>0.0</v>
      </c>
      <c r="AK77" s="8">
        <v>150.0</v>
      </c>
      <c r="AL77" s="8" t="s">
        <v>1091</v>
      </c>
      <c r="AM77" s="8" t="s">
        <v>1092</v>
      </c>
      <c r="AN77" s="8" t="s">
        <v>1093</v>
      </c>
      <c r="AO77" s="8" t="s">
        <v>2321</v>
      </c>
      <c r="AP77" s="8" t="s">
        <v>2322</v>
      </c>
      <c r="AQ77" s="8" t="s">
        <v>969</v>
      </c>
      <c r="AR77" s="8" t="s">
        <v>2323</v>
      </c>
      <c r="AS77" s="8" t="s">
        <v>2324</v>
      </c>
      <c r="AT77" s="8" t="s">
        <v>1112</v>
      </c>
      <c r="AU77" s="8">
        <v>2011.0</v>
      </c>
      <c r="AV77" s="8">
        <v>56.0</v>
      </c>
      <c r="AW77" s="8">
        <v>10.0</v>
      </c>
      <c r="AX77" s="8" t="s">
        <v>969</v>
      </c>
      <c r="AY77" s="8" t="s">
        <v>969</v>
      </c>
      <c r="AZ77" s="8" t="s">
        <v>969</v>
      </c>
      <c r="BA77" s="8" t="s">
        <v>969</v>
      </c>
      <c r="BB77" s="8">
        <v>2009.0</v>
      </c>
      <c r="BC77" s="8">
        <v>2020.0</v>
      </c>
      <c r="BD77" s="8" t="s">
        <v>969</v>
      </c>
      <c r="BE77" s="8" t="s">
        <v>680</v>
      </c>
      <c r="BF77" s="13" t="str">
        <f>HYPERLINK("http://dx.doi.org/10.1111/j.1365-2427.2011.02631.x","http://dx.doi.org/10.1111/j.1365-2427.2011.02631.x")</f>
        <v>http://dx.doi.org/10.1111/j.1365-2427.2011.02631.x</v>
      </c>
      <c r="BG77" s="8" t="s">
        <v>969</v>
      </c>
      <c r="BH77" s="8" t="s">
        <v>969</v>
      </c>
      <c r="BI77" s="8">
        <v>12.0</v>
      </c>
      <c r="BJ77" s="8" t="s">
        <v>2325</v>
      </c>
      <c r="BK77" s="8" t="s">
        <v>988</v>
      </c>
      <c r="BL77" s="8" t="s">
        <v>2111</v>
      </c>
      <c r="BM77" s="8" t="s">
        <v>2326</v>
      </c>
      <c r="BN77" s="8" t="s">
        <v>969</v>
      </c>
      <c r="BO77" s="8" t="s">
        <v>969</v>
      </c>
      <c r="BP77" s="8" t="s">
        <v>969</v>
      </c>
      <c r="BQ77" s="8" t="s">
        <v>969</v>
      </c>
      <c r="BR77" s="8" t="s">
        <v>991</v>
      </c>
      <c r="BS77" s="8" t="s">
        <v>2327</v>
      </c>
      <c r="BT77" s="8" t="s">
        <v>1021</v>
      </c>
      <c r="BW77" s="8" t="s">
        <v>33</v>
      </c>
      <c r="BX77" s="8" t="s">
        <v>995</v>
      </c>
      <c r="CA77" s="8" t="str">
        <f>HYPERLINK("https%3A%2F%2Fwww.webofscience.com%2Fwos%2Fwoscc%2Ffull-record%2FWOS:000295013800006","View Full Record in Web of Science")</f>
        <v>View Full Record in Web of Science</v>
      </c>
    </row>
    <row r="78" ht="12.75" customHeight="1">
      <c r="A78" s="8" t="s">
        <v>967</v>
      </c>
      <c r="B78" s="8" t="s">
        <v>2328</v>
      </c>
      <c r="C78" s="8" t="s">
        <v>969</v>
      </c>
      <c r="D78" s="8" t="s">
        <v>969</v>
      </c>
      <c r="E78" s="8" t="s">
        <v>969</v>
      </c>
      <c r="F78" s="8" t="s">
        <v>2329</v>
      </c>
      <c r="G78" s="8" t="s">
        <v>969</v>
      </c>
      <c r="H78" s="8" t="s">
        <v>969</v>
      </c>
      <c r="I78" s="8" t="s">
        <v>2330</v>
      </c>
      <c r="J78" s="8" t="s">
        <v>2331</v>
      </c>
      <c r="K78" s="8" t="s">
        <v>969</v>
      </c>
      <c r="L78" s="8" t="s">
        <v>969</v>
      </c>
      <c r="M78" s="8" t="s">
        <v>972</v>
      </c>
      <c r="N78" s="8" t="s">
        <v>973</v>
      </c>
      <c r="O78" s="8" t="s">
        <v>969</v>
      </c>
      <c r="P78" s="8" t="s">
        <v>969</v>
      </c>
      <c r="Q78" s="8" t="s">
        <v>969</v>
      </c>
      <c r="R78" s="8" t="s">
        <v>969</v>
      </c>
      <c r="S78" s="8" t="s">
        <v>969</v>
      </c>
      <c r="T78" s="8" t="s">
        <v>2332</v>
      </c>
      <c r="U78" s="8" t="s">
        <v>2333</v>
      </c>
      <c r="V78" s="8" t="s">
        <v>2334</v>
      </c>
      <c r="W78" s="8" t="s">
        <v>2335</v>
      </c>
      <c r="X78" s="8" t="s">
        <v>2336</v>
      </c>
      <c r="Y78" s="8" t="s">
        <v>2337</v>
      </c>
      <c r="Z78" s="8" t="s">
        <v>2338</v>
      </c>
      <c r="AA78" s="8" t="s">
        <v>2339</v>
      </c>
      <c r="AB78" s="8" t="s">
        <v>2340</v>
      </c>
      <c r="AC78" s="8" t="s">
        <v>2341</v>
      </c>
      <c r="AD78" s="8" t="s">
        <v>2341</v>
      </c>
      <c r="AE78" s="8" t="s">
        <v>2342</v>
      </c>
      <c r="AF78" s="8" t="s">
        <v>969</v>
      </c>
      <c r="AG78" s="8">
        <v>56.0</v>
      </c>
      <c r="AH78" s="8">
        <v>135.0</v>
      </c>
      <c r="AI78" s="8">
        <v>151.0</v>
      </c>
      <c r="AJ78" s="8">
        <v>1.0</v>
      </c>
      <c r="AK78" s="8">
        <v>89.0</v>
      </c>
      <c r="AL78" s="8" t="s">
        <v>2343</v>
      </c>
      <c r="AM78" s="8" t="s">
        <v>2344</v>
      </c>
      <c r="AN78" s="8" t="s">
        <v>2345</v>
      </c>
      <c r="AO78" s="8" t="s">
        <v>2346</v>
      </c>
      <c r="AP78" s="8" t="s">
        <v>2347</v>
      </c>
      <c r="AQ78" s="8" t="s">
        <v>969</v>
      </c>
      <c r="AR78" s="8" t="s">
        <v>2348</v>
      </c>
      <c r="AS78" s="8" t="s">
        <v>2349</v>
      </c>
      <c r="AT78" s="8" t="s">
        <v>969</v>
      </c>
      <c r="AU78" s="8">
        <v>2011.0</v>
      </c>
      <c r="AV78" s="8">
        <v>62.0</v>
      </c>
      <c r="AW78" s="8">
        <v>9.0</v>
      </c>
      <c r="AX78" s="8" t="s">
        <v>969</v>
      </c>
      <c r="AY78" s="8" t="s">
        <v>969</v>
      </c>
      <c r="AZ78" s="8" t="s">
        <v>2350</v>
      </c>
      <c r="BA78" s="8" t="s">
        <v>969</v>
      </c>
      <c r="BB78" s="8">
        <v>1043.0</v>
      </c>
      <c r="BC78" s="8">
        <v>1061.0</v>
      </c>
      <c r="BD78" s="8" t="s">
        <v>969</v>
      </c>
      <c r="BE78" s="8" t="s">
        <v>632</v>
      </c>
      <c r="BF78" s="13" t="str">
        <f>HYPERLINK("http://dx.doi.org/10.1071/MF10286","http://dx.doi.org/10.1071/MF10286")</f>
        <v>http://dx.doi.org/10.1071/MF10286</v>
      </c>
      <c r="BG78" s="8" t="s">
        <v>969</v>
      </c>
      <c r="BH78" s="8" t="s">
        <v>969</v>
      </c>
      <c r="BI78" s="8">
        <v>19.0</v>
      </c>
      <c r="BJ78" s="8" t="s">
        <v>2351</v>
      </c>
      <c r="BK78" s="8" t="s">
        <v>988</v>
      </c>
      <c r="BL78" s="8" t="s">
        <v>2352</v>
      </c>
      <c r="BM78" s="8" t="s">
        <v>2353</v>
      </c>
      <c r="BN78" s="8" t="s">
        <v>969</v>
      </c>
      <c r="BO78" s="8" t="s">
        <v>1441</v>
      </c>
      <c r="BP78" s="8" t="s">
        <v>969</v>
      </c>
      <c r="BQ78" s="8" t="s">
        <v>969</v>
      </c>
      <c r="BR78" s="8" t="s">
        <v>991</v>
      </c>
      <c r="BS78" s="8" t="s">
        <v>2354</v>
      </c>
      <c r="BT78" s="8" t="s">
        <v>1115</v>
      </c>
      <c r="BU78" s="8" t="s">
        <v>1116</v>
      </c>
      <c r="BV78" s="8" t="s">
        <v>1117</v>
      </c>
      <c r="BW78" s="8" t="s">
        <v>67</v>
      </c>
      <c r="CA78" s="8" t="str">
        <f>HYPERLINK("https%3A%2F%2Fwww.webofscience.com%2Fwos%2Fwoscc%2Ffull-record%2FWOS:000295083900006","View Full Record in Web of Science")</f>
        <v>View Full Record in Web of Science</v>
      </c>
    </row>
    <row r="79" ht="12.75" customHeight="1">
      <c r="A79" s="8" t="s">
        <v>967</v>
      </c>
      <c r="B79" s="8" t="s">
        <v>2355</v>
      </c>
      <c r="C79" s="8" t="s">
        <v>969</v>
      </c>
      <c r="D79" s="8" t="s">
        <v>969</v>
      </c>
      <c r="E79" s="8" t="s">
        <v>969</v>
      </c>
      <c r="F79" s="8" t="s">
        <v>2356</v>
      </c>
      <c r="G79" s="8" t="s">
        <v>969</v>
      </c>
      <c r="H79" s="8" t="s">
        <v>969</v>
      </c>
      <c r="I79" s="8" t="s">
        <v>2357</v>
      </c>
      <c r="J79" s="8" t="s">
        <v>2358</v>
      </c>
      <c r="K79" s="8" t="s">
        <v>969</v>
      </c>
      <c r="L79" s="8" t="s">
        <v>969</v>
      </c>
      <c r="M79" s="8" t="s">
        <v>972</v>
      </c>
      <c r="N79" s="8" t="s">
        <v>973</v>
      </c>
      <c r="O79" s="8" t="s">
        <v>969</v>
      </c>
      <c r="P79" s="8" t="s">
        <v>969</v>
      </c>
      <c r="Q79" s="8" t="s">
        <v>969</v>
      </c>
      <c r="R79" s="8" t="s">
        <v>969</v>
      </c>
      <c r="S79" s="8" t="s">
        <v>969</v>
      </c>
      <c r="T79" s="8" t="s">
        <v>969</v>
      </c>
      <c r="U79" s="8" t="s">
        <v>2359</v>
      </c>
      <c r="V79" s="8" t="s">
        <v>2360</v>
      </c>
      <c r="W79" s="8" t="s">
        <v>2361</v>
      </c>
      <c r="X79" s="8" t="s">
        <v>2362</v>
      </c>
      <c r="Y79" s="8" t="s">
        <v>2363</v>
      </c>
      <c r="Z79" s="8" t="s">
        <v>2364</v>
      </c>
      <c r="AA79" s="8" t="s">
        <v>2365</v>
      </c>
      <c r="AB79" s="8" t="s">
        <v>2366</v>
      </c>
      <c r="AC79" s="8" t="s">
        <v>2367</v>
      </c>
      <c r="AD79" s="8" t="s">
        <v>2367</v>
      </c>
      <c r="AE79" s="8" t="s">
        <v>2368</v>
      </c>
      <c r="AF79" s="8" t="s">
        <v>969</v>
      </c>
      <c r="AG79" s="8">
        <v>30.0</v>
      </c>
      <c r="AH79" s="8">
        <v>312.0</v>
      </c>
      <c r="AI79" s="8">
        <v>334.0</v>
      </c>
      <c r="AJ79" s="8">
        <v>4.0</v>
      </c>
      <c r="AK79" s="8">
        <v>253.0</v>
      </c>
      <c r="AL79" s="8" t="s">
        <v>1070</v>
      </c>
      <c r="AM79" s="8" t="s">
        <v>1071</v>
      </c>
      <c r="AN79" s="8" t="s">
        <v>1072</v>
      </c>
      <c r="AO79" s="8" t="s">
        <v>2369</v>
      </c>
      <c r="AP79" s="8" t="s">
        <v>2370</v>
      </c>
      <c r="AQ79" s="8" t="s">
        <v>969</v>
      </c>
      <c r="AR79" s="8" t="s">
        <v>2371</v>
      </c>
      <c r="AS79" s="8" t="s">
        <v>2372</v>
      </c>
      <c r="AT79" s="8" t="s">
        <v>1300</v>
      </c>
      <c r="AU79" s="8">
        <v>2011.0</v>
      </c>
      <c r="AV79" s="8">
        <v>1.0</v>
      </c>
      <c r="AW79" s="8">
        <v>6.0</v>
      </c>
      <c r="AX79" s="8" t="s">
        <v>969</v>
      </c>
      <c r="AY79" s="8" t="s">
        <v>969</v>
      </c>
      <c r="AZ79" s="8" t="s">
        <v>969</v>
      </c>
      <c r="BA79" s="8" t="s">
        <v>969</v>
      </c>
      <c r="BB79" s="8">
        <v>313.0</v>
      </c>
      <c r="BC79" s="8">
        <v>318.0</v>
      </c>
      <c r="BD79" s="8" t="s">
        <v>969</v>
      </c>
      <c r="BE79" s="8" t="s">
        <v>2373</v>
      </c>
      <c r="BF79" s="13" t="str">
        <f>HYPERLINK("http://dx.doi.org/10.1038/NCLIMATE1191","http://dx.doi.org/10.1038/NCLIMATE1191")</f>
        <v>http://dx.doi.org/10.1038/NCLIMATE1191</v>
      </c>
      <c r="BG79" s="8" t="s">
        <v>969</v>
      </c>
      <c r="BH79" s="8" t="s">
        <v>969</v>
      </c>
      <c r="BI79" s="8">
        <v>6.0</v>
      </c>
      <c r="BJ79" s="8" t="s">
        <v>2374</v>
      </c>
      <c r="BK79" s="8" t="s">
        <v>1519</v>
      </c>
      <c r="BL79" s="8" t="s">
        <v>1038</v>
      </c>
      <c r="BM79" s="8" t="s">
        <v>2375</v>
      </c>
      <c r="BN79" s="8" t="s">
        <v>969</v>
      </c>
      <c r="BO79" s="8" t="s">
        <v>969</v>
      </c>
      <c r="BP79" s="8" t="s">
        <v>969</v>
      </c>
      <c r="BQ79" s="8" t="s">
        <v>969</v>
      </c>
      <c r="BR79" s="8" t="s">
        <v>991</v>
      </c>
      <c r="BS79" s="8" t="s">
        <v>2376</v>
      </c>
      <c r="BT79" s="8" t="s">
        <v>1021</v>
      </c>
      <c r="BW79" s="8" t="s">
        <v>33</v>
      </c>
      <c r="BX79" s="8" t="s">
        <v>995</v>
      </c>
      <c r="CA79" s="8" t="str">
        <f>HYPERLINK("https%3A%2F%2Fwww.webofscience.com%2Fwos%2Fwoscc%2Ffull-record%2FWOS:000295799900018","View Full Record in Web of Science")</f>
        <v>View Full Record in Web of Science</v>
      </c>
    </row>
    <row r="80" ht="12.75" customHeight="1">
      <c r="A80" s="8" t="s">
        <v>967</v>
      </c>
      <c r="B80" s="8" t="s">
        <v>2377</v>
      </c>
      <c r="C80" s="8" t="s">
        <v>969</v>
      </c>
      <c r="D80" s="8" t="s">
        <v>969</v>
      </c>
      <c r="E80" s="8" t="s">
        <v>969</v>
      </c>
      <c r="F80" s="8" t="s">
        <v>2378</v>
      </c>
      <c r="G80" s="8" t="s">
        <v>969</v>
      </c>
      <c r="H80" s="8" t="s">
        <v>969</v>
      </c>
      <c r="I80" s="8" t="s">
        <v>2379</v>
      </c>
      <c r="J80" s="8" t="s">
        <v>2380</v>
      </c>
      <c r="K80" s="8" t="s">
        <v>969</v>
      </c>
      <c r="L80" s="8" t="s">
        <v>969</v>
      </c>
      <c r="M80" s="8" t="s">
        <v>972</v>
      </c>
      <c r="N80" s="8" t="s">
        <v>973</v>
      </c>
      <c r="O80" s="8" t="s">
        <v>969</v>
      </c>
      <c r="P80" s="8" t="s">
        <v>969</v>
      </c>
      <c r="Q80" s="8" t="s">
        <v>969</v>
      </c>
      <c r="R80" s="8" t="s">
        <v>969</v>
      </c>
      <c r="S80" s="8" t="s">
        <v>969</v>
      </c>
      <c r="T80" s="8" t="s">
        <v>2381</v>
      </c>
      <c r="U80" s="8" t="s">
        <v>2382</v>
      </c>
      <c r="V80" s="8" t="s">
        <v>2383</v>
      </c>
      <c r="W80" s="8" t="s">
        <v>2384</v>
      </c>
      <c r="X80" s="8" t="s">
        <v>2385</v>
      </c>
      <c r="Y80" s="8" t="s">
        <v>2386</v>
      </c>
      <c r="Z80" s="8" t="s">
        <v>2387</v>
      </c>
      <c r="AA80" s="8" t="s">
        <v>2388</v>
      </c>
      <c r="AB80" s="8" t="s">
        <v>2389</v>
      </c>
      <c r="AC80" s="8" t="s">
        <v>2390</v>
      </c>
      <c r="AD80" s="8" t="s">
        <v>2391</v>
      </c>
      <c r="AE80" s="8" t="s">
        <v>2392</v>
      </c>
      <c r="AF80" s="8" t="s">
        <v>969</v>
      </c>
      <c r="AG80" s="8">
        <v>47.0</v>
      </c>
      <c r="AH80" s="8">
        <v>120.0</v>
      </c>
      <c r="AI80" s="8">
        <v>136.0</v>
      </c>
      <c r="AJ80" s="8">
        <v>2.0</v>
      </c>
      <c r="AK80" s="8">
        <v>151.0</v>
      </c>
      <c r="AL80" s="8" t="s">
        <v>1091</v>
      </c>
      <c r="AM80" s="8" t="s">
        <v>1092</v>
      </c>
      <c r="AN80" s="8" t="s">
        <v>1093</v>
      </c>
      <c r="AO80" s="8" t="s">
        <v>2393</v>
      </c>
      <c r="AP80" s="8" t="s">
        <v>2394</v>
      </c>
      <c r="AQ80" s="8" t="s">
        <v>969</v>
      </c>
      <c r="AR80" s="8" t="s">
        <v>2395</v>
      </c>
      <c r="AS80" s="8" t="s">
        <v>2396</v>
      </c>
      <c r="AT80" s="8" t="s">
        <v>1163</v>
      </c>
      <c r="AU80" s="8">
        <v>2011.0</v>
      </c>
      <c r="AV80" s="8">
        <v>14.0</v>
      </c>
      <c r="AW80" s="8">
        <v>11.0</v>
      </c>
      <c r="AX80" s="8" t="s">
        <v>969</v>
      </c>
      <c r="AY80" s="8" t="s">
        <v>969</v>
      </c>
      <c r="AZ80" s="8" t="s">
        <v>969</v>
      </c>
      <c r="BA80" s="8" t="s">
        <v>969</v>
      </c>
      <c r="BB80" s="8">
        <v>1125.0</v>
      </c>
      <c r="BC80" s="8">
        <v>1133.0</v>
      </c>
      <c r="BD80" s="8" t="s">
        <v>969</v>
      </c>
      <c r="BE80" s="8" t="s">
        <v>749</v>
      </c>
      <c r="BF80" s="13" t="str">
        <f>HYPERLINK("http://dx.doi.org/10.1111/j.1461-0248.2011.01681.x","http://dx.doi.org/10.1111/j.1461-0248.2011.01681.x")</f>
        <v>http://dx.doi.org/10.1111/j.1461-0248.2011.01681.x</v>
      </c>
      <c r="BG80" s="8" t="s">
        <v>969</v>
      </c>
      <c r="BH80" s="8" t="s">
        <v>969</v>
      </c>
      <c r="BI80" s="8">
        <v>9.0</v>
      </c>
      <c r="BJ80" s="8" t="s">
        <v>1267</v>
      </c>
      <c r="BK80" s="8" t="s">
        <v>988</v>
      </c>
      <c r="BL80" s="8" t="s">
        <v>1268</v>
      </c>
      <c r="BM80" s="8" t="s">
        <v>2397</v>
      </c>
      <c r="BN80" s="8">
        <v>2.1955643E7</v>
      </c>
      <c r="BO80" s="8" t="s">
        <v>969</v>
      </c>
      <c r="BP80" s="8" t="s">
        <v>969</v>
      </c>
      <c r="BQ80" s="8" t="s">
        <v>969</v>
      </c>
      <c r="BR80" s="8" t="s">
        <v>991</v>
      </c>
      <c r="BS80" s="8" t="s">
        <v>2398</v>
      </c>
      <c r="BT80" s="8" t="s">
        <v>993</v>
      </c>
      <c r="BU80" s="8" t="s">
        <v>994</v>
      </c>
      <c r="BW80" s="8" t="s">
        <v>240</v>
      </c>
      <c r="BX80" s="8" t="s">
        <v>995</v>
      </c>
      <c r="BY80" s="8" t="s">
        <v>996</v>
      </c>
      <c r="BZ80" s="8" t="s">
        <v>1374</v>
      </c>
      <c r="CA80" s="8" t="str">
        <f>HYPERLINK("https%3A%2F%2Fwww.webofscience.com%2Fwos%2Fwoscc%2Ffull-record%2FWOS:000296263200007","View Full Record in Web of Science")</f>
        <v>View Full Record in Web of Science</v>
      </c>
    </row>
    <row r="81" ht="12.75" customHeight="1">
      <c r="A81" s="8" t="s">
        <v>967</v>
      </c>
      <c r="B81" s="8" t="s">
        <v>2399</v>
      </c>
      <c r="C81" s="8" t="s">
        <v>969</v>
      </c>
      <c r="D81" s="8" t="s">
        <v>969</v>
      </c>
      <c r="E81" s="8" t="s">
        <v>969</v>
      </c>
      <c r="F81" s="8" t="s">
        <v>2400</v>
      </c>
      <c r="G81" s="8" t="s">
        <v>969</v>
      </c>
      <c r="H81" s="8" t="s">
        <v>969</v>
      </c>
      <c r="I81" s="8" t="s">
        <v>2401</v>
      </c>
      <c r="J81" s="8" t="s">
        <v>2380</v>
      </c>
      <c r="K81" s="8" t="s">
        <v>969</v>
      </c>
      <c r="L81" s="8" t="s">
        <v>969</v>
      </c>
      <c r="M81" s="8" t="s">
        <v>972</v>
      </c>
      <c r="N81" s="8" t="s">
        <v>973</v>
      </c>
      <c r="O81" s="8" t="s">
        <v>969</v>
      </c>
      <c r="P81" s="8" t="s">
        <v>969</v>
      </c>
      <c r="Q81" s="8" t="s">
        <v>969</v>
      </c>
      <c r="R81" s="8" t="s">
        <v>969</v>
      </c>
      <c r="S81" s="8" t="s">
        <v>969</v>
      </c>
      <c r="T81" s="8" t="s">
        <v>2402</v>
      </c>
      <c r="U81" s="8" t="s">
        <v>2403</v>
      </c>
      <c r="V81" s="8" t="s">
        <v>2404</v>
      </c>
      <c r="W81" s="8" t="s">
        <v>2405</v>
      </c>
      <c r="X81" s="8" t="s">
        <v>2406</v>
      </c>
      <c r="Y81" s="8" t="s">
        <v>2407</v>
      </c>
      <c r="Z81" s="8" t="s">
        <v>2408</v>
      </c>
      <c r="AA81" s="8" t="s">
        <v>2409</v>
      </c>
      <c r="AB81" s="8" t="s">
        <v>2410</v>
      </c>
      <c r="AC81" s="8" t="s">
        <v>2411</v>
      </c>
      <c r="AD81" s="8" t="s">
        <v>2412</v>
      </c>
      <c r="AE81" s="8" t="s">
        <v>2413</v>
      </c>
      <c r="AF81" s="8" t="s">
        <v>969</v>
      </c>
      <c r="AG81" s="8">
        <v>50.0</v>
      </c>
      <c r="AH81" s="8">
        <v>157.0</v>
      </c>
      <c r="AI81" s="8">
        <v>190.0</v>
      </c>
      <c r="AJ81" s="8">
        <v>0.0</v>
      </c>
      <c r="AK81" s="8">
        <v>174.0</v>
      </c>
      <c r="AL81" s="8" t="s">
        <v>1091</v>
      </c>
      <c r="AM81" s="8" t="s">
        <v>1092</v>
      </c>
      <c r="AN81" s="8" t="s">
        <v>1093</v>
      </c>
      <c r="AO81" s="8" t="s">
        <v>2393</v>
      </c>
      <c r="AP81" s="8" t="s">
        <v>2394</v>
      </c>
      <c r="AQ81" s="8" t="s">
        <v>969</v>
      </c>
      <c r="AR81" s="8" t="s">
        <v>2395</v>
      </c>
      <c r="AS81" s="8" t="s">
        <v>2396</v>
      </c>
      <c r="AT81" s="8" t="s">
        <v>986</v>
      </c>
      <c r="AU81" s="8">
        <v>2011.0</v>
      </c>
      <c r="AV81" s="8">
        <v>14.0</v>
      </c>
      <c r="AW81" s="8">
        <v>12.0</v>
      </c>
      <c r="AX81" s="8" t="s">
        <v>969</v>
      </c>
      <c r="AY81" s="8" t="s">
        <v>969</v>
      </c>
      <c r="AZ81" s="8" t="s">
        <v>969</v>
      </c>
      <c r="BA81" s="8" t="s">
        <v>969</v>
      </c>
      <c r="BB81" s="8">
        <v>1191.0</v>
      </c>
      <c r="BC81" s="8">
        <v>1200.0</v>
      </c>
      <c r="BD81" s="8" t="s">
        <v>969</v>
      </c>
      <c r="BE81" s="8" t="s">
        <v>752</v>
      </c>
      <c r="BF81" s="13" t="str">
        <f>HYPERLINK("http://dx.doi.org/10.1111/j.1461-0248.2011.01689.x","http://dx.doi.org/10.1111/j.1461-0248.2011.01689.x")</f>
        <v>http://dx.doi.org/10.1111/j.1461-0248.2011.01689.x</v>
      </c>
      <c r="BG81" s="8" t="s">
        <v>969</v>
      </c>
      <c r="BH81" s="8" t="s">
        <v>969</v>
      </c>
      <c r="BI81" s="8">
        <v>10.0</v>
      </c>
      <c r="BJ81" s="8" t="s">
        <v>1267</v>
      </c>
      <c r="BK81" s="8" t="s">
        <v>988</v>
      </c>
      <c r="BL81" s="8" t="s">
        <v>1268</v>
      </c>
      <c r="BM81" s="8" t="s">
        <v>2414</v>
      </c>
      <c r="BN81" s="8">
        <v>2.1978234E7</v>
      </c>
      <c r="BO81" s="8" t="s">
        <v>969</v>
      </c>
      <c r="BP81" s="8" t="s">
        <v>969</v>
      </c>
      <c r="BQ81" s="8" t="s">
        <v>969</v>
      </c>
      <c r="BR81" s="8" t="s">
        <v>991</v>
      </c>
      <c r="BS81" s="8" t="s">
        <v>2415</v>
      </c>
      <c r="BT81" s="8" t="s">
        <v>1249</v>
      </c>
      <c r="BW81" s="8" t="s">
        <v>243</v>
      </c>
      <c r="BX81" s="8" t="s">
        <v>995</v>
      </c>
      <c r="BY81" s="8" t="s">
        <v>996</v>
      </c>
      <c r="BZ81" s="8" t="s">
        <v>1180</v>
      </c>
      <c r="CA81" s="8" t="str">
        <f>HYPERLINK("https%3A%2F%2Fwww.webofscience.com%2Fwos%2Fwoscc%2Ffull-record%2FWOS:000297147500002","View Full Record in Web of Science")</f>
        <v>View Full Record in Web of Science</v>
      </c>
    </row>
    <row r="82" ht="12.75" customHeight="1">
      <c r="A82" s="8" t="s">
        <v>967</v>
      </c>
      <c r="B82" s="8" t="s">
        <v>2416</v>
      </c>
      <c r="C82" s="8" t="s">
        <v>969</v>
      </c>
      <c r="D82" s="8" t="s">
        <v>969</v>
      </c>
      <c r="E82" s="8" t="s">
        <v>969</v>
      </c>
      <c r="F82" s="8" t="s">
        <v>2417</v>
      </c>
      <c r="G82" s="8" t="s">
        <v>969</v>
      </c>
      <c r="H82" s="8" t="s">
        <v>969</v>
      </c>
      <c r="I82" s="8" t="s">
        <v>2418</v>
      </c>
      <c r="J82" s="8" t="s">
        <v>1645</v>
      </c>
      <c r="K82" s="8" t="s">
        <v>969</v>
      </c>
      <c r="L82" s="8" t="s">
        <v>969</v>
      </c>
      <c r="M82" s="8" t="s">
        <v>972</v>
      </c>
      <c r="N82" s="8" t="s">
        <v>973</v>
      </c>
      <c r="O82" s="8" t="s">
        <v>969</v>
      </c>
      <c r="P82" s="8" t="s">
        <v>969</v>
      </c>
      <c r="Q82" s="8" t="s">
        <v>969</v>
      </c>
      <c r="R82" s="8" t="s">
        <v>969</v>
      </c>
      <c r="S82" s="8" t="s">
        <v>969</v>
      </c>
      <c r="T82" s="8" t="s">
        <v>2419</v>
      </c>
      <c r="U82" s="8" t="s">
        <v>2420</v>
      </c>
      <c r="V82" s="8" t="s">
        <v>2421</v>
      </c>
      <c r="W82" s="8" t="s">
        <v>2422</v>
      </c>
      <c r="X82" s="8" t="s">
        <v>2423</v>
      </c>
      <c r="Y82" s="8" t="s">
        <v>2424</v>
      </c>
      <c r="Z82" s="8" t="s">
        <v>2425</v>
      </c>
      <c r="AA82" s="8" t="s">
        <v>2426</v>
      </c>
      <c r="AB82" s="8" t="s">
        <v>2427</v>
      </c>
      <c r="AC82" s="8" t="s">
        <v>2428</v>
      </c>
      <c r="AD82" s="8" t="s">
        <v>2428</v>
      </c>
      <c r="AE82" s="8" t="s">
        <v>2429</v>
      </c>
      <c r="AF82" s="8" t="s">
        <v>969</v>
      </c>
      <c r="AG82" s="8">
        <v>60.0</v>
      </c>
      <c r="AH82" s="8">
        <v>76.0</v>
      </c>
      <c r="AI82" s="8">
        <v>82.0</v>
      </c>
      <c r="AJ82" s="8">
        <v>0.0</v>
      </c>
      <c r="AK82" s="8">
        <v>90.0</v>
      </c>
      <c r="AL82" s="8" t="s">
        <v>1609</v>
      </c>
      <c r="AM82" s="8" t="s">
        <v>1032</v>
      </c>
      <c r="AN82" s="8" t="s">
        <v>1210</v>
      </c>
      <c r="AO82" s="8" t="s">
        <v>1653</v>
      </c>
      <c r="AP82" s="8" t="s">
        <v>1654</v>
      </c>
      <c r="AQ82" s="8" t="s">
        <v>969</v>
      </c>
      <c r="AR82" s="8" t="s">
        <v>1655</v>
      </c>
      <c r="AS82" s="8" t="s">
        <v>1656</v>
      </c>
      <c r="AT82" s="8" t="s">
        <v>986</v>
      </c>
      <c r="AU82" s="8">
        <v>2011.0</v>
      </c>
      <c r="AV82" s="8">
        <v>20.0</v>
      </c>
      <c r="AW82" s="8">
        <v>13.0</v>
      </c>
      <c r="AX82" s="8" t="s">
        <v>969</v>
      </c>
      <c r="AY82" s="8" t="s">
        <v>969</v>
      </c>
      <c r="AZ82" s="8" t="s">
        <v>2350</v>
      </c>
      <c r="BA82" s="8" t="s">
        <v>969</v>
      </c>
      <c r="BB82" s="8">
        <v>3133.0</v>
      </c>
      <c r="BC82" s="8">
        <v>3146.0</v>
      </c>
      <c r="BD82" s="8" t="s">
        <v>969</v>
      </c>
      <c r="BE82" s="8" t="s">
        <v>533</v>
      </c>
      <c r="BF82" s="13" t="str">
        <f>HYPERLINK("http://dx.doi.org/10.1007/s10531-011-0140-y","http://dx.doi.org/10.1007/s10531-011-0140-y")</f>
        <v>http://dx.doi.org/10.1007/s10531-011-0140-y</v>
      </c>
      <c r="BG82" s="8" t="s">
        <v>969</v>
      </c>
      <c r="BH82" s="8" t="s">
        <v>969</v>
      </c>
      <c r="BI82" s="8">
        <v>14.0</v>
      </c>
      <c r="BJ82" s="8" t="s">
        <v>987</v>
      </c>
      <c r="BK82" s="8" t="s">
        <v>988</v>
      </c>
      <c r="BL82" s="8" t="s">
        <v>989</v>
      </c>
      <c r="BM82" s="8" t="s">
        <v>2430</v>
      </c>
      <c r="BN82" s="8" t="s">
        <v>969</v>
      </c>
      <c r="BO82" s="8" t="s">
        <v>969</v>
      </c>
      <c r="BP82" s="8" t="s">
        <v>969</v>
      </c>
      <c r="BQ82" s="8" t="s">
        <v>969</v>
      </c>
      <c r="BR82" s="8" t="s">
        <v>991</v>
      </c>
      <c r="BS82" s="8" t="s">
        <v>2431</v>
      </c>
      <c r="BT82" s="8" t="s">
        <v>1021</v>
      </c>
      <c r="BW82" s="8" t="s">
        <v>33</v>
      </c>
      <c r="BX82" s="8" t="s">
        <v>995</v>
      </c>
      <c r="CA82" s="8" t="str">
        <f>HYPERLINK("https%3A%2F%2Fwww.webofscience.com%2Fwos%2Fwoscc%2Ffull-record%2FWOS:000297170900017","View Full Record in Web of Science")</f>
        <v>View Full Record in Web of Science</v>
      </c>
    </row>
    <row r="83" ht="12.75" customHeight="1">
      <c r="A83" s="8" t="s">
        <v>967</v>
      </c>
      <c r="B83" s="8" t="s">
        <v>2432</v>
      </c>
      <c r="C83" s="8" t="s">
        <v>969</v>
      </c>
      <c r="D83" s="8" t="s">
        <v>969</v>
      </c>
      <c r="E83" s="8" t="s">
        <v>969</v>
      </c>
      <c r="F83" s="8" t="s">
        <v>2433</v>
      </c>
      <c r="G83" s="8" t="s">
        <v>969</v>
      </c>
      <c r="H83" s="8" t="s">
        <v>969</v>
      </c>
      <c r="I83" s="8" t="s">
        <v>2434</v>
      </c>
      <c r="J83" s="8" t="s">
        <v>1427</v>
      </c>
      <c r="K83" s="8" t="s">
        <v>969</v>
      </c>
      <c r="L83" s="8" t="s">
        <v>969</v>
      </c>
      <c r="M83" s="8" t="s">
        <v>972</v>
      </c>
      <c r="N83" s="8" t="s">
        <v>973</v>
      </c>
      <c r="O83" s="8" t="s">
        <v>969</v>
      </c>
      <c r="P83" s="8" t="s">
        <v>969</v>
      </c>
      <c r="Q83" s="8" t="s">
        <v>969</v>
      </c>
      <c r="R83" s="8" t="s">
        <v>969</v>
      </c>
      <c r="S83" s="8" t="s">
        <v>969</v>
      </c>
      <c r="T83" s="8" t="s">
        <v>2435</v>
      </c>
      <c r="U83" s="8" t="s">
        <v>2436</v>
      </c>
      <c r="V83" s="8" t="s">
        <v>2437</v>
      </c>
      <c r="W83" s="8" t="s">
        <v>2438</v>
      </c>
      <c r="X83" s="8" t="s">
        <v>2439</v>
      </c>
      <c r="Y83" s="8" t="s">
        <v>2440</v>
      </c>
      <c r="Z83" s="8" t="s">
        <v>2441</v>
      </c>
      <c r="AA83" s="8" t="s">
        <v>2442</v>
      </c>
      <c r="AB83" s="8" t="s">
        <v>2443</v>
      </c>
      <c r="AC83" s="8" t="s">
        <v>969</v>
      </c>
      <c r="AD83" s="8" t="s">
        <v>969</v>
      </c>
      <c r="AE83" s="8" t="s">
        <v>969</v>
      </c>
      <c r="AF83" s="8" t="s">
        <v>969</v>
      </c>
      <c r="AG83" s="8">
        <v>83.0</v>
      </c>
      <c r="AH83" s="8">
        <v>80.0</v>
      </c>
      <c r="AI83" s="8">
        <v>84.0</v>
      </c>
      <c r="AJ83" s="8">
        <v>0.0</v>
      </c>
      <c r="AK83" s="8">
        <v>152.0</v>
      </c>
      <c r="AL83" s="8" t="s">
        <v>1091</v>
      </c>
      <c r="AM83" s="8" t="s">
        <v>1092</v>
      </c>
      <c r="AN83" s="8" t="s">
        <v>1093</v>
      </c>
      <c r="AO83" s="8" t="s">
        <v>1437</v>
      </c>
      <c r="AP83" s="8" t="s">
        <v>1499</v>
      </c>
      <c r="AQ83" s="8" t="s">
        <v>969</v>
      </c>
      <c r="AR83" s="8" t="s">
        <v>1438</v>
      </c>
      <c r="AS83" s="8" t="s">
        <v>1439</v>
      </c>
      <c r="AT83" s="8" t="s">
        <v>1036</v>
      </c>
      <c r="AU83" s="8">
        <v>2012.0</v>
      </c>
      <c r="AV83" s="8">
        <v>18.0</v>
      </c>
      <c r="AW83" s="8">
        <v>2.0</v>
      </c>
      <c r="AX83" s="8" t="s">
        <v>969</v>
      </c>
      <c r="AY83" s="8" t="s">
        <v>969</v>
      </c>
      <c r="AZ83" s="8" t="s">
        <v>969</v>
      </c>
      <c r="BA83" s="8" t="s">
        <v>969</v>
      </c>
      <c r="BB83" s="8">
        <v>121.0</v>
      </c>
      <c r="BC83" s="8">
        <v>132.0</v>
      </c>
      <c r="BD83" s="8" t="s">
        <v>969</v>
      </c>
      <c r="BE83" s="8" t="s">
        <v>764</v>
      </c>
      <c r="BF83" s="13" t="str">
        <f>HYPERLINK("http://dx.doi.org/10.1111/j.1472-4642.2011.00827.x","http://dx.doi.org/10.1111/j.1472-4642.2011.00827.x")</f>
        <v>http://dx.doi.org/10.1111/j.1472-4642.2011.00827.x</v>
      </c>
      <c r="BG83" s="8" t="s">
        <v>969</v>
      </c>
      <c r="BH83" s="8" t="s">
        <v>969</v>
      </c>
      <c r="BI83" s="8">
        <v>12.0</v>
      </c>
      <c r="BJ83" s="8" t="s">
        <v>1286</v>
      </c>
      <c r="BK83" s="8" t="s">
        <v>988</v>
      </c>
      <c r="BL83" s="8" t="s">
        <v>989</v>
      </c>
      <c r="BM83" s="8" t="s">
        <v>2444</v>
      </c>
      <c r="BN83" s="8" t="s">
        <v>969</v>
      </c>
      <c r="BO83" s="8" t="s">
        <v>969</v>
      </c>
      <c r="BP83" s="8" t="s">
        <v>969</v>
      </c>
      <c r="BQ83" s="8" t="s">
        <v>969</v>
      </c>
      <c r="BR83" s="8" t="s">
        <v>991</v>
      </c>
      <c r="BS83" s="8" t="s">
        <v>2445</v>
      </c>
      <c r="BT83" s="8" t="s">
        <v>1021</v>
      </c>
      <c r="BW83" s="8" t="s">
        <v>81</v>
      </c>
      <c r="BX83" s="8" t="s">
        <v>995</v>
      </c>
      <c r="BY83" s="8" t="s">
        <v>996</v>
      </c>
      <c r="BZ83" s="8" t="s">
        <v>1180</v>
      </c>
      <c r="CA83" s="8" t="str">
        <f>HYPERLINK("https%3A%2F%2Fwww.webofscience.com%2Fwos%2Fwoscc%2Ffull-record%2FWOS:000298874900003","View Full Record in Web of Science")</f>
        <v>View Full Record in Web of Science</v>
      </c>
    </row>
    <row r="84" ht="12.75" customHeight="1">
      <c r="A84" s="8" t="s">
        <v>967</v>
      </c>
      <c r="B84" s="8" t="s">
        <v>2446</v>
      </c>
      <c r="C84" s="8" t="s">
        <v>969</v>
      </c>
      <c r="D84" s="8" t="s">
        <v>969</v>
      </c>
      <c r="E84" s="8" t="s">
        <v>969</v>
      </c>
      <c r="F84" s="8" t="s">
        <v>2447</v>
      </c>
      <c r="G84" s="8" t="s">
        <v>969</v>
      </c>
      <c r="H84" s="8" t="s">
        <v>969</v>
      </c>
      <c r="I84" s="8" t="s">
        <v>2448</v>
      </c>
      <c r="J84" s="8" t="s">
        <v>971</v>
      </c>
      <c r="K84" s="8" t="s">
        <v>969</v>
      </c>
      <c r="L84" s="8" t="s">
        <v>969</v>
      </c>
      <c r="M84" s="8" t="s">
        <v>972</v>
      </c>
      <c r="N84" s="8" t="s">
        <v>973</v>
      </c>
      <c r="O84" s="8" t="s">
        <v>969</v>
      </c>
      <c r="P84" s="8" t="s">
        <v>969</v>
      </c>
      <c r="Q84" s="8" t="s">
        <v>969</v>
      </c>
      <c r="R84" s="8" t="s">
        <v>969</v>
      </c>
      <c r="S84" s="8" t="s">
        <v>969</v>
      </c>
      <c r="T84" s="8" t="s">
        <v>2449</v>
      </c>
      <c r="U84" s="8" t="s">
        <v>2450</v>
      </c>
      <c r="V84" s="8" t="s">
        <v>2451</v>
      </c>
      <c r="W84" s="8" t="s">
        <v>2452</v>
      </c>
      <c r="X84" s="8" t="s">
        <v>2453</v>
      </c>
      <c r="Y84" s="8" t="s">
        <v>2454</v>
      </c>
      <c r="Z84" s="8" t="s">
        <v>2455</v>
      </c>
      <c r="AA84" s="8" t="s">
        <v>2456</v>
      </c>
      <c r="AB84" s="8" t="s">
        <v>2457</v>
      </c>
      <c r="AC84" s="8" t="s">
        <v>2458</v>
      </c>
      <c r="AD84" s="8" t="s">
        <v>2459</v>
      </c>
      <c r="AE84" s="8" t="s">
        <v>2460</v>
      </c>
      <c r="AF84" s="8" t="s">
        <v>969</v>
      </c>
      <c r="AG84" s="8">
        <v>63.0</v>
      </c>
      <c r="AH84" s="8">
        <v>194.0</v>
      </c>
      <c r="AI84" s="8">
        <v>232.0</v>
      </c>
      <c r="AJ84" s="8">
        <v>2.0</v>
      </c>
      <c r="AK84" s="8">
        <v>255.0</v>
      </c>
      <c r="AL84" s="8" t="s">
        <v>1091</v>
      </c>
      <c r="AM84" s="8" t="s">
        <v>1092</v>
      </c>
      <c r="AN84" s="8" t="s">
        <v>1093</v>
      </c>
      <c r="AO84" s="8" t="s">
        <v>983</v>
      </c>
      <c r="AP84" s="8" t="s">
        <v>1094</v>
      </c>
      <c r="AQ84" s="8" t="s">
        <v>969</v>
      </c>
      <c r="AR84" s="8" t="s">
        <v>1095</v>
      </c>
      <c r="AS84" s="8" t="s">
        <v>985</v>
      </c>
      <c r="AT84" s="8" t="s">
        <v>1552</v>
      </c>
      <c r="AU84" s="8">
        <v>2012.0</v>
      </c>
      <c r="AV84" s="8">
        <v>18.0</v>
      </c>
      <c r="AW84" s="8">
        <v>4.0</v>
      </c>
      <c r="AX84" s="8" t="s">
        <v>969</v>
      </c>
      <c r="AY84" s="8" t="s">
        <v>969</v>
      </c>
      <c r="AZ84" s="8" t="s">
        <v>969</v>
      </c>
      <c r="BA84" s="8" t="s">
        <v>969</v>
      </c>
      <c r="BB84" s="8">
        <v>1357.0</v>
      </c>
      <c r="BC84" s="8">
        <v>1371.0</v>
      </c>
      <c r="BD84" s="8" t="s">
        <v>969</v>
      </c>
      <c r="BE84" s="8" t="s">
        <v>725</v>
      </c>
      <c r="BF84" s="13" t="str">
        <f>HYPERLINK("http://dx.doi.org/10.1111/j.1365-2486.2011.02614.x","http://dx.doi.org/10.1111/j.1365-2486.2011.02614.x")</f>
        <v>http://dx.doi.org/10.1111/j.1365-2486.2011.02614.x</v>
      </c>
      <c r="BG84" s="8" t="s">
        <v>969</v>
      </c>
      <c r="BH84" s="8" t="s">
        <v>969</v>
      </c>
      <c r="BI84" s="8">
        <v>15.0</v>
      </c>
      <c r="BJ84" s="8" t="s">
        <v>987</v>
      </c>
      <c r="BK84" s="8" t="s">
        <v>988</v>
      </c>
      <c r="BL84" s="8" t="s">
        <v>989</v>
      </c>
      <c r="BM84" s="8" t="s">
        <v>2461</v>
      </c>
      <c r="BN84" s="8" t="s">
        <v>969</v>
      </c>
      <c r="BO84" s="8" t="s">
        <v>969</v>
      </c>
      <c r="BP84" s="8" t="s">
        <v>969</v>
      </c>
      <c r="BQ84" s="8" t="s">
        <v>969</v>
      </c>
      <c r="BR84" s="8" t="s">
        <v>991</v>
      </c>
      <c r="BS84" s="8" t="s">
        <v>2462</v>
      </c>
      <c r="BT84" s="8" t="s">
        <v>1115</v>
      </c>
      <c r="BU84" s="8" t="s">
        <v>1116</v>
      </c>
      <c r="BV84" s="8" t="s">
        <v>1117</v>
      </c>
      <c r="BW84" s="8" t="s">
        <v>51</v>
      </c>
      <c r="BX84" s="8" t="s">
        <v>1022</v>
      </c>
      <c r="CA84" s="8" t="str">
        <f>HYPERLINK("https%3A%2F%2Fwww.webofscience.com%2Fwos%2Fwoscc%2Ffull-record%2FWOS:000301533100013","View Full Record in Web of Science")</f>
        <v>View Full Record in Web of Science</v>
      </c>
    </row>
    <row r="85" ht="12.75" customHeight="1">
      <c r="A85" s="8" t="s">
        <v>967</v>
      </c>
      <c r="B85" s="8" t="s">
        <v>2463</v>
      </c>
      <c r="C85" s="8" t="s">
        <v>969</v>
      </c>
      <c r="D85" s="8" t="s">
        <v>969</v>
      </c>
      <c r="E85" s="8" t="s">
        <v>969</v>
      </c>
      <c r="F85" s="8" t="s">
        <v>2464</v>
      </c>
      <c r="G85" s="8" t="s">
        <v>969</v>
      </c>
      <c r="H85" s="8" t="s">
        <v>969</v>
      </c>
      <c r="I85" s="8" t="s">
        <v>2465</v>
      </c>
      <c r="J85" s="8" t="s">
        <v>971</v>
      </c>
      <c r="K85" s="8" t="s">
        <v>969</v>
      </c>
      <c r="L85" s="8" t="s">
        <v>969</v>
      </c>
      <c r="M85" s="8" t="s">
        <v>972</v>
      </c>
      <c r="N85" s="8" t="s">
        <v>973</v>
      </c>
      <c r="O85" s="8" t="s">
        <v>969</v>
      </c>
      <c r="P85" s="8" t="s">
        <v>969</v>
      </c>
      <c r="Q85" s="8" t="s">
        <v>969</v>
      </c>
      <c r="R85" s="8" t="s">
        <v>969</v>
      </c>
      <c r="S85" s="8" t="s">
        <v>969</v>
      </c>
      <c r="T85" s="8" t="s">
        <v>2466</v>
      </c>
      <c r="U85" s="8" t="s">
        <v>2467</v>
      </c>
      <c r="V85" s="8" t="s">
        <v>2468</v>
      </c>
      <c r="W85" s="8" t="s">
        <v>2469</v>
      </c>
      <c r="X85" s="8" t="s">
        <v>2470</v>
      </c>
      <c r="Y85" s="8" t="s">
        <v>2471</v>
      </c>
      <c r="Z85" s="8" t="s">
        <v>2472</v>
      </c>
      <c r="AA85" s="8" t="s">
        <v>2473</v>
      </c>
      <c r="AB85" s="8" t="s">
        <v>2474</v>
      </c>
      <c r="AC85" s="8" t="s">
        <v>969</v>
      </c>
      <c r="AD85" s="8" t="s">
        <v>969</v>
      </c>
      <c r="AE85" s="8" t="s">
        <v>969</v>
      </c>
      <c r="AF85" s="8" t="s">
        <v>969</v>
      </c>
      <c r="AG85" s="8">
        <v>75.0</v>
      </c>
      <c r="AH85" s="8">
        <v>114.0</v>
      </c>
      <c r="AI85" s="8">
        <v>127.0</v>
      </c>
      <c r="AJ85" s="8">
        <v>4.0</v>
      </c>
      <c r="AK85" s="8">
        <v>183.0</v>
      </c>
      <c r="AL85" s="8" t="s">
        <v>1091</v>
      </c>
      <c r="AM85" s="8" t="s">
        <v>1092</v>
      </c>
      <c r="AN85" s="8" t="s">
        <v>1093</v>
      </c>
      <c r="AO85" s="8" t="s">
        <v>983</v>
      </c>
      <c r="AP85" s="8" t="s">
        <v>1094</v>
      </c>
      <c r="AQ85" s="8" t="s">
        <v>969</v>
      </c>
      <c r="AR85" s="8" t="s">
        <v>1095</v>
      </c>
      <c r="AS85" s="8" t="s">
        <v>985</v>
      </c>
      <c r="AT85" s="8" t="s">
        <v>1177</v>
      </c>
      <c r="AU85" s="8">
        <v>2012.0</v>
      </c>
      <c r="AV85" s="8">
        <v>18.0</v>
      </c>
      <c r="AW85" s="8">
        <v>5.0</v>
      </c>
      <c r="AX85" s="8" t="s">
        <v>969</v>
      </c>
      <c r="AY85" s="8" t="s">
        <v>969</v>
      </c>
      <c r="AZ85" s="8" t="s">
        <v>969</v>
      </c>
      <c r="BA85" s="8" t="s">
        <v>969</v>
      </c>
      <c r="BB85" s="8">
        <v>1520.0</v>
      </c>
      <c r="BC85" s="8">
        <v>1530.0</v>
      </c>
      <c r="BD85" s="8" t="s">
        <v>969</v>
      </c>
      <c r="BE85" s="8" t="s">
        <v>728</v>
      </c>
      <c r="BF85" s="13" t="str">
        <f>HYPERLINK("http://dx.doi.org/10.1111/j.1365-2486.2011.02623.x","http://dx.doi.org/10.1111/j.1365-2486.2011.02623.x")</f>
        <v>http://dx.doi.org/10.1111/j.1365-2486.2011.02623.x</v>
      </c>
      <c r="BG85" s="8" t="s">
        <v>969</v>
      </c>
      <c r="BH85" s="8" t="s">
        <v>969</v>
      </c>
      <c r="BI85" s="8">
        <v>11.0</v>
      </c>
      <c r="BJ85" s="8" t="s">
        <v>987</v>
      </c>
      <c r="BK85" s="8" t="s">
        <v>988</v>
      </c>
      <c r="BL85" s="8" t="s">
        <v>989</v>
      </c>
      <c r="BM85" s="8" t="s">
        <v>2475</v>
      </c>
      <c r="BN85" s="8" t="s">
        <v>969</v>
      </c>
      <c r="BO85" s="8" t="s">
        <v>969</v>
      </c>
      <c r="BP85" s="8" t="s">
        <v>969</v>
      </c>
      <c r="BQ85" s="8" t="s">
        <v>969</v>
      </c>
      <c r="BR85" s="8" t="s">
        <v>991</v>
      </c>
      <c r="BS85" s="8" t="s">
        <v>2476</v>
      </c>
      <c r="BT85" s="8" t="s">
        <v>1249</v>
      </c>
      <c r="BW85" s="8" t="s">
        <v>40</v>
      </c>
      <c r="BX85" s="8" t="s">
        <v>995</v>
      </c>
      <c r="BY85" s="8" t="s">
        <v>996</v>
      </c>
      <c r="CA85" s="8" t="str">
        <f>HYPERLINK("https%3A%2F%2Fwww.webofscience.com%2Fwos%2Fwoscc%2Ffull-record%2FWOS:000302543500005","View Full Record in Web of Science")</f>
        <v>View Full Record in Web of Science</v>
      </c>
    </row>
    <row r="86" ht="12.75" customHeight="1">
      <c r="A86" s="8" t="s">
        <v>967</v>
      </c>
      <c r="B86" s="8" t="s">
        <v>2477</v>
      </c>
      <c r="C86" s="8" t="s">
        <v>969</v>
      </c>
      <c r="D86" s="8" t="s">
        <v>969</v>
      </c>
      <c r="E86" s="8" t="s">
        <v>969</v>
      </c>
      <c r="F86" s="8" t="s">
        <v>2478</v>
      </c>
      <c r="G86" s="8" t="s">
        <v>969</v>
      </c>
      <c r="H86" s="8" t="s">
        <v>969</v>
      </c>
      <c r="I86" s="8" t="s">
        <v>2479</v>
      </c>
      <c r="J86" s="8" t="s">
        <v>1974</v>
      </c>
      <c r="K86" s="8" t="s">
        <v>969</v>
      </c>
      <c r="L86" s="8" t="s">
        <v>969</v>
      </c>
      <c r="M86" s="8" t="s">
        <v>972</v>
      </c>
      <c r="N86" s="8" t="s">
        <v>973</v>
      </c>
      <c r="O86" s="8" t="s">
        <v>969</v>
      </c>
      <c r="P86" s="8" t="s">
        <v>969</v>
      </c>
      <c r="Q86" s="8" t="s">
        <v>969</v>
      </c>
      <c r="R86" s="8" t="s">
        <v>969</v>
      </c>
      <c r="S86" s="8" t="s">
        <v>969</v>
      </c>
      <c r="T86" s="8" t="s">
        <v>969</v>
      </c>
      <c r="U86" s="8" t="s">
        <v>2480</v>
      </c>
      <c r="V86" s="8" t="s">
        <v>2481</v>
      </c>
      <c r="W86" s="8" t="s">
        <v>2482</v>
      </c>
      <c r="X86" s="8" t="s">
        <v>969</v>
      </c>
      <c r="Y86" s="8" t="s">
        <v>2483</v>
      </c>
      <c r="Z86" s="8" t="s">
        <v>2484</v>
      </c>
      <c r="AA86" s="8" t="s">
        <v>969</v>
      </c>
      <c r="AB86" s="8" t="s">
        <v>969</v>
      </c>
      <c r="AC86" s="8" t="s">
        <v>969</v>
      </c>
      <c r="AD86" s="8" t="s">
        <v>969</v>
      </c>
      <c r="AE86" s="8" t="s">
        <v>969</v>
      </c>
      <c r="AF86" s="8" t="s">
        <v>969</v>
      </c>
      <c r="AG86" s="8">
        <v>55.0</v>
      </c>
      <c r="AH86" s="8">
        <v>99.0</v>
      </c>
      <c r="AI86" s="8">
        <v>118.0</v>
      </c>
      <c r="AJ86" s="8">
        <v>1.0</v>
      </c>
      <c r="AK86" s="8">
        <v>102.0</v>
      </c>
      <c r="AL86" s="8" t="s">
        <v>1985</v>
      </c>
      <c r="AM86" s="8" t="s">
        <v>1986</v>
      </c>
      <c r="AN86" s="8" t="s">
        <v>1987</v>
      </c>
      <c r="AO86" s="8" t="s">
        <v>1988</v>
      </c>
      <c r="AP86" s="8" t="s">
        <v>969</v>
      </c>
      <c r="AQ86" s="8" t="s">
        <v>969</v>
      </c>
      <c r="AR86" s="8" t="s">
        <v>1974</v>
      </c>
      <c r="AS86" s="8" t="s">
        <v>1989</v>
      </c>
      <c r="AT86" s="8" t="s">
        <v>2485</v>
      </c>
      <c r="AU86" s="8">
        <v>2012.0</v>
      </c>
      <c r="AV86" s="8">
        <v>7.0</v>
      </c>
      <c r="AW86" s="8">
        <v>3.0</v>
      </c>
      <c r="AX86" s="8" t="s">
        <v>969</v>
      </c>
      <c r="AY86" s="8" t="s">
        <v>969</v>
      </c>
      <c r="AZ86" s="8" t="s">
        <v>969</v>
      </c>
      <c r="BA86" s="8" t="s">
        <v>969</v>
      </c>
      <c r="BB86" s="8" t="s">
        <v>969</v>
      </c>
      <c r="BC86" s="8" t="s">
        <v>969</v>
      </c>
      <c r="BD86" s="8" t="s">
        <v>2486</v>
      </c>
      <c r="BE86" s="8" t="s">
        <v>815</v>
      </c>
      <c r="BF86" s="13" t="str">
        <f>HYPERLINK("http://dx.doi.org/10.1371/journal.pone.0029507","http://dx.doi.org/10.1371/journal.pone.0029507")</f>
        <v>http://dx.doi.org/10.1371/journal.pone.0029507</v>
      </c>
      <c r="BG86" s="8" t="s">
        <v>969</v>
      </c>
      <c r="BH86" s="8" t="s">
        <v>969</v>
      </c>
      <c r="BI86" s="8">
        <v>13.0</v>
      </c>
      <c r="BJ86" s="8" t="s">
        <v>1076</v>
      </c>
      <c r="BK86" s="8" t="s">
        <v>988</v>
      </c>
      <c r="BL86" s="8" t="s">
        <v>1077</v>
      </c>
      <c r="BM86" s="8" t="s">
        <v>2487</v>
      </c>
      <c r="BN86" s="8">
        <v>2.2396726E7</v>
      </c>
      <c r="BO86" s="8" t="s">
        <v>1140</v>
      </c>
      <c r="BP86" s="8" t="s">
        <v>969</v>
      </c>
      <c r="BQ86" s="8" t="s">
        <v>969</v>
      </c>
      <c r="BR86" s="8" t="s">
        <v>991</v>
      </c>
      <c r="BS86" s="8" t="s">
        <v>2488</v>
      </c>
      <c r="BT86" s="8" t="s">
        <v>993</v>
      </c>
      <c r="BU86" s="8" t="s">
        <v>994</v>
      </c>
      <c r="BW86" s="8" t="s">
        <v>81</v>
      </c>
      <c r="BX86" s="8" t="s">
        <v>995</v>
      </c>
      <c r="BY86" s="8" t="s">
        <v>996</v>
      </c>
      <c r="BZ86" s="8" t="s">
        <v>1180</v>
      </c>
      <c r="CA86" s="8" t="str">
        <f>HYPERLINK("https%3A%2F%2Fwww.webofscience.com%2Fwos%2Fwoscc%2Ffull-record%2FWOS:000303006500001","View Full Record in Web of Science")</f>
        <v>View Full Record in Web of Science</v>
      </c>
    </row>
    <row r="87" ht="12.75" customHeight="1">
      <c r="A87" s="8" t="s">
        <v>967</v>
      </c>
      <c r="B87" s="8" t="s">
        <v>2489</v>
      </c>
      <c r="C87" s="8" t="s">
        <v>969</v>
      </c>
      <c r="D87" s="8" t="s">
        <v>969</v>
      </c>
      <c r="E87" s="8" t="s">
        <v>969</v>
      </c>
      <c r="F87" s="8" t="s">
        <v>2490</v>
      </c>
      <c r="G87" s="8" t="s">
        <v>969</v>
      </c>
      <c r="H87" s="8" t="s">
        <v>969</v>
      </c>
      <c r="I87" s="8" t="s">
        <v>2491</v>
      </c>
      <c r="J87" s="8" t="s">
        <v>971</v>
      </c>
      <c r="K87" s="8" t="s">
        <v>969</v>
      </c>
      <c r="L87" s="8" t="s">
        <v>969</v>
      </c>
      <c r="M87" s="8" t="s">
        <v>972</v>
      </c>
      <c r="N87" s="8" t="s">
        <v>973</v>
      </c>
      <c r="O87" s="8" t="s">
        <v>969</v>
      </c>
      <c r="P87" s="8" t="s">
        <v>969</v>
      </c>
      <c r="Q87" s="8" t="s">
        <v>969</v>
      </c>
      <c r="R87" s="8" t="s">
        <v>969</v>
      </c>
      <c r="S87" s="8" t="s">
        <v>969</v>
      </c>
      <c r="T87" s="8" t="s">
        <v>2492</v>
      </c>
      <c r="U87" s="8" t="s">
        <v>2493</v>
      </c>
      <c r="V87" s="8" t="s">
        <v>2494</v>
      </c>
      <c r="W87" s="8" t="s">
        <v>2495</v>
      </c>
      <c r="X87" s="8" t="s">
        <v>2496</v>
      </c>
      <c r="Y87" s="8" t="s">
        <v>2497</v>
      </c>
      <c r="Z87" s="8" t="s">
        <v>2498</v>
      </c>
      <c r="AA87" s="8" t="s">
        <v>2499</v>
      </c>
      <c r="AB87" s="8" t="s">
        <v>2500</v>
      </c>
      <c r="AC87" s="8" t="s">
        <v>2501</v>
      </c>
      <c r="AD87" s="8" t="s">
        <v>2502</v>
      </c>
      <c r="AE87" s="8" t="s">
        <v>2503</v>
      </c>
      <c r="AF87" s="8" t="s">
        <v>969</v>
      </c>
      <c r="AG87" s="8">
        <v>66.0</v>
      </c>
      <c r="AH87" s="8">
        <v>63.0</v>
      </c>
      <c r="AI87" s="8">
        <v>75.0</v>
      </c>
      <c r="AJ87" s="8">
        <v>0.0</v>
      </c>
      <c r="AK87" s="8">
        <v>110.0</v>
      </c>
      <c r="AL87" s="8" t="s">
        <v>1091</v>
      </c>
      <c r="AM87" s="8" t="s">
        <v>1092</v>
      </c>
      <c r="AN87" s="8" t="s">
        <v>1093</v>
      </c>
      <c r="AO87" s="8" t="s">
        <v>983</v>
      </c>
      <c r="AP87" s="8" t="s">
        <v>1094</v>
      </c>
      <c r="AQ87" s="8" t="s">
        <v>969</v>
      </c>
      <c r="AR87" s="8" t="s">
        <v>1095</v>
      </c>
      <c r="AS87" s="8" t="s">
        <v>985</v>
      </c>
      <c r="AT87" s="8" t="s">
        <v>1285</v>
      </c>
      <c r="AU87" s="8">
        <v>2012.0</v>
      </c>
      <c r="AV87" s="8">
        <v>18.0</v>
      </c>
      <c r="AW87" s="8">
        <v>6.0</v>
      </c>
      <c r="AX87" s="8" t="s">
        <v>969</v>
      </c>
      <c r="AY87" s="8" t="s">
        <v>969</v>
      </c>
      <c r="AZ87" s="8" t="s">
        <v>969</v>
      </c>
      <c r="BA87" s="8" t="s">
        <v>969</v>
      </c>
      <c r="BB87" s="8">
        <v>1854.0</v>
      </c>
      <c r="BC87" s="8">
        <v>1865.0</v>
      </c>
      <c r="BD87" s="8" t="s">
        <v>969</v>
      </c>
      <c r="BE87" s="8" t="s">
        <v>731</v>
      </c>
      <c r="BF87" s="13" t="str">
        <f>HYPERLINK("http://dx.doi.org/10.1111/j.1365-2486.2012.02641.x","http://dx.doi.org/10.1111/j.1365-2486.2012.02641.x")</f>
        <v>http://dx.doi.org/10.1111/j.1365-2486.2012.02641.x</v>
      </c>
      <c r="BG87" s="8" t="s">
        <v>969</v>
      </c>
      <c r="BH87" s="8" t="s">
        <v>969</v>
      </c>
      <c r="BI87" s="8">
        <v>12.0</v>
      </c>
      <c r="BJ87" s="8" t="s">
        <v>987</v>
      </c>
      <c r="BK87" s="8" t="s">
        <v>988</v>
      </c>
      <c r="BL87" s="8" t="s">
        <v>989</v>
      </c>
      <c r="BM87" s="8" t="s">
        <v>2504</v>
      </c>
      <c r="BN87" s="8" t="s">
        <v>969</v>
      </c>
      <c r="BO87" s="8" t="s">
        <v>969</v>
      </c>
      <c r="BP87" s="8" t="s">
        <v>969</v>
      </c>
      <c r="BQ87" s="8" t="s">
        <v>969</v>
      </c>
      <c r="BR87" s="8" t="s">
        <v>991</v>
      </c>
      <c r="BS87" s="8" t="s">
        <v>2505</v>
      </c>
      <c r="BT87" s="8" t="s">
        <v>1021</v>
      </c>
      <c r="BW87" s="8" t="s">
        <v>56</v>
      </c>
      <c r="BX87" s="8" t="s">
        <v>995</v>
      </c>
      <c r="BY87" s="8" t="s">
        <v>996</v>
      </c>
      <c r="BZ87" s="8" t="s">
        <v>997</v>
      </c>
      <c r="CA87" s="8" t="str">
        <f>HYPERLINK("https%3A%2F%2Fwww.webofscience.com%2Fwos%2Fwoscc%2Ffull-record%2FWOS:000303763600008","View Full Record in Web of Science")</f>
        <v>View Full Record in Web of Science</v>
      </c>
    </row>
    <row r="88" ht="12.75" customHeight="1">
      <c r="A88" s="8" t="s">
        <v>967</v>
      </c>
      <c r="B88" s="8" t="s">
        <v>2506</v>
      </c>
      <c r="C88" s="8" t="s">
        <v>969</v>
      </c>
      <c r="D88" s="8" t="s">
        <v>969</v>
      </c>
      <c r="E88" s="8" t="s">
        <v>969</v>
      </c>
      <c r="F88" s="8" t="s">
        <v>2507</v>
      </c>
      <c r="G88" s="8" t="s">
        <v>969</v>
      </c>
      <c r="H88" s="8" t="s">
        <v>969</v>
      </c>
      <c r="I88" s="8" t="s">
        <v>2508</v>
      </c>
      <c r="J88" s="8" t="s">
        <v>1377</v>
      </c>
      <c r="K88" s="8" t="s">
        <v>969</v>
      </c>
      <c r="L88" s="8" t="s">
        <v>969</v>
      </c>
      <c r="M88" s="8" t="s">
        <v>972</v>
      </c>
      <c r="N88" s="8" t="s">
        <v>973</v>
      </c>
      <c r="O88" s="8" t="s">
        <v>969</v>
      </c>
      <c r="P88" s="8" t="s">
        <v>969</v>
      </c>
      <c r="Q88" s="8" t="s">
        <v>969</v>
      </c>
      <c r="R88" s="8" t="s">
        <v>969</v>
      </c>
      <c r="S88" s="8" t="s">
        <v>969</v>
      </c>
      <c r="T88" s="8" t="s">
        <v>969</v>
      </c>
      <c r="U88" s="8" t="s">
        <v>2509</v>
      </c>
      <c r="V88" s="8" t="s">
        <v>2510</v>
      </c>
      <c r="W88" s="8" t="s">
        <v>2511</v>
      </c>
      <c r="X88" s="8" t="s">
        <v>2406</v>
      </c>
      <c r="Y88" s="8" t="s">
        <v>2512</v>
      </c>
      <c r="Z88" s="8" t="s">
        <v>2513</v>
      </c>
      <c r="AA88" s="8" t="s">
        <v>969</v>
      </c>
      <c r="AB88" s="8" t="s">
        <v>2514</v>
      </c>
      <c r="AC88" s="8" t="s">
        <v>969</v>
      </c>
      <c r="AD88" s="8" t="s">
        <v>969</v>
      </c>
      <c r="AE88" s="8" t="s">
        <v>969</v>
      </c>
      <c r="AF88" s="8" t="s">
        <v>969</v>
      </c>
      <c r="AG88" s="8">
        <v>35.0</v>
      </c>
      <c r="AH88" s="8">
        <v>465.0</v>
      </c>
      <c r="AI88" s="8">
        <v>532.0</v>
      </c>
      <c r="AJ88" s="8">
        <v>3.0</v>
      </c>
      <c r="AK88" s="8">
        <v>225.0</v>
      </c>
      <c r="AL88" s="8" t="s">
        <v>1387</v>
      </c>
      <c r="AM88" s="8" t="s">
        <v>1388</v>
      </c>
      <c r="AN88" s="8" t="s">
        <v>1389</v>
      </c>
      <c r="AO88" s="8" t="s">
        <v>1390</v>
      </c>
      <c r="AP88" s="8" t="s">
        <v>1391</v>
      </c>
      <c r="AQ88" s="8" t="s">
        <v>969</v>
      </c>
      <c r="AR88" s="8" t="s">
        <v>1392</v>
      </c>
      <c r="AS88" s="8" t="s">
        <v>1393</v>
      </c>
      <c r="AT88" s="8" t="s">
        <v>2515</v>
      </c>
      <c r="AU88" s="8">
        <v>2012.0</v>
      </c>
      <c r="AV88" s="8">
        <v>109.0</v>
      </c>
      <c r="AW88" s="8">
        <v>22.0</v>
      </c>
      <c r="AX88" s="8" t="s">
        <v>969</v>
      </c>
      <c r="AY88" s="8" t="s">
        <v>969</v>
      </c>
      <c r="AZ88" s="8" t="s">
        <v>969</v>
      </c>
      <c r="BA88" s="8" t="s">
        <v>969</v>
      </c>
      <c r="BB88" s="8">
        <v>8606.0</v>
      </c>
      <c r="BC88" s="8">
        <v>8611.0</v>
      </c>
      <c r="BD88" s="8" t="s">
        <v>969</v>
      </c>
      <c r="BE88" s="8" t="s">
        <v>644</v>
      </c>
      <c r="BF88" s="13" t="str">
        <f>HYPERLINK("http://dx.doi.org/10.1073/pnas.1116791109","http://dx.doi.org/10.1073/pnas.1116791109")</f>
        <v>http://dx.doi.org/10.1073/pnas.1116791109</v>
      </c>
      <c r="BG88" s="8" t="s">
        <v>969</v>
      </c>
      <c r="BH88" s="8" t="s">
        <v>969</v>
      </c>
      <c r="BI88" s="8">
        <v>6.0</v>
      </c>
      <c r="BJ88" s="8" t="s">
        <v>1076</v>
      </c>
      <c r="BK88" s="8" t="s">
        <v>988</v>
      </c>
      <c r="BL88" s="8" t="s">
        <v>1077</v>
      </c>
      <c r="BM88" s="8" t="s">
        <v>2516</v>
      </c>
      <c r="BN88" s="8">
        <v>2.2586104E7</v>
      </c>
      <c r="BO88" s="8" t="s">
        <v>2517</v>
      </c>
      <c r="BP88" s="8" t="s">
        <v>969</v>
      </c>
      <c r="BQ88" s="8" t="s">
        <v>969</v>
      </c>
      <c r="BR88" s="8" t="s">
        <v>991</v>
      </c>
      <c r="BS88" s="8" t="s">
        <v>2518</v>
      </c>
      <c r="BW88" s="8" t="s">
        <v>56</v>
      </c>
      <c r="BX88" s="8" t="s">
        <v>995</v>
      </c>
      <c r="BY88" s="8" t="s">
        <v>996</v>
      </c>
      <c r="BZ88" s="8" t="s">
        <v>997</v>
      </c>
      <c r="CA88" s="8" t="str">
        <f>HYPERLINK("https%3A%2F%2Fwww.webofscience.com%2Fwos%2Fwoscc%2Ffull-record%2FWOS:000304881700053","View Full Record in Web of Science")</f>
        <v>View Full Record in Web of Science</v>
      </c>
    </row>
    <row r="89" ht="12.75" customHeight="1">
      <c r="A89" s="8" t="s">
        <v>967</v>
      </c>
      <c r="B89" s="8" t="s">
        <v>2519</v>
      </c>
      <c r="C89" s="8" t="s">
        <v>969</v>
      </c>
      <c r="D89" s="8" t="s">
        <v>969</v>
      </c>
      <c r="E89" s="8" t="s">
        <v>969</v>
      </c>
      <c r="F89" s="8" t="s">
        <v>2520</v>
      </c>
      <c r="G89" s="8" t="s">
        <v>969</v>
      </c>
      <c r="H89" s="8" t="s">
        <v>969</v>
      </c>
      <c r="I89" s="8" t="s">
        <v>2521</v>
      </c>
      <c r="J89" s="8" t="s">
        <v>2358</v>
      </c>
      <c r="K89" s="8" t="s">
        <v>969</v>
      </c>
      <c r="L89" s="8" t="s">
        <v>969</v>
      </c>
      <c r="M89" s="8" t="s">
        <v>972</v>
      </c>
      <c r="N89" s="8" t="s">
        <v>973</v>
      </c>
      <c r="O89" s="8" t="s">
        <v>969</v>
      </c>
      <c r="P89" s="8" t="s">
        <v>969</v>
      </c>
      <c r="Q89" s="8" t="s">
        <v>969</v>
      </c>
      <c r="R89" s="8" t="s">
        <v>969</v>
      </c>
      <c r="S89" s="8" t="s">
        <v>969</v>
      </c>
      <c r="T89" s="8" t="s">
        <v>969</v>
      </c>
      <c r="U89" s="8" t="s">
        <v>2522</v>
      </c>
      <c r="V89" s="8" t="s">
        <v>2523</v>
      </c>
      <c r="W89" s="8" t="s">
        <v>2524</v>
      </c>
      <c r="X89" s="8" t="s">
        <v>2525</v>
      </c>
      <c r="Y89" s="8" t="s">
        <v>2526</v>
      </c>
      <c r="Z89" s="8" t="s">
        <v>2527</v>
      </c>
      <c r="AA89" s="8" t="s">
        <v>2528</v>
      </c>
      <c r="AB89" s="8" t="s">
        <v>2529</v>
      </c>
      <c r="AC89" s="8" t="s">
        <v>2530</v>
      </c>
      <c r="AD89" s="8" t="s">
        <v>2531</v>
      </c>
      <c r="AE89" s="8" t="s">
        <v>2532</v>
      </c>
      <c r="AF89" s="8" t="s">
        <v>969</v>
      </c>
      <c r="AG89" s="8">
        <v>30.0</v>
      </c>
      <c r="AH89" s="8">
        <v>628.0</v>
      </c>
      <c r="AI89" s="8">
        <v>692.0</v>
      </c>
      <c r="AJ89" s="8">
        <v>10.0</v>
      </c>
      <c r="AK89" s="8">
        <v>492.0</v>
      </c>
      <c r="AL89" s="8" t="s">
        <v>1070</v>
      </c>
      <c r="AM89" s="8" t="s">
        <v>1071</v>
      </c>
      <c r="AN89" s="8" t="s">
        <v>1072</v>
      </c>
      <c r="AO89" s="8" t="s">
        <v>2369</v>
      </c>
      <c r="AP89" s="8" t="s">
        <v>2370</v>
      </c>
      <c r="AQ89" s="8" t="s">
        <v>969</v>
      </c>
      <c r="AR89" s="8" t="s">
        <v>2371</v>
      </c>
      <c r="AS89" s="8" t="s">
        <v>2372</v>
      </c>
      <c r="AT89" s="8" t="s">
        <v>1211</v>
      </c>
      <c r="AU89" s="8">
        <v>2012.0</v>
      </c>
      <c r="AV89" s="8">
        <v>2.0</v>
      </c>
      <c r="AW89" s="8">
        <v>8.0</v>
      </c>
      <c r="AX89" s="8" t="s">
        <v>969</v>
      </c>
      <c r="AY89" s="8" t="s">
        <v>969</v>
      </c>
      <c r="AZ89" s="8" t="s">
        <v>969</v>
      </c>
      <c r="BA89" s="8" t="s">
        <v>969</v>
      </c>
      <c r="BB89" s="8">
        <v>619.0</v>
      </c>
      <c r="BC89" s="8">
        <v>622.0</v>
      </c>
      <c r="BD89" s="8" t="s">
        <v>969</v>
      </c>
      <c r="BE89" s="8" t="s">
        <v>2533</v>
      </c>
      <c r="BF89" s="13" t="str">
        <f>HYPERLINK("http://dx.doi.org/10.1038/NCLIMATE1514","http://dx.doi.org/10.1038/NCLIMATE1514")</f>
        <v>http://dx.doi.org/10.1038/NCLIMATE1514</v>
      </c>
      <c r="BG89" s="8" t="s">
        <v>969</v>
      </c>
      <c r="BH89" s="8" t="s">
        <v>969</v>
      </c>
      <c r="BI89" s="8">
        <v>4.0</v>
      </c>
      <c r="BJ89" s="8" t="s">
        <v>2374</v>
      </c>
      <c r="BK89" s="8" t="s">
        <v>1519</v>
      </c>
      <c r="BL89" s="8" t="s">
        <v>1038</v>
      </c>
      <c r="BM89" s="8" t="s">
        <v>2534</v>
      </c>
      <c r="BN89" s="8" t="s">
        <v>969</v>
      </c>
      <c r="BO89" s="8" t="s">
        <v>969</v>
      </c>
      <c r="BP89" s="8" t="s">
        <v>969</v>
      </c>
      <c r="BQ89" s="8" t="s">
        <v>969</v>
      </c>
      <c r="BR89" s="8" t="s">
        <v>991</v>
      </c>
      <c r="BS89" s="8" t="s">
        <v>2535</v>
      </c>
      <c r="BT89" s="8" t="s">
        <v>1021</v>
      </c>
      <c r="BW89" s="8" t="s">
        <v>51</v>
      </c>
      <c r="BX89" s="8" t="s">
        <v>1022</v>
      </c>
      <c r="CA89" s="8" t="str">
        <f>HYPERLINK("https%3A%2F%2Fwww.webofscience.com%2Fwos%2Fwoscc%2Ffull-record%2FWOS:000307369300020","View Full Record in Web of Science")</f>
        <v>View Full Record in Web of Science</v>
      </c>
    </row>
    <row r="90" ht="12.75" customHeight="1">
      <c r="A90" s="8" t="s">
        <v>967</v>
      </c>
      <c r="B90" s="8" t="s">
        <v>2536</v>
      </c>
      <c r="C90" s="8" t="s">
        <v>969</v>
      </c>
      <c r="D90" s="8" t="s">
        <v>969</v>
      </c>
      <c r="E90" s="8" t="s">
        <v>969</v>
      </c>
      <c r="F90" s="8" t="s">
        <v>2537</v>
      </c>
      <c r="G90" s="8" t="s">
        <v>969</v>
      </c>
      <c r="H90" s="8" t="s">
        <v>969</v>
      </c>
      <c r="I90" s="8" t="s">
        <v>2538</v>
      </c>
      <c r="J90" s="8" t="s">
        <v>1974</v>
      </c>
      <c r="K90" s="8" t="s">
        <v>969</v>
      </c>
      <c r="L90" s="8" t="s">
        <v>969</v>
      </c>
      <c r="M90" s="8" t="s">
        <v>972</v>
      </c>
      <c r="N90" s="8" t="s">
        <v>973</v>
      </c>
      <c r="O90" s="8" t="s">
        <v>969</v>
      </c>
      <c r="P90" s="8" t="s">
        <v>969</v>
      </c>
      <c r="Q90" s="8" t="s">
        <v>969</v>
      </c>
      <c r="R90" s="8" t="s">
        <v>969</v>
      </c>
      <c r="S90" s="8" t="s">
        <v>969</v>
      </c>
      <c r="T90" s="8" t="s">
        <v>969</v>
      </c>
      <c r="U90" s="8" t="s">
        <v>2539</v>
      </c>
      <c r="V90" s="8" t="s">
        <v>2540</v>
      </c>
      <c r="W90" s="8" t="s">
        <v>2541</v>
      </c>
      <c r="X90" s="8" t="s">
        <v>2542</v>
      </c>
      <c r="Y90" s="8" t="s">
        <v>2543</v>
      </c>
      <c r="Z90" s="8" t="s">
        <v>2544</v>
      </c>
      <c r="AA90" s="8" t="s">
        <v>2545</v>
      </c>
      <c r="AB90" s="8" t="s">
        <v>2546</v>
      </c>
      <c r="AC90" s="8" t="s">
        <v>2547</v>
      </c>
      <c r="AD90" s="8" t="s">
        <v>2548</v>
      </c>
      <c r="AE90" s="8" t="s">
        <v>2549</v>
      </c>
      <c r="AF90" s="8" t="s">
        <v>969</v>
      </c>
      <c r="AG90" s="8">
        <v>40.0</v>
      </c>
      <c r="AH90" s="8">
        <v>61.0</v>
      </c>
      <c r="AI90" s="8">
        <v>68.0</v>
      </c>
      <c r="AJ90" s="8">
        <v>0.0</v>
      </c>
      <c r="AK90" s="8">
        <v>130.0</v>
      </c>
      <c r="AL90" s="8" t="s">
        <v>1985</v>
      </c>
      <c r="AM90" s="8" t="s">
        <v>1986</v>
      </c>
      <c r="AN90" s="8" t="s">
        <v>1987</v>
      </c>
      <c r="AO90" s="8" t="s">
        <v>1988</v>
      </c>
      <c r="AP90" s="8" t="s">
        <v>969</v>
      </c>
      <c r="AQ90" s="8" t="s">
        <v>969</v>
      </c>
      <c r="AR90" s="8" t="s">
        <v>1974</v>
      </c>
      <c r="AS90" s="8" t="s">
        <v>1989</v>
      </c>
      <c r="AT90" s="8" t="s">
        <v>2550</v>
      </c>
      <c r="AU90" s="8">
        <v>2012.0</v>
      </c>
      <c r="AV90" s="8">
        <v>7.0</v>
      </c>
      <c r="AW90" s="8">
        <v>12.0</v>
      </c>
      <c r="AX90" s="8" t="s">
        <v>969</v>
      </c>
      <c r="AY90" s="8" t="s">
        <v>969</v>
      </c>
      <c r="AZ90" s="8" t="s">
        <v>969</v>
      </c>
      <c r="BA90" s="8" t="s">
        <v>969</v>
      </c>
      <c r="BB90" s="8" t="s">
        <v>969</v>
      </c>
      <c r="BC90" s="8" t="s">
        <v>969</v>
      </c>
      <c r="BD90" s="8" t="s">
        <v>2551</v>
      </c>
      <c r="BE90" s="8" t="s">
        <v>818</v>
      </c>
      <c r="BF90" s="13" t="str">
        <f>HYPERLINK("http://dx.doi.org/10.1371/journal.pone.0052574","http://dx.doi.org/10.1371/journal.pone.0052574")</f>
        <v>http://dx.doi.org/10.1371/journal.pone.0052574</v>
      </c>
      <c r="BG90" s="8" t="s">
        <v>969</v>
      </c>
      <c r="BH90" s="8" t="s">
        <v>969</v>
      </c>
      <c r="BI90" s="8">
        <v>11.0</v>
      </c>
      <c r="BJ90" s="8" t="s">
        <v>1076</v>
      </c>
      <c r="BK90" s="8" t="s">
        <v>988</v>
      </c>
      <c r="BL90" s="8" t="s">
        <v>1077</v>
      </c>
      <c r="BM90" s="8" t="s">
        <v>2552</v>
      </c>
      <c r="BN90" s="8">
        <v>2.3285098E7</v>
      </c>
      <c r="BO90" s="8" t="s">
        <v>1993</v>
      </c>
      <c r="BP90" s="8" t="s">
        <v>969</v>
      </c>
      <c r="BQ90" s="8" t="s">
        <v>969</v>
      </c>
      <c r="BR90" s="8" t="s">
        <v>991</v>
      </c>
      <c r="BS90" s="8" t="s">
        <v>2553</v>
      </c>
      <c r="BT90" s="8" t="s">
        <v>1021</v>
      </c>
      <c r="BW90" s="8" t="s">
        <v>56</v>
      </c>
      <c r="BX90" s="8" t="s">
        <v>995</v>
      </c>
      <c r="BY90" s="8" t="s">
        <v>996</v>
      </c>
      <c r="BZ90" s="8" t="s">
        <v>997</v>
      </c>
      <c r="CA90" s="8" t="str">
        <f>HYPERLINK("https%3A%2F%2Fwww.webofscience.com%2Fwos%2Fwoscc%2Ffull-record%2FWOS:000312794500202","View Full Record in Web of Science")</f>
        <v>View Full Record in Web of Science</v>
      </c>
    </row>
    <row r="91" ht="12.75" customHeight="1">
      <c r="A91" s="8" t="s">
        <v>967</v>
      </c>
      <c r="B91" s="8" t="s">
        <v>2554</v>
      </c>
      <c r="C91" s="8" t="s">
        <v>969</v>
      </c>
      <c r="D91" s="8" t="s">
        <v>969</v>
      </c>
      <c r="E91" s="8" t="s">
        <v>969</v>
      </c>
      <c r="F91" s="8" t="s">
        <v>2555</v>
      </c>
      <c r="G91" s="8" t="s">
        <v>969</v>
      </c>
      <c r="H91" s="8" t="s">
        <v>969</v>
      </c>
      <c r="I91" s="8" t="s">
        <v>2556</v>
      </c>
      <c r="J91" s="8" t="s">
        <v>1974</v>
      </c>
      <c r="K91" s="8" t="s">
        <v>969</v>
      </c>
      <c r="L91" s="8" t="s">
        <v>969</v>
      </c>
      <c r="M91" s="8" t="s">
        <v>972</v>
      </c>
      <c r="N91" s="8" t="s">
        <v>973</v>
      </c>
      <c r="O91" s="8" t="s">
        <v>969</v>
      </c>
      <c r="P91" s="8" t="s">
        <v>969</v>
      </c>
      <c r="Q91" s="8" t="s">
        <v>969</v>
      </c>
      <c r="R91" s="8" t="s">
        <v>969</v>
      </c>
      <c r="S91" s="8" t="s">
        <v>969</v>
      </c>
      <c r="T91" s="8" t="s">
        <v>969</v>
      </c>
      <c r="U91" s="8" t="s">
        <v>2557</v>
      </c>
      <c r="V91" s="8" t="s">
        <v>2558</v>
      </c>
      <c r="W91" s="8" t="s">
        <v>2559</v>
      </c>
      <c r="X91" s="8" t="s">
        <v>2560</v>
      </c>
      <c r="Y91" s="8" t="s">
        <v>2561</v>
      </c>
      <c r="Z91" s="8" t="s">
        <v>2562</v>
      </c>
      <c r="AA91" s="8" t="s">
        <v>2563</v>
      </c>
      <c r="AB91" s="8" t="s">
        <v>2564</v>
      </c>
      <c r="AC91" s="8" t="s">
        <v>2565</v>
      </c>
      <c r="AD91" s="8" t="s">
        <v>2566</v>
      </c>
      <c r="AE91" s="8" t="s">
        <v>2567</v>
      </c>
      <c r="AF91" s="8" t="s">
        <v>969</v>
      </c>
      <c r="AG91" s="8">
        <v>78.0</v>
      </c>
      <c r="AH91" s="8">
        <v>117.0</v>
      </c>
      <c r="AI91" s="8">
        <v>124.0</v>
      </c>
      <c r="AJ91" s="8">
        <v>2.0</v>
      </c>
      <c r="AK91" s="8">
        <v>262.0</v>
      </c>
      <c r="AL91" s="8" t="s">
        <v>1985</v>
      </c>
      <c r="AM91" s="8" t="s">
        <v>1986</v>
      </c>
      <c r="AN91" s="8" t="s">
        <v>1987</v>
      </c>
      <c r="AO91" s="8" t="s">
        <v>1988</v>
      </c>
      <c r="AP91" s="8" t="s">
        <v>969</v>
      </c>
      <c r="AQ91" s="8" t="s">
        <v>969</v>
      </c>
      <c r="AR91" s="8" t="s">
        <v>1974</v>
      </c>
      <c r="AS91" s="8" t="s">
        <v>1989</v>
      </c>
      <c r="AT91" s="8" t="s">
        <v>2568</v>
      </c>
      <c r="AU91" s="8">
        <v>2013.0</v>
      </c>
      <c r="AV91" s="8">
        <v>8.0</v>
      </c>
      <c r="AW91" s="8">
        <v>1.0</v>
      </c>
      <c r="AX91" s="8" t="s">
        <v>969</v>
      </c>
      <c r="AY91" s="8" t="s">
        <v>969</v>
      </c>
      <c r="AZ91" s="8" t="s">
        <v>969</v>
      </c>
      <c r="BA91" s="8" t="s">
        <v>969</v>
      </c>
      <c r="BB91" s="8" t="s">
        <v>969</v>
      </c>
      <c r="BC91" s="8" t="s">
        <v>969</v>
      </c>
      <c r="BD91" s="8" t="s">
        <v>2569</v>
      </c>
      <c r="BE91" s="8" t="s">
        <v>821</v>
      </c>
      <c r="BF91" s="13" t="str">
        <f>HYPERLINK("http://dx.doi.org/10.1371/journal.pone.0054216","http://dx.doi.org/10.1371/journal.pone.0054216")</f>
        <v>http://dx.doi.org/10.1371/journal.pone.0054216</v>
      </c>
      <c r="BG91" s="8" t="s">
        <v>969</v>
      </c>
      <c r="BH91" s="8" t="s">
        <v>969</v>
      </c>
      <c r="BI91" s="8">
        <v>13.0</v>
      </c>
      <c r="BJ91" s="8" t="s">
        <v>1076</v>
      </c>
      <c r="BK91" s="8" t="s">
        <v>988</v>
      </c>
      <c r="BL91" s="8" t="s">
        <v>1077</v>
      </c>
      <c r="BM91" s="8" t="s">
        <v>2570</v>
      </c>
      <c r="BN91" s="8">
        <v>2.3349829E7</v>
      </c>
      <c r="BO91" s="8" t="s">
        <v>1140</v>
      </c>
      <c r="BP91" s="8" t="s">
        <v>969</v>
      </c>
      <c r="BQ91" s="8" t="s">
        <v>969</v>
      </c>
      <c r="BR91" s="8" t="s">
        <v>991</v>
      </c>
      <c r="BS91" s="8" t="s">
        <v>2571</v>
      </c>
      <c r="BW91" s="8" t="s">
        <v>67</v>
      </c>
      <c r="CA91" s="8" t="str">
        <f>HYPERLINK("https%3A%2F%2Fwww.webofscience.com%2Fwos%2Fwoscc%2Ffull-record%2FWOS:000314019100051","View Full Record in Web of Science")</f>
        <v>View Full Record in Web of Science</v>
      </c>
    </row>
    <row r="92" ht="12.75" customHeight="1">
      <c r="A92" s="8" t="s">
        <v>967</v>
      </c>
      <c r="B92" s="8" t="s">
        <v>2572</v>
      </c>
      <c r="C92" s="8" t="s">
        <v>969</v>
      </c>
      <c r="D92" s="8" t="s">
        <v>969</v>
      </c>
      <c r="E92" s="8" t="s">
        <v>969</v>
      </c>
      <c r="F92" s="8" t="s">
        <v>2573</v>
      </c>
      <c r="G92" s="8" t="s">
        <v>969</v>
      </c>
      <c r="H92" s="8" t="s">
        <v>969</v>
      </c>
      <c r="I92" s="8" t="s">
        <v>2574</v>
      </c>
      <c r="J92" s="8" t="s">
        <v>971</v>
      </c>
      <c r="K92" s="8" t="s">
        <v>969</v>
      </c>
      <c r="L92" s="8" t="s">
        <v>969</v>
      </c>
      <c r="M92" s="8" t="s">
        <v>972</v>
      </c>
      <c r="N92" s="8" t="s">
        <v>973</v>
      </c>
      <c r="O92" s="8" t="s">
        <v>969</v>
      </c>
      <c r="P92" s="8" t="s">
        <v>969</v>
      </c>
      <c r="Q92" s="8" t="s">
        <v>969</v>
      </c>
      <c r="R92" s="8" t="s">
        <v>969</v>
      </c>
      <c r="S92" s="8" t="s">
        <v>969</v>
      </c>
      <c r="T92" s="8" t="s">
        <v>2575</v>
      </c>
      <c r="U92" s="8" t="s">
        <v>2576</v>
      </c>
      <c r="V92" s="8" t="s">
        <v>2577</v>
      </c>
      <c r="W92" s="8" t="s">
        <v>2578</v>
      </c>
      <c r="X92" s="8" t="s">
        <v>2579</v>
      </c>
      <c r="Y92" s="8" t="s">
        <v>2315</v>
      </c>
      <c r="Z92" s="8" t="s">
        <v>2316</v>
      </c>
      <c r="AA92" s="8" t="s">
        <v>2580</v>
      </c>
      <c r="AB92" s="8" t="s">
        <v>2581</v>
      </c>
      <c r="AC92" s="8" t="s">
        <v>2582</v>
      </c>
      <c r="AD92" s="8" t="s">
        <v>2583</v>
      </c>
      <c r="AE92" s="8" t="s">
        <v>2584</v>
      </c>
      <c r="AF92" s="8" t="s">
        <v>969</v>
      </c>
      <c r="AG92" s="8">
        <v>96.0</v>
      </c>
      <c r="AH92" s="8">
        <v>163.0</v>
      </c>
      <c r="AI92" s="8">
        <v>185.0</v>
      </c>
      <c r="AJ92" s="8">
        <v>2.0</v>
      </c>
      <c r="AK92" s="8">
        <v>293.0</v>
      </c>
      <c r="AL92" s="8" t="s">
        <v>1091</v>
      </c>
      <c r="AM92" s="8" t="s">
        <v>1092</v>
      </c>
      <c r="AN92" s="8" t="s">
        <v>1093</v>
      </c>
      <c r="AO92" s="8" t="s">
        <v>983</v>
      </c>
      <c r="AP92" s="8" t="s">
        <v>1094</v>
      </c>
      <c r="AQ92" s="8" t="s">
        <v>969</v>
      </c>
      <c r="AR92" s="8" t="s">
        <v>1095</v>
      </c>
      <c r="AS92" s="8" t="s">
        <v>985</v>
      </c>
      <c r="AT92" s="8" t="s">
        <v>1055</v>
      </c>
      <c r="AU92" s="8">
        <v>2013.0</v>
      </c>
      <c r="AV92" s="8">
        <v>19.0</v>
      </c>
      <c r="AW92" s="8">
        <v>3.0</v>
      </c>
      <c r="AX92" s="8" t="s">
        <v>969</v>
      </c>
      <c r="AY92" s="8" t="s">
        <v>969</v>
      </c>
      <c r="AZ92" s="8" t="s">
        <v>969</v>
      </c>
      <c r="BA92" s="8" t="s">
        <v>969</v>
      </c>
      <c r="BB92" s="8">
        <v>752.0</v>
      </c>
      <c r="BC92" s="8">
        <v>762.0</v>
      </c>
      <c r="BD92" s="8" t="s">
        <v>969</v>
      </c>
      <c r="BE92" s="8" t="s">
        <v>668</v>
      </c>
      <c r="BF92" s="13" t="str">
        <f>HYPERLINK("http://dx.doi.org/10.1111/gcb.12107","http://dx.doi.org/10.1111/gcb.12107")</f>
        <v>http://dx.doi.org/10.1111/gcb.12107</v>
      </c>
      <c r="BG92" s="8" t="s">
        <v>969</v>
      </c>
      <c r="BH92" s="8" t="s">
        <v>969</v>
      </c>
      <c r="BI92" s="8">
        <v>11.0</v>
      </c>
      <c r="BJ92" s="8" t="s">
        <v>987</v>
      </c>
      <c r="BK92" s="8" t="s">
        <v>988</v>
      </c>
      <c r="BL92" s="8" t="s">
        <v>989</v>
      </c>
      <c r="BM92" s="8" t="s">
        <v>2585</v>
      </c>
      <c r="BN92" s="8">
        <v>2.3504833E7</v>
      </c>
      <c r="BO92" s="8" t="s">
        <v>969</v>
      </c>
      <c r="BP92" s="8" t="s">
        <v>969</v>
      </c>
      <c r="BQ92" s="8" t="s">
        <v>969</v>
      </c>
      <c r="BR92" s="8" t="s">
        <v>991</v>
      </c>
      <c r="BS92" s="8" t="s">
        <v>2586</v>
      </c>
      <c r="BT92" s="8" t="s">
        <v>1021</v>
      </c>
      <c r="BW92" s="8" t="s">
        <v>33</v>
      </c>
      <c r="BX92" s="8" t="s">
        <v>995</v>
      </c>
      <c r="CA92" s="8" t="str">
        <f>HYPERLINK("https%3A%2F%2Fwww.webofscience.com%2Fwos%2Fwoscc%2Ffull-record%2FWOS:000314219700008","View Full Record in Web of Science")</f>
        <v>View Full Record in Web of Science</v>
      </c>
    </row>
    <row r="93" ht="12.75" customHeight="1">
      <c r="A93" s="8" t="s">
        <v>967</v>
      </c>
      <c r="B93" s="8" t="s">
        <v>2587</v>
      </c>
      <c r="C93" s="8" t="s">
        <v>969</v>
      </c>
      <c r="D93" s="8" t="s">
        <v>969</v>
      </c>
      <c r="E93" s="8" t="s">
        <v>969</v>
      </c>
      <c r="F93" s="8" t="s">
        <v>2588</v>
      </c>
      <c r="G93" s="8" t="s">
        <v>969</v>
      </c>
      <c r="H93" s="8" t="s">
        <v>969</v>
      </c>
      <c r="I93" s="8" t="s">
        <v>2589</v>
      </c>
      <c r="J93" s="8" t="s">
        <v>1000</v>
      </c>
      <c r="K93" s="8" t="s">
        <v>969</v>
      </c>
      <c r="L93" s="8" t="s">
        <v>969</v>
      </c>
      <c r="M93" s="8" t="s">
        <v>972</v>
      </c>
      <c r="N93" s="8" t="s">
        <v>973</v>
      </c>
      <c r="O93" s="8" t="s">
        <v>969</v>
      </c>
      <c r="P93" s="8" t="s">
        <v>969</v>
      </c>
      <c r="Q93" s="8" t="s">
        <v>969</v>
      </c>
      <c r="R93" s="8" t="s">
        <v>969</v>
      </c>
      <c r="S93" s="8" t="s">
        <v>969</v>
      </c>
      <c r="T93" s="8" t="s">
        <v>2590</v>
      </c>
      <c r="U93" s="8" t="s">
        <v>2591</v>
      </c>
      <c r="V93" s="8" t="s">
        <v>2592</v>
      </c>
      <c r="W93" s="8" t="s">
        <v>2593</v>
      </c>
      <c r="X93" s="8" t="s">
        <v>2594</v>
      </c>
      <c r="Y93" s="8" t="s">
        <v>2595</v>
      </c>
      <c r="Z93" s="8" t="s">
        <v>2596</v>
      </c>
      <c r="AA93" s="8" t="s">
        <v>2597</v>
      </c>
      <c r="AB93" s="8" t="s">
        <v>2598</v>
      </c>
      <c r="AC93" s="8" t="s">
        <v>2599</v>
      </c>
      <c r="AD93" s="8" t="s">
        <v>2600</v>
      </c>
      <c r="AE93" s="8" t="s">
        <v>2601</v>
      </c>
      <c r="AF93" s="8" t="s">
        <v>969</v>
      </c>
      <c r="AG93" s="8">
        <v>52.0</v>
      </c>
      <c r="AH93" s="8">
        <v>103.0</v>
      </c>
      <c r="AI93" s="8">
        <v>107.0</v>
      </c>
      <c r="AJ93" s="8">
        <v>5.0</v>
      </c>
      <c r="AK93" s="8">
        <v>167.0</v>
      </c>
      <c r="AL93" s="8" t="s">
        <v>1091</v>
      </c>
      <c r="AM93" s="8" t="s">
        <v>1092</v>
      </c>
      <c r="AN93" s="8" t="s">
        <v>1093</v>
      </c>
      <c r="AO93" s="8" t="s">
        <v>1013</v>
      </c>
      <c r="AP93" s="8" t="s">
        <v>2602</v>
      </c>
      <c r="AQ93" s="8" t="s">
        <v>969</v>
      </c>
      <c r="AR93" s="8" t="s">
        <v>1014</v>
      </c>
      <c r="AS93" s="8" t="s">
        <v>1015</v>
      </c>
      <c r="AT93" s="8" t="s">
        <v>1055</v>
      </c>
      <c r="AU93" s="8">
        <v>2013.0</v>
      </c>
      <c r="AV93" s="8">
        <v>40.0</v>
      </c>
      <c r="AW93" s="8">
        <v>3.0</v>
      </c>
      <c r="AX93" s="8" t="s">
        <v>969</v>
      </c>
      <c r="AY93" s="8" t="s">
        <v>969</v>
      </c>
      <c r="AZ93" s="8" t="s">
        <v>969</v>
      </c>
      <c r="BA93" s="8" t="s">
        <v>969</v>
      </c>
      <c r="BB93" s="8">
        <v>534.0</v>
      </c>
      <c r="BC93" s="8">
        <v>547.0</v>
      </c>
      <c r="BD93" s="8" t="s">
        <v>969</v>
      </c>
      <c r="BE93" s="8" t="s">
        <v>791</v>
      </c>
      <c r="BF93" s="13" t="str">
        <f>HYPERLINK("http://dx.doi.org/10.1111/jbi.12013","http://dx.doi.org/10.1111/jbi.12013")</f>
        <v>http://dx.doi.org/10.1111/jbi.12013</v>
      </c>
      <c r="BG93" s="8" t="s">
        <v>969</v>
      </c>
      <c r="BH93" s="8" t="s">
        <v>969</v>
      </c>
      <c r="BI93" s="8">
        <v>14.0</v>
      </c>
      <c r="BJ93" s="8" t="s">
        <v>1017</v>
      </c>
      <c r="BK93" s="8" t="s">
        <v>988</v>
      </c>
      <c r="BL93" s="8" t="s">
        <v>1018</v>
      </c>
      <c r="BM93" s="8" t="s">
        <v>2603</v>
      </c>
      <c r="BN93" s="8" t="s">
        <v>969</v>
      </c>
      <c r="BO93" s="8" t="s">
        <v>969</v>
      </c>
      <c r="BP93" s="8" t="s">
        <v>969</v>
      </c>
      <c r="BQ93" s="8" t="s">
        <v>969</v>
      </c>
      <c r="BR93" s="8" t="s">
        <v>991</v>
      </c>
      <c r="BS93" s="8" t="s">
        <v>2604</v>
      </c>
      <c r="BW93" s="8" t="s">
        <v>67</v>
      </c>
      <c r="CA93" s="8" t="str">
        <f>HYPERLINK("https%3A%2F%2Fwww.webofscience.com%2Fwos%2Fwoscc%2Ffull-record%2FWOS:000314922500011","View Full Record in Web of Science")</f>
        <v>View Full Record in Web of Science</v>
      </c>
    </row>
    <row r="94" ht="12.75" customHeight="1">
      <c r="A94" s="8" t="s">
        <v>967</v>
      </c>
      <c r="B94" s="8" t="s">
        <v>2605</v>
      </c>
      <c r="C94" s="8" t="s">
        <v>969</v>
      </c>
      <c r="D94" s="8" t="s">
        <v>969</v>
      </c>
      <c r="E94" s="8" t="s">
        <v>969</v>
      </c>
      <c r="F94" s="8" t="s">
        <v>2606</v>
      </c>
      <c r="G94" s="8" t="s">
        <v>969</v>
      </c>
      <c r="H94" s="8" t="s">
        <v>969</v>
      </c>
      <c r="I94" s="8" t="s">
        <v>2607</v>
      </c>
      <c r="J94" s="8" t="s">
        <v>1427</v>
      </c>
      <c r="K94" s="8" t="s">
        <v>969</v>
      </c>
      <c r="L94" s="8" t="s">
        <v>969</v>
      </c>
      <c r="M94" s="8" t="s">
        <v>972</v>
      </c>
      <c r="N94" s="8" t="s">
        <v>973</v>
      </c>
      <c r="O94" s="8" t="s">
        <v>969</v>
      </c>
      <c r="P94" s="8" t="s">
        <v>969</v>
      </c>
      <c r="Q94" s="8" t="s">
        <v>969</v>
      </c>
      <c r="R94" s="8" t="s">
        <v>969</v>
      </c>
      <c r="S94" s="8" t="s">
        <v>969</v>
      </c>
      <c r="T94" s="8" t="s">
        <v>2608</v>
      </c>
      <c r="U94" s="8" t="s">
        <v>2609</v>
      </c>
      <c r="V94" s="8" t="s">
        <v>2610</v>
      </c>
      <c r="W94" s="8" t="s">
        <v>2611</v>
      </c>
      <c r="X94" s="8" t="s">
        <v>2612</v>
      </c>
      <c r="Y94" s="8" t="s">
        <v>2613</v>
      </c>
      <c r="Z94" s="8" t="s">
        <v>2614</v>
      </c>
      <c r="AA94" s="8" t="s">
        <v>2615</v>
      </c>
      <c r="AB94" s="8" t="s">
        <v>2616</v>
      </c>
      <c r="AC94" s="8" t="s">
        <v>2617</v>
      </c>
      <c r="AD94" s="8" t="s">
        <v>2618</v>
      </c>
      <c r="AE94" s="8" t="s">
        <v>2619</v>
      </c>
      <c r="AF94" s="8" t="s">
        <v>969</v>
      </c>
      <c r="AG94" s="8">
        <v>91.0</v>
      </c>
      <c r="AH94" s="8">
        <v>32.0</v>
      </c>
      <c r="AI94" s="8">
        <v>34.0</v>
      </c>
      <c r="AJ94" s="8">
        <v>1.0</v>
      </c>
      <c r="AK94" s="8">
        <v>126.0</v>
      </c>
      <c r="AL94" s="8" t="s">
        <v>1091</v>
      </c>
      <c r="AM94" s="8" t="s">
        <v>1092</v>
      </c>
      <c r="AN94" s="8" t="s">
        <v>1093</v>
      </c>
      <c r="AO94" s="8" t="s">
        <v>1437</v>
      </c>
      <c r="AP94" s="8" t="s">
        <v>1499</v>
      </c>
      <c r="AQ94" s="8" t="s">
        <v>969</v>
      </c>
      <c r="AR94" s="8" t="s">
        <v>1438</v>
      </c>
      <c r="AS94" s="8" t="s">
        <v>1439</v>
      </c>
      <c r="AT94" s="8" t="s">
        <v>1552</v>
      </c>
      <c r="AU94" s="8">
        <v>2013.0</v>
      </c>
      <c r="AV94" s="8">
        <v>19.0</v>
      </c>
      <c r="AW94" s="8">
        <v>4.0</v>
      </c>
      <c r="AX94" s="8" t="s">
        <v>969</v>
      </c>
      <c r="AY94" s="8" t="s">
        <v>969</v>
      </c>
      <c r="AZ94" s="8" t="s">
        <v>969</v>
      </c>
      <c r="BA94" s="8" t="s">
        <v>969</v>
      </c>
      <c r="BB94" s="8">
        <v>363.0</v>
      </c>
      <c r="BC94" s="8">
        <v>376.0</v>
      </c>
      <c r="BD94" s="8" t="s">
        <v>969</v>
      </c>
      <c r="BE94" s="8" t="s">
        <v>665</v>
      </c>
      <c r="BF94" s="13" t="str">
        <f>HYPERLINK("http://dx.doi.org/10.1111/ddi.12011","http://dx.doi.org/10.1111/ddi.12011")</f>
        <v>http://dx.doi.org/10.1111/ddi.12011</v>
      </c>
      <c r="BG94" s="8" t="s">
        <v>969</v>
      </c>
      <c r="BH94" s="8" t="s">
        <v>969</v>
      </c>
      <c r="BI94" s="8">
        <v>14.0</v>
      </c>
      <c r="BJ94" s="8" t="s">
        <v>1286</v>
      </c>
      <c r="BK94" s="8" t="s">
        <v>988</v>
      </c>
      <c r="BL94" s="8" t="s">
        <v>989</v>
      </c>
      <c r="BM94" s="8" t="s">
        <v>2620</v>
      </c>
      <c r="BN94" s="8" t="s">
        <v>969</v>
      </c>
      <c r="BO94" s="8" t="s">
        <v>969</v>
      </c>
      <c r="BP94" s="8" t="s">
        <v>969</v>
      </c>
      <c r="BQ94" s="8" t="s">
        <v>969</v>
      </c>
      <c r="BR94" s="8" t="s">
        <v>991</v>
      </c>
      <c r="BS94" s="8" t="s">
        <v>2621</v>
      </c>
      <c r="BT94" s="8" t="s">
        <v>1099</v>
      </c>
      <c r="BW94" s="8" t="s">
        <v>51</v>
      </c>
      <c r="BX94" s="8" t="s">
        <v>1022</v>
      </c>
      <c r="CA94" s="8" t="str">
        <f>HYPERLINK("https%3A%2F%2Fwww.webofscience.com%2Fwos%2Fwoscc%2Ffull-record%2FWOS:000316324800001","View Full Record in Web of Science")</f>
        <v>View Full Record in Web of Science</v>
      </c>
    </row>
    <row r="95" ht="12.75" customHeight="1">
      <c r="A95" s="8" t="s">
        <v>967</v>
      </c>
      <c r="B95" s="8" t="s">
        <v>2622</v>
      </c>
      <c r="C95" s="8" t="s">
        <v>969</v>
      </c>
      <c r="D95" s="8" t="s">
        <v>969</v>
      </c>
      <c r="E95" s="8" t="s">
        <v>969</v>
      </c>
      <c r="F95" s="8" t="s">
        <v>2623</v>
      </c>
      <c r="G95" s="8" t="s">
        <v>969</v>
      </c>
      <c r="H95" s="8" t="s">
        <v>969</v>
      </c>
      <c r="I95" s="8" t="s">
        <v>2624</v>
      </c>
      <c r="J95" s="8" t="s">
        <v>2625</v>
      </c>
      <c r="K95" s="8" t="s">
        <v>969</v>
      </c>
      <c r="L95" s="8" t="s">
        <v>969</v>
      </c>
      <c r="M95" s="8" t="s">
        <v>972</v>
      </c>
      <c r="N95" s="8" t="s">
        <v>973</v>
      </c>
      <c r="O95" s="8" t="s">
        <v>969</v>
      </c>
      <c r="P95" s="8" t="s">
        <v>969</v>
      </c>
      <c r="Q95" s="8" t="s">
        <v>969</v>
      </c>
      <c r="R95" s="8" t="s">
        <v>969</v>
      </c>
      <c r="S95" s="8" t="s">
        <v>969</v>
      </c>
      <c r="T95" s="8" t="s">
        <v>2626</v>
      </c>
      <c r="U95" s="8" t="s">
        <v>2627</v>
      </c>
      <c r="V95" s="8" t="s">
        <v>2628</v>
      </c>
      <c r="W95" s="8" t="s">
        <v>2629</v>
      </c>
      <c r="X95" s="8" t="s">
        <v>2630</v>
      </c>
      <c r="Y95" s="8" t="s">
        <v>2631</v>
      </c>
      <c r="Z95" s="8" t="s">
        <v>2632</v>
      </c>
      <c r="AA95" s="8" t="s">
        <v>2633</v>
      </c>
      <c r="AB95" s="8" t="s">
        <v>2634</v>
      </c>
      <c r="AC95" s="8" t="s">
        <v>969</v>
      </c>
      <c r="AD95" s="8" t="s">
        <v>969</v>
      </c>
      <c r="AE95" s="8" t="s">
        <v>969</v>
      </c>
      <c r="AF95" s="8" t="s">
        <v>969</v>
      </c>
      <c r="AG95" s="8">
        <v>67.0</v>
      </c>
      <c r="AH95" s="8">
        <v>222.0</v>
      </c>
      <c r="AI95" s="8">
        <v>263.0</v>
      </c>
      <c r="AJ95" s="8">
        <v>2.0</v>
      </c>
      <c r="AK95" s="8">
        <v>133.0</v>
      </c>
      <c r="AL95" s="8" t="s">
        <v>1813</v>
      </c>
      <c r="AM95" s="8" t="s">
        <v>1261</v>
      </c>
      <c r="AN95" s="8" t="s">
        <v>1814</v>
      </c>
      <c r="AO95" s="8" t="s">
        <v>2635</v>
      </c>
      <c r="AP95" s="8" t="s">
        <v>2636</v>
      </c>
      <c r="AQ95" s="8" t="s">
        <v>969</v>
      </c>
      <c r="AR95" s="8" t="s">
        <v>2637</v>
      </c>
      <c r="AS95" s="8" t="s">
        <v>2638</v>
      </c>
      <c r="AT95" s="8" t="s">
        <v>1177</v>
      </c>
      <c r="AU95" s="8">
        <v>2013.0</v>
      </c>
      <c r="AV95" s="8">
        <v>49.0</v>
      </c>
      <c r="AW95" s="8" t="s">
        <v>969</v>
      </c>
      <c r="AX95" s="8" t="s">
        <v>969</v>
      </c>
      <c r="AY95" s="8" t="s">
        <v>969</v>
      </c>
      <c r="AZ95" s="8" t="s">
        <v>969</v>
      </c>
      <c r="BA95" s="8" t="s">
        <v>969</v>
      </c>
      <c r="BB95" s="8">
        <v>23.0</v>
      </c>
      <c r="BC95" s="8">
        <v>31.0</v>
      </c>
      <c r="BD95" s="8" t="s">
        <v>969</v>
      </c>
      <c r="BE95" s="8" t="s">
        <v>542</v>
      </c>
      <c r="BF95" s="13" t="str">
        <f>HYPERLINK("http://dx.doi.org/10.1016/j.actao.2013.02.007","http://dx.doi.org/10.1016/j.actao.2013.02.007")</f>
        <v>http://dx.doi.org/10.1016/j.actao.2013.02.007</v>
      </c>
      <c r="BG95" s="8" t="s">
        <v>969</v>
      </c>
      <c r="BH95" s="8" t="s">
        <v>969</v>
      </c>
      <c r="BI95" s="8">
        <v>9.0</v>
      </c>
      <c r="BJ95" s="8" t="s">
        <v>1267</v>
      </c>
      <c r="BK95" s="8" t="s">
        <v>988</v>
      </c>
      <c r="BL95" s="8" t="s">
        <v>1268</v>
      </c>
      <c r="BM95" s="8" t="s">
        <v>2639</v>
      </c>
      <c r="BN95" s="8" t="s">
        <v>969</v>
      </c>
      <c r="BO95" s="8" t="s">
        <v>969</v>
      </c>
      <c r="BP95" s="8" t="s">
        <v>969</v>
      </c>
      <c r="BQ95" s="8" t="s">
        <v>969</v>
      </c>
      <c r="BR95" s="8" t="s">
        <v>991</v>
      </c>
      <c r="BS95" s="8" t="s">
        <v>2640</v>
      </c>
      <c r="BT95" s="8" t="s">
        <v>1021</v>
      </c>
      <c r="BW95" s="8" t="s">
        <v>51</v>
      </c>
      <c r="BX95" s="8" t="s">
        <v>1022</v>
      </c>
      <c r="CA95" s="8" t="str">
        <f>HYPERLINK("https%3A%2F%2Fwww.webofscience.com%2Fwos%2Fwoscc%2Ffull-record%2FWOS:000319538700005","View Full Record in Web of Science")</f>
        <v>View Full Record in Web of Science</v>
      </c>
    </row>
    <row r="96" ht="12.75" customHeight="1">
      <c r="A96" s="8" t="s">
        <v>967</v>
      </c>
      <c r="B96" s="8" t="s">
        <v>2641</v>
      </c>
      <c r="C96" s="8" t="s">
        <v>969</v>
      </c>
      <c r="D96" s="8" t="s">
        <v>969</v>
      </c>
      <c r="E96" s="8" t="s">
        <v>969</v>
      </c>
      <c r="F96" s="8" t="s">
        <v>2642</v>
      </c>
      <c r="G96" s="8" t="s">
        <v>969</v>
      </c>
      <c r="H96" s="8" t="s">
        <v>969</v>
      </c>
      <c r="I96" s="8" t="s">
        <v>2643</v>
      </c>
      <c r="J96" s="8" t="s">
        <v>1974</v>
      </c>
      <c r="K96" s="8" t="s">
        <v>969</v>
      </c>
      <c r="L96" s="8" t="s">
        <v>969</v>
      </c>
      <c r="M96" s="8" t="s">
        <v>972</v>
      </c>
      <c r="N96" s="8" t="s">
        <v>973</v>
      </c>
      <c r="O96" s="8" t="s">
        <v>969</v>
      </c>
      <c r="P96" s="8" t="s">
        <v>969</v>
      </c>
      <c r="Q96" s="8" t="s">
        <v>969</v>
      </c>
      <c r="R96" s="8" t="s">
        <v>969</v>
      </c>
      <c r="S96" s="8" t="s">
        <v>969</v>
      </c>
      <c r="T96" s="8" t="s">
        <v>969</v>
      </c>
      <c r="U96" s="8" t="s">
        <v>2644</v>
      </c>
      <c r="V96" s="8" t="s">
        <v>2645</v>
      </c>
      <c r="W96" s="8" t="s">
        <v>2646</v>
      </c>
      <c r="X96" s="8" t="s">
        <v>2647</v>
      </c>
      <c r="Y96" s="8" t="s">
        <v>2648</v>
      </c>
      <c r="Z96" s="8" t="s">
        <v>2649</v>
      </c>
      <c r="AA96" s="8" t="s">
        <v>2650</v>
      </c>
      <c r="AB96" s="8" t="s">
        <v>2651</v>
      </c>
      <c r="AC96" s="8" t="s">
        <v>2652</v>
      </c>
      <c r="AD96" s="8" t="s">
        <v>2653</v>
      </c>
      <c r="AE96" s="8" t="s">
        <v>2654</v>
      </c>
      <c r="AF96" s="8" t="s">
        <v>969</v>
      </c>
      <c r="AG96" s="8">
        <v>41.0</v>
      </c>
      <c r="AH96" s="8">
        <v>712.0</v>
      </c>
      <c r="AI96" s="8">
        <v>816.0</v>
      </c>
      <c r="AJ96" s="8">
        <v>2.0</v>
      </c>
      <c r="AK96" s="8">
        <v>231.0</v>
      </c>
      <c r="AL96" s="8" t="s">
        <v>1985</v>
      </c>
      <c r="AM96" s="8" t="s">
        <v>1986</v>
      </c>
      <c r="AN96" s="8" t="s">
        <v>1987</v>
      </c>
      <c r="AO96" s="8" t="s">
        <v>1988</v>
      </c>
      <c r="AP96" s="8" t="s">
        <v>969</v>
      </c>
      <c r="AQ96" s="8" t="s">
        <v>969</v>
      </c>
      <c r="AR96" s="8" t="s">
        <v>1974</v>
      </c>
      <c r="AS96" s="8" t="s">
        <v>1989</v>
      </c>
      <c r="AT96" s="8" t="s">
        <v>2655</v>
      </c>
      <c r="AU96" s="8">
        <v>2013.0</v>
      </c>
      <c r="AV96" s="8">
        <v>8.0</v>
      </c>
      <c r="AW96" s="8">
        <v>6.0</v>
      </c>
      <c r="AX96" s="8" t="s">
        <v>969</v>
      </c>
      <c r="AY96" s="8" t="s">
        <v>969</v>
      </c>
      <c r="AZ96" s="8" t="s">
        <v>969</v>
      </c>
      <c r="BA96" s="8" t="s">
        <v>969</v>
      </c>
      <c r="BB96" s="8" t="s">
        <v>969</v>
      </c>
      <c r="BC96" s="8" t="s">
        <v>969</v>
      </c>
      <c r="BD96" s="8" t="s">
        <v>2656</v>
      </c>
      <c r="BE96" s="8" t="s">
        <v>827</v>
      </c>
      <c r="BF96" s="13" t="str">
        <f>HYPERLINK("http://dx.doi.org/10.1371/journal.pone.0065427","http://dx.doi.org/10.1371/journal.pone.0065427")</f>
        <v>http://dx.doi.org/10.1371/journal.pone.0065427</v>
      </c>
      <c r="BG96" s="8" t="s">
        <v>969</v>
      </c>
      <c r="BH96" s="8" t="s">
        <v>969</v>
      </c>
      <c r="BI96" s="8">
        <v>13.0</v>
      </c>
      <c r="BJ96" s="8" t="s">
        <v>1076</v>
      </c>
      <c r="BK96" s="8" t="s">
        <v>988</v>
      </c>
      <c r="BL96" s="8" t="s">
        <v>1077</v>
      </c>
      <c r="BM96" s="8" t="s">
        <v>2657</v>
      </c>
      <c r="BN96" s="8">
        <v>2.3950785E7</v>
      </c>
      <c r="BO96" s="8" t="s">
        <v>1140</v>
      </c>
      <c r="BP96" s="8" t="s">
        <v>969</v>
      </c>
      <c r="BQ96" s="8" t="s">
        <v>969</v>
      </c>
      <c r="BR96" s="8" t="s">
        <v>991</v>
      </c>
      <c r="BS96" s="8" t="s">
        <v>2658</v>
      </c>
      <c r="BT96" s="8" t="s">
        <v>1249</v>
      </c>
      <c r="BW96" s="8" t="s">
        <v>296</v>
      </c>
      <c r="BX96" s="8" t="s">
        <v>995</v>
      </c>
      <c r="BY96" s="8" t="s">
        <v>996</v>
      </c>
      <c r="BZ96" s="8" t="s">
        <v>1180</v>
      </c>
      <c r="CA96" s="8" t="str">
        <f>HYPERLINK("https%3A%2F%2Fwww.webofscience.com%2Fwos%2Fwoscc%2Ffull-record%2FWOS:000320322400025","View Full Record in Web of Science")</f>
        <v>View Full Record in Web of Science</v>
      </c>
    </row>
    <row r="97" ht="12.75" customHeight="1">
      <c r="A97" s="8" t="s">
        <v>967</v>
      </c>
      <c r="B97" s="8" t="s">
        <v>2659</v>
      </c>
      <c r="C97" s="8" t="s">
        <v>969</v>
      </c>
      <c r="D97" s="8" t="s">
        <v>969</v>
      </c>
      <c r="E97" s="8" t="s">
        <v>969</v>
      </c>
      <c r="F97" s="8" t="s">
        <v>2660</v>
      </c>
      <c r="G97" s="8" t="s">
        <v>969</v>
      </c>
      <c r="H97" s="8" t="s">
        <v>969</v>
      </c>
      <c r="I97" s="8" t="s">
        <v>2661</v>
      </c>
      <c r="J97" s="8" t="s">
        <v>1974</v>
      </c>
      <c r="K97" s="8" t="s">
        <v>969</v>
      </c>
      <c r="L97" s="8" t="s">
        <v>969</v>
      </c>
      <c r="M97" s="8" t="s">
        <v>972</v>
      </c>
      <c r="N97" s="8" t="s">
        <v>973</v>
      </c>
      <c r="O97" s="8" t="s">
        <v>969</v>
      </c>
      <c r="P97" s="8" t="s">
        <v>969</v>
      </c>
      <c r="Q97" s="8" t="s">
        <v>969</v>
      </c>
      <c r="R97" s="8" t="s">
        <v>969</v>
      </c>
      <c r="S97" s="8" t="s">
        <v>969</v>
      </c>
      <c r="T97" s="8" t="s">
        <v>969</v>
      </c>
      <c r="U97" s="8" t="s">
        <v>2662</v>
      </c>
      <c r="V97" s="8" t="s">
        <v>2663</v>
      </c>
      <c r="W97" s="8" t="s">
        <v>2664</v>
      </c>
      <c r="X97" s="8" t="s">
        <v>2665</v>
      </c>
      <c r="Y97" s="8" t="s">
        <v>2666</v>
      </c>
      <c r="Z97" s="8" t="s">
        <v>2667</v>
      </c>
      <c r="AA97" s="8" t="s">
        <v>2668</v>
      </c>
      <c r="AB97" s="8" t="s">
        <v>969</v>
      </c>
      <c r="AC97" s="8" t="s">
        <v>2669</v>
      </c>
      <c r="AD97" s="8" t="s">
        <v>2669</v>
      </c>
      <c r="AE97" s="8" t="s">
        <v>2670</v>
      </c>
      <c r="AF97" s="8" t="s">
        <v>969</v>
      </c>
      <c r="AG97" s="8">
        <v>30.0</v>
      </c>
      <c r="AH97" s="8">
        <v>127.0</v>
      </c>
      <c r="AI97" s="8">
        <v>151.0</v>
      </c>
      <c r="AJ97" s="8">
        <v>1.0</v>
      </c>
      <c r="AK97" s="8">
        <v>92.0</v>
      </c>
      <c r="AL97" s="8" t="s">
        <v>1985</v>
      </c>
      <c r="AM97" s="8" t="s">
        <v>1986</v>
      </c>
      <c r="AN97" s="8" t="s">
        <v>1987</v>
      </c>
      <c r="AO97" s="8" t="s">
        <v>1988</v>
      </c>
      <c r="AP97" s="8" t="s">
        <v>969</v>
      </c>
      <c r="AQ97" s="8" t="s">
        <v>969</v>
      </c>
      <c r="AR97" s="8" t="s">
        <v>1974</v>
      </c>
      <c r="AS97" s="8" t="s">
        <v>1989</v>
      </c>
      <c r="AT97" s="8" t="s">
        <v>2671</v>
      </c>
      <c r="AU97" s="8">
        <v>2013.0</v>
      </c>
      <c r="AV97" s="8">
        <v>8.0</v>
      </c>
      <c r="AW97" s="8">
        <v>5.0</v>
      </c>
      <c r="AX97" s="8" t="s">
        <v>969</v>
      </c>
      <c r="AY97" s="8" t="s">
        <v>969</v>
      </c>
      <c r="AZ97" s="8" t="s">
        <v>969</v>
      </c>
      <c r="BA97" s="8" t="s">
        <v>969</v>
      </c>
      <c r="BB97" s="8" t="s">
        <v>969</v>
      </c>
      <c r="BC97" s="8" t="s">
        <v>969</v>
      </c>
      <c r="BD97" s="8" t="s">
        <v>2672</v>
      </c>
      <c r="BE97" s="8" t="s">
        <v>824</v>
      </c>
      <c r="BF97" s="13" t="str">
        <f>HYPERLINK("http://dx.doi.org/10.1371/journal.pone.0063883","http://dx.doi.org/10.1371/journal.pone.0063883")</f>
        <v>http://dx.doi.org/10.1371/journal.pone.0063883</v>
      </c>
      <c r="BG97" s="8" t="s">
        <v>969</v>
      </c>
      <c r="BH97" s="8" t="s">
        <v>969</v>
      </c>
      <c r="BI97" s="8">
        <v>12.0</v>
      </c>
      <c r="BJ97" s="8" t="s">
        <v>1076</v>
      </c>
      <c r="BK97" s="8" t="s">
        <v>988</v>
      </c>
      <c r="BL97" s="8" t="s">
        <v>1077</v>
      </c>
      <c r="BM97" s="8" t="s">
        <v>2673</v>
      </c>
      <c r="BN97" s="8">
        <v>2.3717503E7</v>
      </c>
      <c r="BO97" s="8" t="s">
        <v>1140</v>
      </c>
      <c r="BP97" s="8" t="s">
        <v>969</v>
      </c>
      <c r="BQ97" s="8" t="s">
        <v>969</v>
      </c>
      <c r="BR97" s="8" t="s">
        <v>991</v>
      </c>
      <c r="BS97" s="8" t="s">
        <v>2674</v>
      </c>
      <c r="BT97" s="8" t="s">
        <v>993</v>
      </c>
      <c r="BU97" s="8" t="s">
        <v>994</v>
      </c>
      <c r="BW97" s="8" t="s">
        <v>67</v>
      </c>
      <c r="CA97" s="8" t="str">
        <f>HYPERLINK("https%3A%2F%2Fwww.webofscience.com%2Fwos%2Fwoscc%2Ffull-record%2FWOS:000320362700075","View Full Record in Web of Science")</f>
        <v>View Full Record in Web of Science</v>
      </c>
    </row>
    <row r="98" ht="12.75" customHeight="1">
      <c r="A98" s="8" t="s">
        <v>967</v>
      </c>
      <c r="B98" s="8" t="s">
        <v>2675</v>
      </c>
      <c r="C98" s="8" t="s">
        <v>969</v>
      </c>
      <c r="D98" s="8" t="s">
        <v>969</v>
      </c>
      <c r="E98" s="8" t="s">
        <v>969</v>
      </c>
      <c r="F98" s="8" t="s">
        <v>2676</v>
      </c>
      <c r="G98" s="8" t="s">
        <v>969</v>
      </c>
      <c r="H98" s="8" t="s">
        <v>969</v>
      </c>
      <c r="I98" s="8" t="s">
        <v>2677</v>
      </c>
      <c r="J98" s="8" t="s">
        <v>1183</v>
      </c>
      <c r="K98" s="8" t="s">
        <v>969</v>
      </c>
      <c r="L98" s="8" t="s">
        <v>969</v>
      </c>
      <c r="M98" s="8" t="s">
        <v>972</v>
      </c>
      <c r="N98" s="8" t="s">
        <v>973</v>
      </c>
      <c r="O98" s="8" t="s">
        <v>969</v>
      </c>
      <c r="P98" s="8" t="s">
        <v>969</v>
      </c>
      <c r="Q98" s="8" t="s">
        <v>969</v>
      </c>
      <c r="R98" s="8" t="s">
        <v>969</v>
      </c>
      <c r="S98" s="8" t="s">
        <v>969</v>
      </c>
      <c r="T98" s="8" t="s">
        <v>2678</v>
      </c>
      <c r="U98" s="8" t="s">
        <v>2679</v>
      </c>
      <c r="V98" s="8" t="s">
        <v>2680</v>
      </c>
      <c r="W98" s="8" t="s">
        <v>2681</v>
      </c>
      <c r="X98" s="8" t="s">
        <v>2682</v>
      </c>
      <c r="Y98" s="8" t="s">
        <v>2683</v>
      </c>
      <c r="Z98" s="8" t="s">
        <v>2684</v>
      </c>
      <c r="AA98" s="8" t="s">
        <v>2685</v>
      </c>
      <c r="AB98" s="8" t="s">
        <v>2686</v>
      </c>
      <c r="AC98" s="8" t="s">
        <v>2687</v>
      </c>
      <c r="AD98" s="8" t="s">
        <v>2688</v>
      </c>
      <c r="AE98" s="8" t="s">
        <v>2689</v>
      </c>
      <c r="AF98" s="8" t="s">
        <v>969</v>
      </c>
      <c r="AG98" s="8">
        <v>75.0</v>
      </c>
      <c r="AH98" s="8">
        <v>103.0</v>
      </c>
      <c r="AI98" s="8">
        <v>118.0</v>
      </c>
      <c r="AJ98" s="8">
        <v>1.0</v>
      </c>
      <c r="AK98" s="8">
        <v>187.0</v>
      </c>
      <c r="AL98" s="8" t="s">
        <v>1192</v>
      </c>
      <c r="AM98" s="8" t="s">
        <v>1193</v>
      </c>
      <c r="AN98" s="8" t="s">
        <v>1194</v>
      </c>
      <c r="AO98" s="8" t="s">
        <v>1195</v>
      </c>
      <c r="AP98" s="8" t="s">
        <v>1196</v>
      </c>
      <c r="AQ98" s="8" t="s">
        <v>969</v>
      </c>
      <c r="AR98" s="8" t="s">
        <v>1197</v>
      </c>
      <c r="AS98" s="8" t="s">
        <v>1198</v>
      </c>
      <c r="AT98" s="8" t="s">
        <v>1552</v>
      </c>
      <c r="AU98" s="8">
        <v>2013.0</v>
      </c>
      <c r="AV98" s="8">
        <v>160.0</v>
      </c>
      <c r="AW98" s="8" t="s">
        <v>969</v>
      </c>
      <c r="AX98" s="8" t="s">
        <v>969</v>
      </c>
      <c r="AY98" s="8" t="s">
        <v>969</v>
      </c>
      <c r="AZ98" s="8" t="s">
        <v>969</v>
      </c>
      <c r="BA98" s="8" t="s">
        <v>969</v>
      </c>
      <c r="BB98" s="8">
        <v>225.0</v>
      </c>
      <c r="BC98" s="8">
        <v>233.0</v>
      </c>
      <c r="BD98" s="8" t="s">
        <v>969</v>
      </c>
      <c r="BE98" s="8" t="s">
        <v>554</v>
      </c>
      <c r="BF98" s="13" t="str">
        <f>HYPERLINK("http://dx.doi.org/10.1016/j.biocon.2013.02.001","http://dx.doi.org/10.1016/j.biocon.2013.02.001")</f>
        <v>http://dx.doi.org/10.1016/j.biocon.2013.02.001</v>
      </c>
      <c r="BG98" s="8" t="s">
        <v>969</v>
      </c>
      <c r="BH98" s="8" t="s">
        <v>969</v>
      </c>
      <c r="BI98" s="8">
        <v>9.0</v>
      </c>
      <c r="BJ98" s="8" t="s">
        <v>987</v>
      </c>
      <c r="BK98" s="8" t="s">
        <v>988</v>
      </c>
      <c r="BL98" s="8" t="s">
        <v>989</v>
      </c>
      <c r="BM98" s="8" t="s">
        <v>2690</v>
      </c>
      <c r="BN98" s="8" t="s">
        <v>969</v>
      </c>
      <c r="BO98" s="8" t="s">
        <v>969</v>
      </c>
      <c r="BP98" s="8" t="s">
        <v>969</v>
      </c>
      <c r="BQ98" s="8" t="s">
        <v>969</v>
      </c>
      <c r="BR98" s="8" t="s">
        <v>991</v>
      </c>
      <c r="BS98" s="8" t="s">
        <v>2691</v>
      </c>
      <c r="BT98" s="8" t="s">
        <v>1021</v>
      </c>
      <c r="BW98" s="8" t="s">
        <v>33</v>
      </c>
      <c r="BX98" s="8" t="s">
        <v>995</v>
      </c>
      <c r="CA98" s="8" t="str">
        <f>HYPERLINK("https%3A%2F%2Fwww.webofscience.com%2Fwos%2Fwoscc%2Ffull-record%2FWOS:000320684700025","View Full Record in Web of Science")</f>
        <v>View Full Record in Web of Science</v>
      </c>
    </row>
    <row r="99" ht="12.75" customHeight="1">
      <c r="A99" s="8" t="s">
        <v>967</v>
      </c>
      <c r="B99" s="8" t="s">
        <v>2692</v>
      </c>
      <c r="C99" s="8" t="s">
        <v>969</v>
      </c>
      <c r="D99" s="8" t="s">
        <v>969</v>
      </c>
      <c r="E99" s="8" t="s">
        <v>969</v>
      </c>
      <c r="F99" s="8" t="s">
        <v>2693</v>
      </c>
      <c r="G99" s="8" t="s">
        <v>969</v>
      </c>
      <c r="H99" s="8" t="s">
        <v>969</v>
      </c>
      <c r="I99" s="8" t="s">
        <v>2694</v>
      </c>
      <c r="J99" s="8" t="s">
        <v>2695</v>
      </c>
      <c r="K99" s="8" t="s">
        <v>969</v>
      </c>
      <c r="L99" s="8" t="s">
        <v>969</v>
      </c>
      <c r="M99" s="8" t="s">
        <v>972</v>
      </c>
      <c r="N99" s="8" t="s">
        <v>973</v>
      </c>
      <c r="O99" s="8" t="s">
        <v>969</v>
      </c>
      <c r="P99" s="8" t="s">
        <v>969</v>
      </c>
      <c r="Q99" s="8" t="s">
        <v>969</v>
      </c>
      <c r="R99" s="8" t="s">
        <v>969</v>
      </c>
      <c r="S99" s="8" t="s">
        <v>969</v>
      </c>
      <c r="T99" s="8" t="s">
        <v>2696</v>
      </c>
      <c r="U99" s="8" t="s">
        <v>2697</v>
      </c>
      <c r="V99" s="8" t="s">
        <v>2698</v>
      </c>
      <c r="W99" s="8" t="s">
        <v>2699</v>
      </c>
      <c r="X99" s="8" t="s">
        <v>2700</v>
      </c>
      <c r="Y99" s="8" t="s">
        <v>2701</v>
      </c>
      <c r="Z99" s="8" t="s">
        <v>2225</v>
      </c>
      <c r="AA99" s="8" t="s">
        <v>2226</v>
      </c>
      <c r="AB99" s="8" t="s">
        <v>2227</v>
      </c>
      <c r="AC99" s="8" t="s">
        <v>2702</v>
      </c>
      <c r="AD99" s="8" t="s">
        <v>2703</v>
      </c>
      <c r="AE99" s="8" t="s">
        <v>2704</v>
      </c>
      <c r="AF99" s="8" t="s">
        <v>969</v>
      </c>
      <c r="AG99" s="8">
        <v>54.0</v>
      </c>
      <c r="AH99" s="8">
        <v>53.0</v>
      </c>
      <c r="AI99" s="8">
        <v>82.0</v>
      </c>
      <c r="AJ99" s="8">
        <v>5.0</v>
      </c>
      <c r="AK99" s="8">
        <v>152.0</v>
      </c>
      <c r="AL99" s="8" t="s">
        <v>2705</v>
      </c>
      <c r="AM99" s="8" t="s">
        <v>2706</v>
      </c>
      <c r="AN99" s="8" t="s">
        <v>2707</v>
      </c>
      <c r="AO99" s="8" t="s">
        <v>2708</v>
      </c>
      <c r="AP99" s="8" t="s">
        <v>2709</v>
      </c>
      <c r="AQ99" s="8" t="s">
        <v>969</v>
      </c>
      <c r="AR99" s="8" t="s">
        <v>2710</v>
      </c>
      <c r="AS99" s="8" t="s">
        <v>2711</v>
      </c>
      <c r="AT99" s="8" t="s">
        <v>1211</v>
      </c>
      <c r="AU99" s="8">
        <v>2013.0</v>
      </c>
      <c r="AV99" s="8">
        <v>13.0</v>
      </c>
      <c r="AW99" s="8">
        <v>4.0</v>
      </c>
      <c r="AX99" s="8" t="s">
        <v>969</v>
      </c>
      <c r="AY99" s="8" t="s">
        <v>969</v>
      </c>
      <c r="AZ99" s="8" t="s">
        <v>2350</v>
      </c>
      <c r="BA99" s="8" t="s">
        <v>969</v>
      </c>
      <c r="BB99" s="8">
        <v>843.0</v>
      </c>
      <c r="BC99" s="8">
        <v>852.0</v>
      </c>
      <c r="BD99" s="8" t="s">
        <v>969</v>
      </c>
      <c r="BE99" s="8" t="s">
        <v>515</v>
      </c>
      <c r="BF99" s="13" t="str">
        <f>HYPERLINK("http://dx.doi.org/10.1007/s10113-012-0344-z","http://dx.doi.org/10.1007/s10113-012-0344-z")</f>
        <v>http://dx.doi.org/10.1007/s10113-012-0344-z</v>
      </c>
      <c r="BG99" s="8" t="s">
        <v>969</v>
      </c>
      <c r="BH99" s="8" t="s">
        <v>969</v>
      </c>
      <c r="BI99" s="8">
        <v>10.0</v>
      </c>
      <c r="BJ99" s="8" t="s">
        <v>2712</v>
      </c>
      <c r="BK99" s="8" t="s">
        <v>1519</v>
      </c>
      <c r="BL99" s="8" t="s">
        <v>1268</v>
      </c>
      <c r="BM99" s="8" t="s">
        <v>2713</v>
      </c>
      <c r="BN99" s="8" t="s">
        <v>969</v>
      </c>
      <c r="BO99" s="8" t="s">
        <v>969</v>
      </c>
      <c r="BP99" s="8" t="s">
        <v>969</v>
      </c>
      <c r="BQ99" s="8" t="s">
        <v>969</v>
      </c>
      <c r="BR99" s="8" t="s">
        <v>991</v>
      </c>
      <c r="BS99" s="8" t="s">
        <v>2714</v>
      </c>
      <c r="BT99" s="8" t="s">
        <v>1021</v>
      </c>
      <c r="BW99" s="8" t="s">
        <v>47</v>
      </c>
      <c r="BX99" s="8" t="s">
        <v>995</v>
      </c>
      <c r="BY99" s="8" t="s">
        <v>996</v>
      </c>
      <c r="BZ99" s="8" t="s">
        <v>997</v>
      </c>
      <c r="CA99" s="8" t="str">
        <f>HYPERLINK("https%3A%2F%2Fwww.webofscience.com%2Fwos%2Fwoscc%2Ffull-record%2FWOS:000322671700008","View Full Record in Web of Science")</f>
        <v>View Full Record in Web of Science</v>
      </c>
    </row>
    <row r="100" ht="12.75" customHeight="1">
      <c r="A100" s="8" t="s">
        <v>967</v>
      </c>
      <c r="B100" s="8" t="s">
        <v>2715</v>
      </c>
      <c r="C100" s="8" t="s">
        <v>969</v>
      </c>
      <c r="D100" s="8" t="s">
        <v>969</v>
      </c>
      <c r="E100" s="8" t="s">
        <v>969</v>
      </c>
      <c r="F100" s="8" t="s">
        <v>2716</v>
      </c>
      <c r="G100" s="8" t="s">
        <v>969</v>
      </c>
      <c r="H100" s="8" t="s">
        <v>969</v>
      </c>
      <c r="I100" s="8" t="s">
        <v>2717</v>
      </c>
      <c r="J100" s="8" t="s">
        <v>2718</v>
      </c>
      <c r="K100" s="8" t="s">
        <v>969</v>
      </c>
      <c r="L100" s="8" t="s">
        <v>969</v>
      </c>
      <c r="M100" s="8" t="s">
        <v>972</v>
      </c>
      <c r="N100" s="8" t="s">
        <v>973</v>
      </c>
      <c r="O100" s="8" t="s">
        <v>969</v>
      </c>
      <c r="P100" s="8" t="s">
        <v>969</v>
      </c>
      <c r="Q100" s="8" t="s">
        <v>969</v>
      </c>
      <c r="R100" s="8" t="s">
        <v>969</v>
      </c>
      <c r="S100" s="8" t="s">
        <v>969</v>
      </c>
      <c r="T100" s="8" t="s">
        <v>2719</v>
      </c>
      <c r="U100" s="8" t="s">
        <v>2720</v>
      </c>
      <c r="V100" s="8" t="s">
        <v>2721</v>
      </c>
      <c r="W100" s="8" t="s">
        <v>2722</v>
      </c>
      <c r="X100" s="8" t="s">
        <v>2723</v>
      </c>
      <c r="Y100" s="8" t="s">
        <v>2724</v>
      </c>
      <c r="Z100" s="8" t="s">
        <v>2725</v>
      </c>
      <c r="AA100" s="8" t="s">
        <v>2726</v>
      </c>
      <c r="AB100" s="8" t="s">
        <v>2727</v>
      </c>
      <c r="AC100" s="8" t="s">
        <v>2728</v>
      </c>
      <c r="AD100" s="8" t="s">
        <v>2729</v>
      </c>
      <c r="AE100" s="8" t="s">
        <v>2730</v>
      </c>
      <c r="AF100" s="8" t="s">
        <v>969</v>
      </c>
      <c r="AG100" s="8">
        <v>60.0</v>
      </c>
      <c r="AH100" s="8">
        <v>35.0</v>
      </c>
      <c r="AI100" s="8">
        <v>39.0</v>
      </c>
      <c r="AJ100" s="8">
        <v>1.0</v>
      </c>
      <c r="AK100" s="8">
        <v>69.0</v>
      </c>
      <c r="AL100" s="8" t="s">
        <v>1609</v>
      </c>
      <c r="AM100" s="8" t="s">
        <v>2731</v>
      </c>
      <c r="AN100" s="8" t="s">
        <v>2732</v>
      </c>
      <c r="AO100" s="8" t="s">
        <v>2733</v>
      </c>
      <c r="AP100" s="8" t="s">
        <v>969</v>
      </c>
      <c r="AQ100" s="8" t="s">
        <v>969</v>
      </c>
      <c r="AR100" s="8" t="s">
        <v>2718</v>
      </c>
      <c r="AS100" s="8" t="s">
        <v>2734</v>
      </c>
      <c r="AT100" s="8" t="s">
        <v>1300</v>
      </c>
      <c r="AU100" s="8">
        <v>2013.0</v>
      </c>
      <c r="AV100" s="8">
        <v>100.0</v>
      </c>
      <c r="AW100" s="8">
        <v>9.0</v>
      </c>
      <c r="AX100" s="8" t="s">
        <v>969</v>
      </c>
      <c r="AY100" s="8" t="s">
        <v>969</v>
      </c>
      <c r="AZ100" s="8" t="s">
        <v>969</v>
      </c>
      <c r="BA100" s="8" t="s">
        <v>969</v>
      </c>
      <c r="BB100" s="8">
        <v>877.0</v>
      </c>
      <c r="BC100" s="8">
        <v>889.0</v>
      </c>
      <c r="BD100" s="8" t="s">
        <v>969</v>
      </c>
      <c r="BE100" s="8" t="s">
        <v>512</v>
      </c>
      <c r="BF100" s="13" t="str">
        <f>HYPERLINK("http://dx.doi.org/10.1007/s00114-013-1088-4","http://dx.doi.org/10.1007/s00114-013-1088-4")</f>
        <v>http://dx.doi.org/10.1007/s00114-013-1088-4</v>
      </c>
      <c r="BG100" s="8" t="s">
        <v>969</v>
      </c>
      <c r="BH100" s="8" t="s">
        <v>969</v>
      </c>
      <c r="BI100" s="8">
        <v>13.0</v>
      </c>
      <c r="BJ100" s="8" t="s">
        <v>1076</v>
      </c>
      <c r="BK100" s="8" t="s">
        <v>988</v>
      </c>
      <c r="BL100" s="8" t="s">
        <v>1077</v>
      </c>
      <c r="BM100" s="8" t="s">
        <v>2735</v>
      </c>
      <c r="BN100" s="8">
        <v>2.394255E7</v>
      </c>
      <c r="BO100" s="8" t="s">
        <v>969</v>
      </c>
      <c r="BP100" s="8" t="s">
        <v>969</v>
      </c>
      <c r="BQ100" s="8" t="s">
        <v>969</v>
      </c>
      <c r="BR100" s="8" t="s">
        <v>991</v>
      </c>
      <c r="BS100" s="8" t="s">
        <v>2736</v>
      </c>
      <c r="BT100" s="8" t="s">
        <v>1099</v>
      </c>
      <c r="BW100" s="8" t="s">
        <v>40</v>
      </c>
      <c r="BX100" s="8" t="s">
        <v>995</v>
      </c>
      <c r="BY100" s="8" t="s">
        <v>996</v>
      </c>
      <c r="CA100" s="8" t="str">
        <f>HYPERLINK("https%3A%2F%2Fwww.webofscience.com%2Fwos%2Fwoscc%2Ffull-record%2FWOS:000323670800008","View Full Record in Web of Science")</f>
        <v>View Full Record in Web of Science</v>
      </c>
    </row>
    <row r="101" ht="12.75" customHeight="1">
      <c r="A101" s="8" t="s">
        <v>967</v>
      </c>
      <c r="B101" s="8" t="s">
        <v>2737</v>
      </c>
      <c r="C101" s="8" t="s">
        <v>969</v>
      </c>
      <c r="D101" s="8" t="s">
        <v>969</v>
      </c>
      <c r="E101" s="8" t="s">
        <v>969</v>
      </c>
      <c r="F101" s="8" t="s">
        <v>2738</v>
      </c>
      <c r="G101" s="8" t="s">
        <v>969</v>
      </c>
      <c r="H101" s="8" t="s">
        <v>969</v>
      </c>
      <c r="I101" s="8" t="s">
        <v>2739</v>
      </c>
      <c r="J101" s="8" t="s">
        <v>971</v>
      </c>
      <c r="K101" s="8" t="s">
        <v>969</v>
      </c>
      <c r="L101" s="8" t="s">
        <v>969</v>
      </c>
      <c r="M101" s="8" t="s">
        <v>972</v>
      </c>
      <c r="N101" s="8" t="s">
        <v>973</v>
      </c>
      <c r="O101" s="8" t="s">
        <v>969</v>
      </c>
      <c r="P101" s="8" t="s">
        <v>969</v>
      </c>
      <c r="Q101" s="8" t="s">
        <v>969</v>
      </c>
      <c r="R101" s="8" t="s">
        <v>969</v>
      </c>
      <c r="S101" s="8" t="s">
        <v>969</v>
      </c>
      <c r="T101" s="8" t="s">
        <v>2740</v>
      </c>
      <c r="U101" s="8" t="s">
        <v>2741</v>
      </c>
      <c r="V101" s="8" t="s">
        <v>2742</v>
      </c>
      <c r="W101" s="8" t="s">
        <v>2743</v>
      </c>
      <c r="X101" s="8" t="s">
        <v>2744</v>
      </c>
      <c r="Y101" s="8" t="s">
        <v>2745</v>
      </c>
      <c r="Z101" s="8" t="s">
        <v>2455</v>
      </c>
      <c r="AA101" s="8" t="s">
        <v>2746</v>
      </c>
      <c r="AB101" s="8" t="s">
        <v>2747</v>
      </c>
      <c r="AC101" s="8" t="s">
        <v>2748</v>
      </c>
      <c r="AD101" s="8" t="s">
        <v>2749</v>
      </c>
      <c r="AE101" s="8" t="s">
        <v>2750</v>
      </c>
      <c r="AF101" s="8" t="s">
        <v>969</v>
      </c>
      <c r="AG101" s="8">
        <v>76.0</v>
      </c>
      <c r="AH101" s="8">
        <v>76.0</v>
      </c>
      <c r="AI101" s="8">
        <v>87.0</v>
      </c>
      <c r="AJ101" s="8">
        <v>0.0</v>
      </c>
      <c r="AK101" s="8">
        <v>259.0</v>
      </c>
      <c r="AL101" s="8" t="s">
        <v>1091</v>
      </c>
      <c r="AM101" s="8" t="s">
        <v>1092</v>
      </c>
      <c r="AN101" s="8" t="s">
        <v>1093</v>
      </c>
      <c r="AO101" s="8" t="s">
        <v>983</v>
      </c>
      <c r="AP101" s="8" t="s">
        <v>1094</v>
      </c>
      <c r="AQ101" s="8" t="s">
        <v>969</v>
      </c>
      <c r="AR101" s="8" t="s">
        <v>1095</v>
      </c>
      <c r="AS101" s="8" t="s">
        <v>985</v>
      </c>
      <c r="AT101" s="8" t="s">
        <v>1112</v>
      </c>
      <c r="AU101" s="8">
        <v>2013.0</v>
      </c>
      <c r="AV101" s="8">
        <v>19.0</v>
      </c>
      <c r="AW101" s="8">
        <v>10.0</v>
      </c>
      <c r="AX101" s="8" t="s">
        <v>969</v>
      </c>
      <c r="AY101" s="8" t="s">
        <v>969</v>
      </c>
      <c r="AZ101" s="8" t="s">
        <v>969</v>
      </c>
      <c r="BA101" s="8" t="s">
        <v>969</v>
      </c>
      <c r="BB101" s="8">
        <v>3224.0</v>
      </c>
      <c r="BC101" s="8">
        <v>3237.0</v>
      </c>
      <c r="BD101" s="8" t="s">
        <v>969</v>
      </c>
      <c r="BE101" s="8" t="s">
        <v>671</v>
      </c>
      <c r="BF101" s="13" t="str">
        <f>HYPERLINK("http://dx.doi.org/10.1111/gcb.12289","http://dx.doi.org/10.1111/gcb.12289")</f>
        <v>http://dx.doi.org/10.1111/gcb.12289</v>
      </c>
      <c r="BG101" s="8" t="s">
        <v>969</v>
      </c>
      <c r="BH101" s="8" t="s">
        <v>969</v>
      </c>
      <c r="BI101" s="8">
        <v>14.0</v>
      </c>
      <c r="BJ101" s="8" t="s">
        <v>987</v>
      </c>
      <c r="BK101" s="8" t="s">
        <v>988</v>
      </c>
      <c r="BL101" s="8" t="s">
        <v>989</v>
      </c>
      <c r="BM101" s="8" t="s">
        <v>2751</v>
      </c>
      <c r="BN101" s="8">
        <v>2.3907833E7</v>
      </c>
      <c r="BO101" s="8" t="s">
        <v>1247</v>
      </c>
      <c r="BP101" s="8" t="s">
        <v>969</v>
      </c>
      <c r="BQ101" s="8" t="s">
        <v>969</v>
      </c>
      <c r="BR101" s="8" t="s">
        <v>991</v>
      </c>
      <c r="BS101" s="8" t="s">
        <v>2752</v>
      </c>
      <c r="BT101" s="8" t="s">
        <v>1115</v>
      </c>
      <c r="BU101" s="8" t="s">
        <v>1116</v>
      </c>
      <c r="BV101" s="8" t="s">
        <v>1117</v>
      </c>
      <c r="BW101" s="8" t="s">
        <v>33</v>
      </c>
      <c r="BX101" s="8" t="s">
        <v>995</v>
      </c>
      <c r="CA101" s="8" t="str">
        <f>HYPERLINK("https%3A%2F%2Fwww.webofscience.com%2Fwos%2Fwoscc%2Ffull-record%2FWOS:000323844200027","View Full Record in Web of Science")</f>
        <v>View Full Record in Web of Science</v>
      </c>
    </row>
    <row r="102" ht="12.75" customHeight="1">
      <c r="A102" s="8" t="s">
        <v>967</v>
      </c>
      <c r="B102" s="8" t="s">
        <v>2753</v>
      </c>
      <c r="C102" s="8" t="s">
        <v>969</v>
      </c>
      <c r="D102" s="8" t="s">
        <v>969</v>
      </c>
      <c r="E102" s="8" t="s">
        <v>969</v>
      </c>
      <c r="F102" s="8" t="s">
        <v>2754</v>
      </c>
      <c r="G102" s="8" t="s">
        <v>969</v>
      </c>
      <c r="H102" s="8" t="s">
        <v>969</v>
      </c>
      <c r="I102" s="8" t="s">
        <v>2755</v>
      </c>
      <c r="J102" s="8" t="s">
        <v>2358</v>
      </c>
      <c r="K102" s="8" t="s">
        <v>969</v>
      </c>
      <c r="L102" s="8" t="s">
        <v>969</v>
      </c>
      <c r="M102" s="8" t="s">
        <v>972</v>
      </c>
      <c r="N102" s="8" t="s">
        <v>973</v>
      </c>
      <c r="O102" s="8" t="s">
        <v>969</v>
      </c>
      <c r="P102" s="8" t="s">
        <v>969</v>
      </c>
      <c r="Q102" s="8" t="s">
        <v>969</v>
      </c>
      <c r="R102" s="8" t="s">
        <v>969</v>
      </c>
      <c r="S102" s="8" t="s">
        <v>969</v>
      </c>
      <c r="T102" s="8" t="s">
        <v>969</v>
      </c>
      <c r="U102" s="8" t="s">
        <v>2756</v>
      </c>
      <c r="V102" s="8" t="s">
        <v>2757</v>
      </c>
      <c r="W102" s="8" t="s">
        <v>2758</v>
      </c>
      <c r="X102" s="8" t="s">
        <v>2759</v>
      </c>
      <c r="Y102" s="8" t="s">
        <v>2760</v>
      </c>
      <c r="Z102" s="8" t="s">
        <v>2761</v>
      </c>
      <c r="AA102" s="8" t="s">
        <v>2762</v>
      </c>
      <c r="AB102" s="8" t="s">
        <v>2763</v>
      </c>
      <c r="AC102" s="8" t="s">
        <v>2764</v>
      </c>
      <c r="AD102" s="8" t="s">
        <v>2765</v>
      </c>
      <c r="AE102" s="8" t="s">
        <v>2766</v>
      </c>
      <c r="AF102" s="8" t="s">
        <v>969</v>
      </c>
      <c r="AG102" s="8">
        <v>30.0</v>
      </c>
      <c r="AH102" s="8">
        <v>314.0</v>
      </c>
      <c r="AI102" s="8">
        <v>356.0</v>
      </c>
      <c r="AJ102" s="8">
        <v>5.0</v>
      </c>
      <c r="AK102" s="8">
        <v>247.0</v>
      </c>
      <c r="AL102" s="8" t="s">
        <v>1070</v>
      </c>
      <c r="AM102" s="8" t="s">
        <v>1071</v>
      </c>
      <c r="AN102" s="8" t="s">
        <v>1072</v>
      </c>
      <c r="AO102" s="8" t="s">
        <v>2369</v>
      </c>
      <c r="AP102" s="8" t="s">
        <v>2370</v>
      </c>
      <c r="AQ102" s="8" t="s">
        <v>969</v>
      </c>
      <c r="AR102" s="8" t="s">
        <v>2371</v>
      </c>
      <c r="AS102" s="8" t="s">
        <v>2372</v>
      </c>
      <c r="AT102" s="8" t="s">
        <v>1096</v>
      </c>
      <c r="AU102" s="8">
        <v>2013.0</v>
      </c>
      <c r="AV102" s="8">
        <v>3.0</v>
      </c>
      <c r="AW102" s="8">
        <v>7.0</v>
      </c>
      <c r="AX102" s="8" t="s">
        <v>969</v>
      </c>
      <c r="AY102" s="8" t="s">
        <v>969</v>
      </c>
      <c r="AZ102" s="8" t="s">
        <v>969</v>
      </c>
      <c r="BA102" s="8" t="s">
        <v>969</v>
      </c>
      <c r="BB102" s="8">
        <v>678.0</v>
      </c>
      <c r="BC102" s="8">
        <v>682.0</v>
      </c>
      <c r="BD102" s="8" t="s">
        <v>969</v>
      </c>
      <c r="BE102" s="8" t="s">
        <v>2767</v>
      </c>
      <c r="BF102" s="13" t="str">
        <f>HYPERLINK("http://dx.doi.org/10.1038/NCLIMATE1887","http://dx.doi.org/10.1038/NCLIMATE1887")</f>
        <v>http://dx.doi.org/10.1038/NCLIMATE1887</v>
      </c>
      <c r="BG102" s="8" t="s">
        <v>969</v>
      </c>
      <c r="BH102" s="8" t="s">
        <v>969</v>
      </c>
      <c r="BI102" s="8">
        <v>5.0</v>
      </c>
      <c r="BJ102" s="8" t="s">
        <v>2374</v>
      </c>
      <c r="BK102" s="8" t="s">
        <v>1519</v>
      </c>
      <c r="BL102" s="8" t="s">
        <v>1038</v>
      </c>
      <c r="BM102" s="8" t="s">
        <v>2768</v>
      </c>
      <c r="BN102" s="8" t="s">
        <v>969</v>
      </c>
      <c r="BO102" s="8" t="s">
        <v>969</v>
      </c>
      <c r="BP102" s="8" t="s">
        <v>969</v>
      </c>
      <c r="BQ102" s="8" t="s">
        <v>969</v>
      </c>
      <c r="BR102" s="8" t="s">
        <v>991</v>
      </c>
      <c r="BS102" s="8" t="s">
        <v>2769</v>
      </c>
      <c r="BT102" s="8" t="s">
        <v>1249</v>
      </c>
      <c r="BW102" s="8" t="s">
        <v>128</v>
      </c>
      <c r="BX102" s="8" t="s">
        <v>1586</v>
      </c>
      <c r="CA102" s="8" t="str">
        <f>HYPERLINK("https%3A%2F%2Fwww.webofscience.com%2Fwos%2Fwoscc%2Ffull-record%2FWOS:000324486300025","View Full Record in Web of Science")</f>
        <v>View Full Record in Web of Science</v>
      </c>
    </row>
    <row r="103" ht="12.75" customHeight="1">
      <c r="A103" s="8" t="s">
        <v>967</v>
      </c>
      <c r="B103" s="8" t="s">
        <v>2770</v>
      </c>
      <c r="C103" s="8" t="s">
        <v>969</v>
      </c>
      <c r="D103" s="8" t="s">
        <v>969</v>
      </c>
      <c r="E103" s="8" t="s">
        <v>969</v>
      </c>
      <c r="F103" s="8" t="s">
        <v>2771</v>
      </c>
      <c r="G103" s="8" t="s">
        <v>969</v>
      </c>
      <c r="H103" s="8" t="s">
        <v>969</v>
      </c>
      <c r="I103" s="8" t="s">
        <v>2772</v>
      </c>
      <c r="J103" s="8" t="s">
        <v>1974</v>
      </c>
      <c r="K103" s="8" t="s">
        <v>969</v>
      </c>
      <c r="L103" s="8" t="s">
        <v>969</v>
      </c>
      <c r="M103" s="8" t="s">
        <v>972</v>
      </c>
      <c r="N103" s="8" t="s">
        <v>973</v>
      </c>
      <c r="O103" s="8" t="s">
        <v>969</v>
      </c>
      <c r="P103" s="8" t="s">
        <v>969</v>
      </c>
      <c r="Q103" s="8" t="s">
        <v>969</v>
      </c>
      <c r="R103" s="8" t="s">
        <v>969</v>
      </c>
      <c r="S103" s="8" t="s">
        <v>969</v>
      </c>
      <c r="T103" s="8" t="s">
        <v>969</v>
      </c>
      <c r="U103" s="8" t="s">
        <v>2773</v>
      </c>
      <c r="V103" s="8" t="s">
        <v>2774</v>
      </c>
      <c r="W103" s="8" t="s">
        <v>2775</v>
      </c>
      <c r="X103" s="8" t="s">
        <v>2776</v>
      </c>
      <c r="Y103" s="8" t="s">
        <v>2777</v>
      </c>
      <c r="Z103" s="8" t="s">
        <v>2778</v>
      </c>
      <c r="AA103" s="8" t="s">
        <v>2779</v>
      </c>
      <c r="AB103" s="8" t="s">
        <v>2780</v>
      </c>
      <c r="AC103" s="8" t="s">
        <v>2781</v>
      </c>
      <c r="AD103" s="8" t="s">
        <v>2782</v>
      </c>
      <c r="AE103" s="8" t="s">
        <v>2783</v>
      </c>
      <c r="AF103" s="8" t="s">
        <v>969</v>
      </c>
      <c r="AG103" s="8">
        <v>84.0</v>
      </c>
      <c r="AH103" s="8">
        <v>37.0</v>
      </c>
      <c r="AI103" s="8">
        <v>42.0</v>
      </c>
      <c r="AJ103" s="8">
        <v>0.0</v>
      </c>
      <c r="AK103" s="8">
        <v>42.0</v>
      </c>
      <c r="AL103" s="8" t="s">
        <v>1985</v>
      </c>
      <c r="AM103" s="8" t="s">
        <v>1986</v>
      </c>
      <c r="AN103" s="8" t="s">
        <v>1987</v>
      </c>
      <c r="AO103" s="8" t="s">
        <v>1988</v>
      </c>
      <c r="AP103" s="8" t="s">
        <v>969</v>
      </c>
      <c r="AQ103" s="8" t="s">
        <v>969</v>
      </c>
      <c r="AR103" s="8" t="s">
        <v>1974</v>
      </c>
      <c r="AS103" s="8" t="s">
        <v>1989</v>
      </c>
      <c r="AT103" s="8" t="s">
        <v>2784</v>
      </c>
      <c r="AU103" s="8">
        <v>2013.0</v>
      </c>
      <c r="AV103" s="8">
        <v>8.0</v>
      </c>
      <c r="AW103" s="8">
        <v>11.0</v>
      </c>
      <c r="AX103" s="8" t="s">
        <v>969</v>
      </c>
      <c r="AY103" s="8" t="s">
        <v>969</v>
      </c>
      <c r="AZ103" s="8" t="s">
        <v>969</v>
      </c>
      <c r="BA103" s="8" t="s">
        <v>969</v>
      </c>
      <c r="BB103" s="8" t="s">
        <v>969</v>
      </c>
      <c r="BC103" s="8" t="s">
        <v>969</v>
      </c>
      <c r="BD103" s="8" t="s">
        <v>2785</v>
      </c>
      <c r="BE103" s="8" t="s">
        <v>830</v>
      </c>
      <c r="BF103" s="13" t="str">
        <f>HYPERLINK("http://dx.doi.org/10.1371/journal.pone.0080531","http://dx.doi.org/10.1371/journal.pone.0080531")</f>
        <v>http://dx.doi.org/10.1371/journal.pone.0080531</v>
      </c>
      <c r="BG103" s="8" t="s">
        <v>969</v>
      </c>
      <c r="BH103" s="8" t="s">
        <v>969</v>
      </c>
      <c r="BI103" s="8">
        <v>10.0</v>
      </c>
      <c r="BJ103" s="8" t="s">
        <v>1076</v>
      </c>
      <c r="BK103" s="8" t="s">
        <v>988</v>
      </c>
      <c r="BL103" s="8" t="s">
        <v>1077</v>
      </c>
      <c r="BM103" s="8" t="s">
        <v>2786</v>
      </c>
      <c r="BN103" s="8">
        <v>2.4260411E7</v>
      </c>
      <c r="BO103" s="8" t="s">
        <v>1140</v>
      </c>
      <c r="BP103" s="8" t="s">
        <v>969</v>
      </c>
      <c r="BQ103" s="8" t="s">
        <v>969</v>
      </c>
      <c r="BR103" s="8" t="s">
        <v>991</v>
      </c>
      <c r="BS103" s="8" t="s">
        <v>2787</v>
      </c>
      <c r="BT103" s="8" t="s">
        <v>1021</v>
      </c>
      <c r="BW103" s="8" t="s">
        <v>33</v>
      </c>
      <c r="BX103" s="8" t="s">
        <v>995</v>
      </c>
      <c r="CA103" s="8" t="str">
        <f>HYPERLINK("https%3A%2F%2Fwww.webofscience.com%2Fwos%2Fwoscc%2Ffull-record%2FWOS:000327258600069","View Full Record in Web of Science")</f>
        <v>View Full Record in Web of Science</v>
      </c>
    </row>
    <row r="104" ht="12.75" customHeight="1">
      <c r="A104" s="8" t="s">
        <v>967</v>
      </c>
      <c r="B104" s="8" t="s">
        <v>2788</v>
      </c>
      <c r="C104" s="8" t="s">
        <v>969</v>
      </c>
      <c r="D104" s="8" t="s">
        <v>969</v>
      </c>
      <c r="E104" s="8" t="s">
        <v>969</v>
      </c>
      <c r="F104" s="8" t="s">
        <v>2789</v>
      </c>
      <c r="G104" s="8" t="s">
        <v>969</v>
      </c>
      <c r="H104" s="8" t="s">
        <v>969</v>
      </c>
      <c r="I104" s="8" t="s">
        <v>2790</v>
      </c>
      <c r="J104" s="8" t="s">
        <v>2695</v>
      </c>
      <c r="K104" s="8" t="s">
        <v>969</v>
      </c>
      <c r="L104" s="8" t="s">
        <v>969</v>
      </c>
      <c r="M104" s="8" t="s">
        <v>972</v>
      </c>
      <c r="N104" s="8" t="s">
        <v>973</v>
      </c>
      <c r="O104" s="8" t="s">
        <v>969</v>
      </c>
      <c r="P104" s="8" t="s">
        <v>969</v>
      </c>
      <c r="Q104" s="8" t="s">
        <v>969</v>
      </c>
      <c r="R104" s="8" t="s">
        <v>969</v>
      </c>
      <c r="S104" s="8" t="s">
        <v>969</v>
      </c>
      <c r="T104" s="8" t="s">
        <v>2791</v>
      </c>
      <c r="U104" s="8" t="s">
        <v>2792</v>
      </c>
      <c r="V104" s="8" t="s">
        <v>2793</v>
      </c>
      <c r="W104" s="8" t="s">
        <v>2794</v>
      </c>
      <c r="X104" s="8" t="s">
        <v>2795</v>
      </c>
      <c r="Y104" s="8" t="s">
        <v>2796</v>
      </c>
      <c r="Z104" s="8" t="s">
        <v>2797</v>
      </c>
      <c r="AA104" s="8" t="s">
        <v>2798</v>
      </c>
      <c r="AB104" s="8" t="s">
        <v>2799</v>
      </c>
      <c r="AC104" s="8" t="s">
        <v>2800</v>
      </c>
      <c r="AD104" s="8" t="s">
        <v>2801</v>
      </c>
      <c r="AE104" s="8" t="s">
        <v>2802</v>
      </c>
      <c r="AF104" s="8" t="s">
        <v>969</v>
      </c>
      <c r="AG104" s="8">
        <v>69.0</v>
      </c>
      <c r="AH104" s="8">
        <v>28.0</v>
      </c>
      <c r="AI104" s="8">
        <v>31.0</v>
      </c>
      <c r="AJ104" s="8">
        <v>2.0</v>
      </c>
      <c r="AK104" s="8">
        <v>120.0</v>
      </c>
      <c r="AL104" s="8" t="s">
        <v>2705</v>
      </c>
      <c r="AM104" s="8" t="s">
        <v>2706</v>
      </c>
      <c r="AN104" s="8" t="s">
        <v>2707</v>
      </c>
      <c r="AO104" s="8" t="s">
        <v>2708</v>
      </c>
      <c r="AP104" s="8" t="s">
        <v>2709</v>
      </c>
      <c r="AQ104" s="8" t="s">
        <v>969</v>
      </c>
      <c r="AR104" s="8" t="s">
        <v>2710</v>
      </c>
      <c r="AS104" s="8" t="s">
        <v>2711</v>
      </c>
      <c r="AT104" s="8" t="s">
        <v>986</v>
      </c>
      <c r="AU104" s="8">
        <v>2013.0</v>
      </c>
      <c r="AV104" s="8">
        <v>13.0</v>
      </c>
      <c r="AW104" s="8">
        <v>6.0</v>
      </c>
      <c r="AX104" s="8" t="s">
        <v>969</v>
      </c>
      <c r="AY104" s="8" t="s">
        <v>969</v>
      </c>
      <c r="AZ104" s="8" t="s">
        <v>969</v>
      </c>
      <c r="BA104" s="8" t="s">
        <v>969</v>
      </c>
      <c r="BB104" s="8">
        <v>1245.0</v>
      </c>
      <c r="BC104" s="8">
        <v>1257.0</v>
      </c>
      <c r="BD104" s="8" t="s">
        <v>969</v>
      </c>
      <c r="BE104" s="8" t="s">
        <v>518</v>
      </c>
      <c r="BF104" s="13" t="str">
        <f>HYPERLINK("http://dx.doi.org/10.1007/s10113-013-0425-7","http://dx.doi.org/10.1007/s10113-013-0425-7")</f>
        <v>http://dx.doi.org/10.1007/s10113-013-0425-7</v>
      </c>
      <c r="BG104" s="8" t="s">
        <v>969</v>
      </c>
      <c r="BH104" s="8" t="s">
        <v>969</v>
      </c>
      <c r="BI104" s="8">
        <v>13.0</v>
      </c>
      <c r="BJ104" s="8" t="s">
        <v>2712</v>
      </c>
      <c r="BK104" s="8" t="s">
        <v>1519</v>
      </c>
      <c r="BL104" s="8" t="s">
        <v>1268</v>
      </c>
      <c r="BM104" s="8" t="s">
        <v>2803</v>
      </c>
      <c r="BN104" s="8" t="s">
        <v>969</v>
      </c>
      <c r="BO104" s="8" t="s">
        <v>969</v>
      </c>
      <c r="BP104" s="8" t="s">
        <v>969</v>
      </c>
      <c r="BQ104" s="8" t="s">
        <v>969</v>
      </c>
      <c r="BR104" s="8" t="s">
        <v>991</v>
      </c>
      <c r="BS104" s="8" t="s">
        <v>2804</v>
      </c>
      <c r="BT104" s="8" t="s">
        <v>993</v>
      </c>
      <c r="BU104" s="8" t="s">
        <v>1356</v>
      </c>
      <c r="BW104" s="8" t="s">
        <v>51</v>
      </c>
      <c r="BX104" s="8" t="s">
        <v>1022</v>
      </c>
      <c r="CA104" s="8" t="str">
        <f>HYPERLINK("https%3A%2F%2Fwww.webofscience.com%2Fwos%2Fwoscc%2Ffull-record%2FWOS:000327501900010","View Full Record in Web of Science")</f>
        <v>View Full Record in Web of Science</v>
      </c>
    </row>
    <row r="105" ht="12.75" customHeight="1">
      <c r="A105" s="8" t="s">
        <v>967</v>
      </c>
      <c r="B105" s="8" t="s">
        <v>2805</v>
      </c>
      <c r="C105" s="8" t="s">
        <v>969</v>
      </c>
      <c r="D105" s="8" t="s">
        <v>969</v>
      </c>
      <c r="E105" s="8" t="s">
        <v>969</v>
      </c>
      <c r="F105" s="8" t="s">
        <v>2806</v>
      </c>
      <c r="G105" s="8" t="s">
        <v>969</v>
      </c>
      <c r="H105" s="8" t="s">
        <v>969</v>
      </c>
      <c r="I105" s="8" t="s">
        <v>2807</v>
      </c>
      <c r="J105" s="8" t="s">
        <v>1000</v>
      </c>
      <c r="K105" s="8" t="s">
        <v>969</v>
      </c>
      <c r="L105" s="8" t="s">
        <v>969</v>
      </c>
      <c r="M105" s="8" t="s">
        <v>972</v>
      </c>
      <c r="N105" s="8" t="s">
        <v>973</v>
      </c>
      <c r="O105" s="8" t="s">
        <v>969</v>
      </c>
      <c r="P105" s="8" t="s">
        <v>969</v>
      </c>
      <c r="Q105" s="8" t="s">
        <v>969</v>
      </c>
      <c r="R105" s="8" t="s">
        <v>969</v>
      </c>
      <c r="S105" s="8" t="s">
        <v>969</v>
      </c>
      <c r="T105" s="8" t="s">
        <v>2808</v>
      </c>
      <c r="U105" s="8" t="s">
        <v>2809</v>
      </c>
      <c r="V105" s="8" t="s">
        <v>2810</v>
      </c>
      <c r="W105" s="8" t="s">
        <v>2811</v>
      </c>
      <c r="X105" s="8" t="s">
        <v>2812</v>
      </c>
      <c r="Y105" s="8" t="s">
        <v>2813</v>
      </c>
      <c r="Z105" s="8" t="s">
        <v>2814</v>
      </c>
      <c r="AA105" s="8" t="s">
        <v>2815</v>
      </c>
      <c r="AB105" s="8" t="s">
        <v>2816</v>
      </c>
      <c r="AC105" s="8" t="s">
        <v>2817</v>
      </c>
      <c r="AD105" s="8" t="s">
        <v>2818</v>
      </c>
      <c r="AE105" s="8" t="s">
        <v>2819</v>
      </c>
      <c r="AF105" s="8" t="s">
        <v>969</v>
      </c>
      <c r="AG105" s="8">
        <v>87.0</v>
      </c>
      <c r="AH105" s="8">
        <v>37.0</v>
      </c>
      <c r="AI105" s="8">
        <v>40.0</v>
      </c>
      <c r="AJ105" s="8">
        <v>2.0</v>
      </c>
      <c r="AK105" s="8">
        <v>83.0</v>
      </c>
      <c r="AL105" s="8" t="s">
        <v>1091</v>
      </c>
      <c r="AM105" s="8" t="s">
        <v>1092</v>
      </c>
      <c r="AN105" s="8" t="s">
        <v>1093</v>
      </c>
      <c r="AO105" s="8" t="s">
        <v>1013</v>
      </c>
      <c r="AP105" s="8" t="s">
        <v>2602</v>
      </c>
      <c r="AQ105" s="8" t="s">
        <v>969</v>
      </c>
      <c r="AR105" s="8" t="s">
        <v>1014</v>
      </c>
      <c r="AS105" s="8" t="s">
        <v>1015</v>
      </c>
      <c r="AT105" s="8" t="s">
        <v>1096</v>
      </c>
      <c r="AU105" s="8">
        <v>2014.0</v>
      </c>
      <c r="AV105" s="8">
        <v>41.0</v>
      </c>
      <c r="AW105" s="8">
        <v>7.0</v>
      </c>
      <c r="AX105" s="8" t="s">
        <v>969</v>
      </c>
      <c r="AY105" s="8" t="s">
        <v>969</v>
      </c>
      <c r="AZ105" s="8" t="s">
        <v>969</v>
      </c>
      <c r="BA105" s="8" t="s">
        <v>969</v>
      </c>
      <c r="BB105" s="8">
        <v>1352.0</v>
      </c>
      <c r="BC105" s="8">
        <v>1366.0</v>
      </c>
      <c r="BD105" s="8" t="s">
        <v>969</v>
      </c>
      <c r="BE105" s="8" t="s">
        <v>794</v>
      </c>
      <c r="BF105" s="13" t="str">
        <f>HYPERLINK("http://dx.doi.org/10.1111/jbi.12289","http://dx.doi.org/10.1111/jbi.12289")</f>
        <v>http://dx.doi.org/10.1111/jbi.12289</v>
      </c>
      <c r="BG105" s="8" t="s">
        <v>969</v>
      </c>
      <c r="BH105" s="8" t="s">
        <v>969</v>
      </c>
      <c r="BI105" s="8">
        <v>15.0</v>
      </c>
      <c r="BJ105" s="8" t="s">
        <v>1017</v>
      </c>
      <c r="BK105" s="8" t="s">
        <v>988</v>
      </c>
      <c r="BL105" s="8" t="s">
        <v>1018</v>
      </c>
      <c r="BM105" s="8" t="s">
        <v>2820</v>
      </c>
      <c r="BN105" s="8" t="s">
        <v>969</v>
      </c>
      <c r="BO105" s="8" t="s">
        <v>969</v>
      </c>
      <c r="BP105" s="8" t="s">
        <v>969</v>
      </c>
      <c r="BQ105" s="8" t="s">
        <v>969</v>
      </c>
      <c r="BR105" s="8" t="s">
        <v>991</v>
      </c>
      <c r="BS105" s="8" t="s">
        <v>2821</v>
      </c>
      <c r="BW105" s="8" t="s">
        <v>33</v>
      </c>
      <c r="BX105" s="8" t="s">
        <v>995</v>
      </c>
      <c r="CA105" s="8" t="str">
        <f>HYPERLINK("https%3A%2F%2Fwww.webofscience.com%2Fwos%2Fwoscc%2Ffull-record%2FWOS:000337615500011","View Full Record in Web of Science")</f>
        <v>View Full Record in Web of Science</v>
      </c>
    </row>
    <row r="106" ht="12.75" customHeight="1">
      <c r="A106" s="8" t="s">
        <v>967</v>
      </c>
      <c r="B106" s="8" t="s">
        <v>2822</v>
      </c>
      <c r="C106" s="8" t="s">
        <v>969</v>
      </c>
      <c r="D106" s="8" t="s">
        <v>969</v>
      </c>
      <c r="E106" s="8" t="s">
        <v>969</v>
      </c>
      <c r="F106" s="8" t="s">
        <v>2822</v>
      </c>
      <c r="G106" s="8" t="s">
        <v>969</v>
      </c>
      <c r="H106" s="8" t="s">
        <v>969</v>
      </c>
      <c r="I106" s="8" t="s">
        <v>2823</v>
      </c>
      <c r="J106" s="8" t="s">
        <v>1538</v>
      </c>
      <c r="K106" s="8" t="s">
        <v>969</v>
      </c>
      <c r="L106" s="8" t="s">
        <v>969</v>
      </c>
      <c r="M106" s="8" t="s">
        <v>972</v>
      </c>
      <c r="N106" s="8" t="s">
        <v>973</v>
      </c>
      <c r="O106" s="8" t="s">
        <v>969</v>
      </c>
      <c r="P106" s="8" t="s">
        <v>969</v>
      </c>
      <c r="Q106" s="8" t="s">
        <v>969</v>
      </c>
      <c r="R106" s="8" t="s">
        <v>969</v>
      </c>
      <c r="S106" s="8" t="s">
        <v>969</v>
      </c>
      <c r="T106" s="8" t="s">
        <v>969</v>
      </c>
      <c r="U106" s="8" t="s">
        <v>969</v>
      </c>
      <c r="V106" s="8" t="s">
        <v>2824</v>
      </c>
      <c r="W106" s="8" t="s">
        <v>2825</v>
      </c>
      <c r="X106" s="8" t="s">
        <v>2826</v>
      </c>
      <c r="Y106" s="8" t="s">
        <v>969</v>
      </c>
      <c r="Z106" s="8" t="s">
        <v>969</v>
      </c>
      <c r="AA106" s="8" t="s">
        <v>969</v>
      </c>
      <c r="AB106" s="8" t="s">
        <v>969</v>
      </c>
      <c r="AC106" s="8" t="s">
        <v>969</v>
      </c>
      <c r="AD106" s="8" t="s">
        <v>969</v>
      </c>
      <c r="AE106" s="8" t="s">
        <v>969</v>
      </c>
      <c r="AF106" s="8" t="s">
        <v>969</v>
      </c>
      <c r="AG106" s="8">
        <v>0.0</v>
      </c>
      <c r="AH106" s="8">
        <v>173.0</v>
      </c>
      <c r="AI106" s="8">
        <v>185.0</v>
      </c>
      <c r="AJ106" s="8">
        <v>0.0</v>
      </c>
      <c r="AK106" s="8">
        <v>65.0</v>
      </c>
      <c r="AL106" s="8" t="s">
        <v>2827</v>
      </c>
      <c r="AM106" s="8" t="s">
        <v>1011</v>
      </c>
      <c r="AN106" s="8" t="s">
        <v>2828</v>
      </c>
      <c r="AO106" s="8" t="s">
        <v>1548</v>
      </c>
      <c r="AP106" s="8" t="s">
        <v>969</v>
      </c>
      <c r="AQ106" s="8" t="s">
        <v>969</v>
      </c>
      <c r="AR106" s="8" t="s">
        <v>1550</v>
      </c>
      <c r="AS106" s="8" t="s">
        <v>1551</v>
      </c>
      <c r="AT106" s="8" t="s">
        <v>1300</v>
      </c>
      <c r="AU106" s="8">
        <v>1992.0</v>
      </c>
      <c r="AV106" s="8">
        <v>6.0</v>
      </c>
      <c r="AW106" s="8">
        <v>3.0</v>
      </c>
      <c r="AX106" s="8" t="s">
        <v>969</v>
      </c>
      <c r="AY106" s="8" t="s">
        <v>969</v>
      </c>
      <c r="AZ106" s="8" t="s">
        <v>969</v>
      </c>
      <c r="BA106" s="8" t="s">
        <v>969</v>
      </c>
      <c r="BB106" s="8">
        <v>409.0</v>
      </c>
      <c r="BC106" s="8">
        <v>415.0</v>
      </c>
      <c r="BD106" s="8" t="s">
        <v>969</v>
      </c>
      <c r="BE106" s="8" t="s">
        <v>629</v>
      </c>
      <c r="BF106" s="13" t="str">
        <f>HYPERLINK("http://dx.doi.org/10.1046/j.1523-1739.1992.06030409.x","http://dx.doi.org/10.1046/j.1523-1739.1992.06030409.x")</f>
        <v>http://dx.doi.org/10.1046/j.1523-1739.1992.06030409.x</v>
      </c>
      <c r="BG106" s="8" t="s">
        <v>969</v>
      </c>
      <c r="BH106" s="8" t="s">
        <v>969</v>
      </c>
      <c r="BI106" s="8">
        <v>7.0</v>
      </c>
      <c r="BJ106" s="8" t="s">
        <v>987</v>
      </c>
      <c r="BK106" s="8" t="s">
        <v>988</v>
      </c>
      <c r="BL106" s="8" t="s">
        <v>989</v>
      </c>
      <c r="BM106" s="8" t="s">
        <v>2829</v>
      </c>
      <c r="BN106" s="8" t="s">
        <v>969</v>
      </c>
      <c r="BO106" s="8" t="s">
        <v>969</v>
      </c>
      <c r="BP106" s="8" t="s">
        <v>969</v>
      </c>
      <c r="BQ106" s="8" t="s">
        <v>969</v>
      </c>
      <c r="BR106" s="8" t="s">
        <v>991</v>
      </c>
      <c r="BS106" s="8" t="s">
        <v>2830</v>
      </c>
      <c r="BT106" s="8" t="s">
        <v>993</v>
      </c>
      <c r="BU106" s="8" t="s">
        <v>994</v>
      </c>
      <c r="BW106" s="8" t="s">
        <v>56</v>
      </c>
      <c r="BX106" s="8" t="s">
        <v>995</v>
      </c>
      <c r="BY106" s="8" t="s">
        <v>996</v>
      </c>
      <c r="BZ106" s="8" t="s">
        <v>997</v>
      </c>
      <c r="CA106" s="8" t="str">
        <f>HYPERLINK("https%3A%2F%2Fwww.webofscience.com%2Fwos%2Fwoscc%2Ffull-record%2FWOS:A1992JM32200013","View Full Record in Web of Science")</f>
        <v>View Full Record in Web of Science</v>
      </c>
    </row>
    <row r="107" ht="12.75" customHeight="1">
      <c r="A107" s="8" t="s">
        <v>967</v>
      </c>
      <c r="B107" s="8" t="s">
        <v>2831</v>
      </c>
      <c r="C107" s="8" t="s">
        <v>969</v>
      </c>
      <c r="D107" s="8" t="s">
        <v>969</v>
      </c>
      <c r="E107" s="8" t="s">
        <v>969</v>
      </c>
      <c r="F107" s="8" t="s">
        <v>2831</v>
      </c>
      <c r="G107" s="8" t="s">
        <v>969</v>
      </c>
      <c r="H107" s="8" t="s">
        <v>969</v>
      </c>
      <c r="I107" s="8" t="s">
        <v>2832</v>
      </c>
      <c r="J107" s="8" t="s">
        <v>1183</v>
      </c>
      <c r="K107" s="8" t="s">
        <v>969</v>
      </c>
      <c r="L107" s="8" t="s">
        <v>969</v>
      </c>
      <c r="M107" s="8" t="s">
        <v>972</v>
      </c>
      <c r="N107" s="8" t="s">
        <v>973</v>
      </c>
      <c r="O107" s="8" t="s">
        <v>969</v>
      </c>
      <c r="P107" s="8" t="s">
        <v>969</v>
      </c>
      <c r="Q107" s="8" t="s">
        <v>969</v>
      </c>
      <c r="R107" s="8" t="s">
        <v>969</v>
      </c>
      <c r="S107" s="8" t="s">
        <v>969</v>
      </c>
      <c r="T107" s="8" t="s">
        <v>2833</v>
      </c>
      <c r="U107" s="8" t="s">
        <v>2834</v>
      </c>
      <c r="V107" s="8" t="s">
        <v>2835</v>
      </c>
      <c r="W107" s="8" t="s">
        <v>2836</v>
      </c>
      <c r="X107" s="8" t="s">
        <v>969</v>
      </c>
      <c r="Y107" s="8" t="s">
        <v>969</v>
      </c>
      <c r="Z107" s="8" t="s">
        <v>969</v>
      </c>
      <c r="AA107" s="8" t="s">
        <v>969</v>
      </c>
      <c r="AB107" s="8" t="s">
        <v>969</v>
      </c>
      <c r="AC107" s="8" t="s">
        <v>969</v>
      </c>
      <c r="AD107" s="8" t="s">
        <v>969</v>
      </c>
      <c r="AE107" s="8" t="s">
        <v>969</v>
      </c>
      <c r="AF107" s="8" t="s">
        <v>969</v>
      </c>
      <c r="AG107" s="8">
        <v>47.0</v>
      </c>
      <c r="AH107" s="8">
        <v>111.0</v>
      </c>
      <c r="AI107" s="8">
        <v>121.0</v>
      </c>
      <c r="AJ107" s="8">
        <v>0.0</v>
      </c>
      <c r="AK107" s="8">
        <v>42.0</v>
      </c>
      <c r="AL107" s="8" t="s">
        <v>1192</v>
      </c>
      <c r="AM107" s="8" t="s">
        <v>981</v>
      </c>
      <c r="AN107" s="8" t="s">
        <v>2837</v>
      </c>
      <c r="AO107" s="8" t="s">
        <v>1195</v>
      </c>
      <c r="AP107" s="8" t="s">
        <v>969</v>
      </c>
      <c r="AQ107" s="8" t="s">
        <v>969</v>
      </c>
      <c r="AR107" s="8" t="s">
        <v>1197</v>
      </c>
      <c r="AS107" s="8" t="s">
        <v>1198</v>
      </c>
      <c r="AT107" s="8" t="s">
        <v>969</v>
      </c>
      <c r="AU107" s="8">
        <v>1995.0</v>
      </c>
      <c r="AV107" s="8">
        <v>72.0</v>
      </c>
      <c r="AW107" s="8">
        <v>3.0</v>
      </c>
      <c r="AX107" s="8" t="s">
        <v>969</v>
      </c>
      <c r="AY107" s="8" t="s">
        <v>969</v>
      </c>
      <c r="AZ107" s="8" t="s">
        <v>969</v>
      </c>
      <c r="BA107" s="8" t="s">
        <v>969</v>
      </c>
      <c r="BB107" s="8">
        <v>339.0</v>
      </c>
      <c r="BC107" s="8">
        <v>354.0</v>
      </c>
      <c r="BD107" s="8" t="s">
        <v>969</v>
      </c>
      <c r="BE107" s="8" t="s">
        <v>539</v>
      </c>
      <c r="BF107" s="13" t="str">
        <f>HYPERLINK("http://dx.doi.org/10.1016/0006-3207(94)00016-J","http://dx.doi.org/10.1016/0006-3207(94)00016-J")</f>
        <v>http://dx.doi.org/10.1016/0006-3207(94)00016-J</v>
      </c>
      <c r="BG107" s="8" t="s">
        <v>969</v>
      </c>
      <c r="BH107" s="8" t="s">
        <v>969</v>
      </c>
      <c r="BI107" s="8">
        <v>16.0</v>
      </c>
      <c r="BJ107" s="8" t="s">
        <v>987</v>
      </c>
      <c r="BK107" s="8" t="s">
        <v>988</v>
      </c>
      <c r="BL107" s="8" t="s">
        <v>989</v>
      </c>
      <c r="BM107" s="8" t="s">
        <v>2838</v>
      </c>
      <c r="BN107" s="8" t="s">
        <v>969</v>
      </c>
      <c r="BO107" s="8" t="s">
        <v>969</v>
      </c>
      <c r="BP107" s="8" t="s">
        <v>969</v>
      </c>
      <c r="BQ107" s="8" t="s">
        <v>969</v>
      </c>
      <c r="BR107" s="8" t="s">
        <v>991</v>
      </c>
      <c r="BS107" s="8" t="s">
        <v>2839</v>
      </c>
      <c r="BT107" s="8" t="s">
        <v>1115</v>
      </c>
      <c r="BU107" s="8" t="s">
        <v>1116</v>
      </c>
      <c r="BV107" s="8" t="s">
        <v>1117</v>
      </c>
      <c r="BW107" s="8" t="s">
        <v>72</v>
      </c>
      <c r="BX107" s="8" t="s">
        <v>995</v>
      </c>
      <c r="BY107" s="8" t="s">
        <v>996</v>
      </c>
      <c r="BZ107" s="8" t="s">
        <v>997</v>
      </c>
      <c r="CA107" s="8" t="str">
        <f>HYPERLINK("https%3A%2F%2Fwww.webofscience.com%2Fwos%2Fwoscc%2Ffull-record%2FWOS:A1995RA24200001","View Full Record in Web of Science")</f>
        <v>View Full Record in Web of Science</v>
      </c>
    </row>
    <row r="108" ht="12.75" customHeight="1">
      <c r="A108" s="8" t="s">
        <v>967</v>
      </c>
      <c r="B108" s="8" t="s">
        <v>2840</v>
      </c>
      <c r="C108" s="8" t="s">
        <v>969</v>
      </c>
      <c r="D108" s="8" t="s">
        <v>969</v>
      </c>
      <c r="E108" s="8" t="s">
        <v>969</v>
      </c>
      <c r="F108" s="8" t="s">
        <v>2840</v>
      </c>
      <c r="G108" s="8" t="s">
        <v>969</v>
      </c>
      <c r="H108" s="8" t="s">
        <v>969</v>
      </c>
      <c r="I108" s="8" t="s">
        <v>2841</v>
      </c>
      <c r="J108" s="8" t="s">
        <v>1000</v>
      </c>
      <c r="K108" s="8" t="s">
        <v>969</v>
      </c>
      <c r="L108" s="8" t="s">
        <v>969</v>
      </c>
      <c r="M108" s="8" t="s">
        <v>972</v>
      </c>
      <c r="N108" s="8" t="s">
        <v>973</v>
      </c>
      <c r="O108" s="8" t="s">
        <v>969</v>
      </c>
      <c r="P108" s="8" t="s">
        <v>969</v>
      </c>
      <c r="Q108" s="8" t="s">
        <v>969</v>
      </c>
      <c r="R108" s="8" t="s">
        <v>969</v>
      </c>
      <c r="S108" s="8" t="s">
        <v>969</v>
      </c>
      <c r="T108" s="8" t="s">
        <v>2842</v>
      </c>
      <c r="U108" s="8" t="s">
        <v>2843</v>
      </c>
      <c r="V108" s="8" t="s">
        <v>2844</v>
      </c>
      <c r="W108" s="8" t="s">
        <v>2845</v>
      </c>
      <c r="X108" s="8" t="s">
        <v>2846</v>
      </c>
      <c r="Y108" s="8" t="s">
        <v>2847</v>
      </c>
      <c r="Z108" s="8" t="s">
        <v>969</v>
      </c>
      <c r="AA108" s="8" t="s">
        <v>2848</v>
      </c>
      <c r="AB108" s="8" t="s">
        <v>2849</v>
      </c>
      <c r="AC108" s="8" t="s">
        <v>969</v>
      </c>
      <c r="AD108" s="8" t="s">
        <v>969</v>
      </c>
      <c r="AE108" s="8" t="s">
        <v>969</v>
      </c>
      <c r="AF108" s="8" t="s">
        <v>969</v>
      </c>
      <c r="AG108" s="8">
        <v>88.0</v>
      </c>
      <c r="AH108" s="8">
        <v>308.0</v>
      </c>
      <c r="AI108" s="8">
        <v>344.0</v>
      </c>
      <c r="AJ108" s="8">
        <v>0.0</v>
      </c>
      <c r="AK108" s="8">
        <v>88.0</v>
      </c>
      <c r="AL108" s="8" t="s">
        <v>1091</v>
      </c>
      <c r="AM108" s="8" t="s">
        <v>1092</v>
      </c>
      <c r="AN108" s="8" t="s">
        <v>1093</v>
      </c>
      <c r="AO108" s="8" t="s">
        <v>1013</v>
      </c>
      <c r="AP108" s="8" t="s">
        <v>2602</v>
      </c>
      <c r="AQ108" s="8" t="s">
        <v>969</v>
      </c>
      <c r="AR108" s="8" t="s">
        <v>1014</v>
      </c>
      <c r="AS108" s="8" t="s">
        <v>1015</v>
      </c>
      <c r="AT108" s="8" t="s">
        <v>1163</v>
      </c>
      <c r="AU108" s="8">
        <v>1995.0</v>
      </c>
      <c r="AV108" s="8">
        <v>22.0</v>
      </c>
      <c r="AW108" s="8">
        <v>6.0</v>
      </c>
      <c r="AX108" s="8" t="s">
        <v>969</v>
      </c>
      <c r="AY108" s="8" t="s">
        <v>969</v>
      </c>
      <c r="AZ108" s="8" t="s">
        <v>969</v>
      </c>
      <c r="BA108" s="8" t="s">
        <v>969</v>
      </c>
      <c r="BB108" s="8">
        <v>967.0</v>
      </c>
      <c r="BC108" s="8">
        <v>1001.0</v>
      </c>
      <c r="BD108" s="8" t="s">
        <v>969</v>
      </c>
      <c r="BE108" s="8" t="s">
        <v>842</v>
      </c>
      <c r="BF108" s="13" t="str">
        <f>HYPERLINK("http://dx.doi.org/10.2307/2845830","http://dx.doi.org/10.2307/2845830")</f>
        <v>http://dx.doi.org/10.2307/2845830</v>
      </c>
      <c r="BG108" s="8" t="s">
        <v>969</v>
      </c>
      <c r="BH108" s="8" t="s">
        <v>969</v>
      </c>
      <c r="BI108" s="8">
        <v>35.0</v>
      </c>
      <c r="BJ108" s="8" t="s">
        <v>1017</v>
      </c>
      <c r="BK108" s="8" t="s">
        <v>988</v>
      </c>
      <c r="BL108" s="8" t="s">
        <v>1018</v>
      </c>
      <c r="BM108" s="8" t="s">
        <v>2850</v>
      </c>
      <c r="BN108" s="8" t="s">
        <v>969</v>
      </c>
      <c r="BO108" s="8" t="s">
        <v>969</v>
      </c>
      <c r="BP108" s="8" t="s">
        <v>969</v>
      </c>
      <c r="BQ108" s="8" t="s">
        <v>969</v>
      </c>
      <c r="BR108" s="8" t="s">
        <v>991</v>
      </c>
      <c r="BS108" s="8" t="s">
        <v>2851</v>
      </c>
      <c r="BT108" s="8" t="s">
        <v>1021</v>
      </c>
      <c r="BW108" s="8" t="s">
        <v>51</v>
      </c>
      <c r="BX108" s="8" t="s">
        <v>1022</v>
      </c>
      <c r="CA108" s="8" t="str">
        <f>HYPERLINK("https%3A%2F%2Fwww.webofscience.com%2Fwos%2Fwoscc%2Ffull-record%2FWOS:A1995UL12900002","View Full Record in Web of Science")</f>
        <v>View Full Record in Web of Science</v>
      </c>
    </row>
    <row r="109" ht="12.75" customHeight="1">
      <c r="A109" s="8" t="s">
        <v>967</v>
      </c>
      <c r="B109" s="8" t="s">
        <v>2852</v>
      </c>
      <c r="C109" s="8" t="s">
        <v>969</v>
      </c>
      <c r="D109" s="8" t="s">
        <v>969</v>
      </c>
      <c r="E109" s="8" t="s">
        <v>969</v>
      </c>
      <c r="F109" s="8" t="s">
        <v>2852</v>
      </c>
      <c r="G109" s="8" t="s">
        <v>969</v>
      </c>
      <c r="H109" s="8" t="s">
        <v>969</v>
      </c>
      <c r="I109" s="8" t="s">
        <v>2853</v>
      </c>
      <c r="J109" s="8" t="s">
        <v>2854</v>
      </c>
      <c r="K109" s="8" t="s">
        <v>969</v>
      </c>
      <c r="L109" s="8" t="s">
        <v>969</v>
      </c>
      <c r="M109" s="8" t="s">
        <v>972</v>
      </c>
      <c r="N109" s="8" t="s">
        <v>973</v>
      </c>
      <c r="O109" s="8" t="s">
        <v>969</v>
      </c>
      <c r="P109" s="8" t="s">
        <v>969</v>
      </c>
      <c r="Q109" s="8" t="s">
        <v>969</v>
      </c>
      <c r="R109" s="8" t="s">
        <v>969</v>
      </c>
      <c r="S109" s="8" t="s">
        <v>969</v>
      </c>
      <c r="T109" s="8" t="s">
        <v>2855</v>
      </c>
      <c r="U109" s="8" t="s">
        <v>2856</v>
      </c>
      <c r="V109" s="8" t="s">
        <v>2857</v>
      </c>
      <c r="W109" s="8" t="s">
        <v>2858</v>
      </c>
      <c r="X109" s="8" t="s">
        <v>2859</v>
      </c>
      <c r="Y109" s="8" t="s">
        <v>969</v>
      </c>
      <c r="Z109" s="8" t="s">
        <v>969</v>
      </c>
      <c r="AA109" s="8" t="s">
        <v>2860</v>
      </c>
      <c r="AB109" s="8" t="s">
        <v>2861</v>
      </c>
      <c r="AC109" s="8" t="s">
        <v>969</v>
      </c>
      <c r="AD109" s="8" t="s">
        <v>969</v>
      </c>
      <c r="AE109" s="8" t="s">
        <v>969</v>
      </c>
      <c r="AF109" s="8" t="s">
        <v>969</v>
      </c>
      <c r="AG109" s="8">
        <v>29.0</v>
      </c>
      <c r="AH109" s="8">
        <v>118.0</v>
      </c>
      <c r="AI109" s="8">
        <v>128.0</v>
      </c>
      <c r="AJ109" s="8">
        <v>0.0</v>
      </c>
      <c r="AK109" s="8">
        <v>46.0</v>
      </c>
      <c r="AL109" s="8" t="s">
        <v>980</v>
      </c>
      <c r="AM109" s="8" t="s">
        <v>981</v>
      </c>
      <c r="AN109" s="8" t="s">
        <v>2862</v>
      </c>
      <c r="AO109" s="8" t="s">
        <v>2863</v>
      </c>
      <c r="AP109" s="8" t="s">
        <v>969</v>
      </c>
      <c r="AQ109" s="8" t="s">
        <v>969</v>
      </c>
      <c r="AR109" s="8" t="s">
        <v>1161</v>
      </c>
      <c r="AS109" s="8" t="s">
        <v>2864</v>
      </c>
      <c r="AT109" s="8" t="s">
        <v>1016</v>
      </c>
      <c r="AU109" s="8">
        <v>1996.0</v>
      </c>
      <c r="AV109" s="8">
        <v>5.0</v>
      </c>
      <c r="AW109" s="8">
        <v>1.0</v>
      </c>
      <c r="AX109" s="8" t="s">
        <v>969</v>
      </c>
      <c r="AY109" s="8" t="s">
        <v>969</v>
      </c>
      <c r="AZ109" s="8" t="s">
        <v>969</v>
      </c>
      <c r="BA109" s="8" t="s">
        <v>969</v>
      </c>
      <c r="BB109" s="8">
        <v>23.0</v>
      </c>
      <c r="BC109" s="8">
        <v>29.0</v>
      </c>
      <c r="BD109" s="8" t="s">
        <v>969</v>
      </c>
      <c r="BE109" s="8" t="s">
        <v>845</v>
      </c>
      <c r="BF109" s="13" t="str">
        <f>HYPERLINK("http://dx.doi.org/10.2307/2997467","http://dx.doi.org/10.2307/2997467")</f>
        <v>http://dx.doi.org/10.2307/2997467</v>
      </c>
      <c r="BG109" s="8" t="s">
        <v>969</v>
      </c>
      <c r="BH109" s="8" t="s">
        <v>969</v>
      </c>
      <c r="BI109" s="8">
        <v>7.0</v>
      </c>
      <c r="BJ109" s="8" t="s">
        <v>1017</v>
      </c>
      <c r="BK109" s="8" t="s">
        <v>988</v>
      </c>
      <c r="BL109" s="8" t="s">
        <v>1018</v>
      </c>
      <c r="BM109" s="8" t="s">
        <v>2865</v>
      </c>
      <c r="BN109" s="8" t="s">
        <v>969</v>
      </c>
      <c r="BO109" s="8" t="s">
        <v>969</v>
      </c>
      <c r="BP109" s="8" t="s">
        <v>969</v>
      </c>
      <c r="BQ109" s="8" t="s">
        <v>969</v>
      </c>
      <c r="BR109" s="8" t="s">
        <v>991</v>
      </c>
      <c r="BS109" s="8" t="s">
        <v>2866</v>
      </c>
      <c r="BT109" s="8" t="s">
        <v>1115</v>
      </c>
      <c r="BU109" s="8" t="s">
        <v>1116</v>
      </c>
      <c r="BV109" s="8" t="s">
        <v>1117</v>
      </c>
      <c r="BW109" s="8" t="s">
        <v>51</v>
      </c>
      <c r="BX109" s="8" t="s">
        <v>1022</v>
      </c>
      <c r="CA109" s="8" t="str">
        <f>HYPERLINK("https%3A%2F%2Fwww.webofscience.com%2Fwos%2Fwoscc%2Ffull-record%2FWOS:A1996UF43500005","View Full Record in Web of Science")</f>
        <v>View Full Record in Web of Science</v>
      </c>
    </row>
    <row r="110" ht="12.75" customHeight="1">
      <c r="A110" s="8" t="s">
        <v>967</v>
      </c>
      <c r="B110" s="8" t="s">
        <v>2867</v>
      </c>
      <c r="C110" s="8" t="s">
        <v>969</v>
      </c>
      <c r="D110" s="8" t="s">
        <v>969</v>
      </c>
      <c r="E110" s="8" t="s">
        <v>969</v>
      </c>
      <c r="F110" s="8" t="s">
        <v>2867</v>
      </c>
      <c r="G110" s="8" t="s">
        <v>969</v>
      </c>
      <c r="H110" s="8" t="s">
        <v>969</v>
      </c>
      <c r="I110" s="8" t="s">
        <v>2868</v>
      </c>
      <c r="J110" s="8" t="s">
        <v>2869</v>
      </c>
      <c r="K110" s="8" t="s">
        <v>969</v>
      </c>
      <c r="L110" s="8" t="s">
        <v>969</v>
      </c>
      <c r="M110" s="8" t="s">
        <v>972</v>
      </c>
      <c r="N110" s="8" t="s">
        <v>1145</v>
      </c>
      <c r="O110" s="8" t="s">
        <v>2870</v>
      </c>
      <c r="P110" s="8" t="s">
        <v>2871</v>
      </c>
      <c r="Q110" s="8" t="s">
        <v>2872</v>
      </c>
      <c r="R110" s="8" t="s">
        <v>2873</v>
      </c>
      <c r="S110" s="8" t="s">
        <v>969</v>
      </c>
      <c r="T110" s="8" t="s">
        <v>969</v>
      </c>
      <c r="U110" s="8" t="s">
        <v>2874</v>
      </c>
      <c r="V110" s="8" t="s">
        <v>2875</v>
      </c>
      <c r="W110" s="8" t="s">
        <v>2876</v>
      </c>
      <c r="X110" s="8" t="s">
        <v>969</v>
      </c>
      <c r="Y110" s="8" t="s">
        <v>2877</v>
      </c>
      <c r="Z110" s="8" t="s">
        <v>969</v>
      </c>
      <c r="AA110" s="8" t="s">
        <v>2878</v>
      </c>
      <c r="AB110" s="8" t="s">
        <v>2879</v>
      </c>
      <c r="AC110" s="8" t="s">
        <v>969</v>
      </c>
      <c r="AD110" s="8" t="s">
        <v>969</v>
      </c>
      <c r="AE110" s="8" t="s">
        <v>969</v>
      </c>
      <c r="AF110" s="8" t="s">
        <v>969</v>
      </c>
      <c r="AG110" s="8">
        <v>27.0</v>
      </c>
      <c r="AH110" s="8">
        <v>386.0</v>
      </c>
      <c r="AI110" s="8">
        <v>475.0</v>
      </c>
      <c r="AJ110" s="8">
        <v>0.0</v>
      </c>
      <c r="AK110" s="8">
        <v>91.0</v>
      </c>
      <c r="AL110" s="8" t="s">
        <v>2880</v>
      </c>
      <c r="AM110" s="8" t="s">
        <v>2881</v>
      </c>
      <c r="AN110" s="8" t="s">
        <v>2882</v>
      </c>
      <c r="AO110" s="8" t="s">
        <v>2883</v>
      </c>
      <c r="AP110" s="8" t="s">
        <v>969</v>
      </c>
      <c r="AQ110" s="8" t="s">
        <v>969</v>
      </c>
      <c r="AR110" s="8" t="s">
        <v>2884</v>
      </c>
      <c r="AS110" s="8" t="s">
        <v>2885</v>
      </c>
      <c r="AT110" s="8" t="s">
        <v>1096</v>
      </c>
      <c r="AU110" s="8">
        <v>1996.0</v>
      </c>
      <c r="AV110" s="8">
        <v>41.0</v>
      </c>
      <c r="AW110" s="8">
        <v>5.0</v>
      </c>
      <c r="AX110" s="8" t="s">
        <v>969</v>
      </c>
      <c r="AY110" s="8" t="s">
        <v>969</v>
      </c>
      <c r="AZ110" s="8" t="s">
        <v>969</v>
      </c>
      <c r="BA110" s="8" t="s">
        <v>969</v>
      </c>
      <c r="BB110" s="8">
        <v>1109.0</v>
      </c>
      <c r="BC110" s="8">
        <v>1115.0</v>
      </c>
      <c r="BD110" s="8" t="s">
        <v>969</v>
      </c>
      <c r="BE110" s="8" t="s">
        <v>854</v>
      </c>
      <c r="BF110" s="13" t="str">
        <f>HYPERLINK("http://dx.doi.org/10.4319/lo.1996.41.5.1109","http://dx.doi.org/10.4319/lo.1996.41.5.1109")</f>
        <v>http://dx.doi.org/10.4319/lo.1996.41.5.1109</v>
      </c>
      <c r="BG110" s="8" t="s">
        <v>969</v>
      </c>
      <c r="BH110" s="8" t="s">
        <v>969</v>
      </c>
      <c r="BI110" s="8">
        <v>7.0</v>
      </c>
      <c r="BJ110" s="8" t="s">
        <v>2886</v>
      </c>
      <c r="BK110" s="8" t="s">
        <v>2887</v>
      </c>
      <c r="BL110" s="8" t="s">
        <v>2888</v>
      </c>
      <c r="BM110" s="8" t="s">
        <v>2889</v>
      </c>
      <c r="BN110" s="8" t="s">
        <v>969</v>
      </c>
      <c r="BO110" s="8" t="s">
        <v>1247</v>
      </c>
      <c r="BP110" s="8" t="s">
        <v>969</v>
      </c>
      <c r="BQ110" s="8" t="s">
        <v>969</v>
      </c>
      <c r="BR110" s="8" t="s">
        <v>991</v>
      </c>
      <c r="BS110" s="8" t="s">
        <v>2890</v>
      </c>
      <c r="BT110" s="8" t="s">
        <v>993</v>
      </c>
      <c r="BU110" s="8" t="s">
        <v>994</v>
      </c>
      <c r="BW110" s="8" t="s">
        <v>67</v>
      </c>
      <c r="CA110" s="8" t="str">
        <f>HYPERLINK("https%3A%2F%2Fwww.webofscience.com%2Fwos%2Fwoscc%2Ffull-record%2FWOS:A1996VN45800034","View Full Record in Web of Science")</f>
        <v>View Full Record in Web of Science</v>
      </c>
    </row>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CA$1000">
    <sortState ref="A1:CA1000">
      <sortCondition ref="BS1:BS1000"/>
      <sortCondition descending="1" ref="BZ1:BZ1000"/>
      <sortCondition descending="1" ref="BY1:BY1000"/>
      <sortCondition descending="1" ref="BX1:BX1000"/>
      <sortCondition descending="1" ref="BV1:BV1000"/>
      <sortCondition descending="1" ref="BU1:BU1000"/>
      <sortCondition descending="1" ref="BT1:BT1000"/>
      <sortCondition ref="BW1:BW1000"/>
    </sortState>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8.0"/>
    <col customWidth="1" min="4" max="5" width="20.0"/>
    <col customWidth="1" min="6" max="6" width="26.13"/>
    <col customWidth="1" min="7" max="8" width="15.38"/>
    <col customWidth="1" min="9" max="9" width="22.75"/>
    <col customWidth="1" min="10" max="11" width="16.38"/>
  </cols>
  <sheetData>
    <row r="1" ht="12.75" customHeight="1">
      <c r="A1" s="8" t="s">
        <v>898</v>
      </c>
      <c r="B1" s="8" t="s">
        <v>911</v>
      </c>
      <c r="C1" s="8" t="s">
        <v>503</v>
      </c>
      <c r="D1" s="3" t="s">
        <v>2891</v>
      </c>
      <c r="E1" s="8" t="s">
        <v>959</v>
      </c>
      <c r="F1" s="11" t="s">
        <v>960</v>
      </c>
      <c r="G1" s="11" t="s">
        <v>961</v>
      </c>
      <c r="H1" s="11" t="s">
        <v>962</v>
      </c>
      <c r="I1" s="11" t="s">
        <v>963</v>
      </c>
      <c r="J1" s="11" t="s">
        <v>964</v>
      </c>
      <c r="K1" s="11" t="s">
        <v>965</v>
      </c>
    </row>
    <row r="2" ht="12.75" customHeight="1">
      <c r="A2" s="8" t="s">
        <v>1914</v>
      </c>
      <c r="B2" s="8" t="s">
        <v>1917</v>
      </c>
      <c r="C2" s="8" t="s">
        <v>710</v>
      </c>
      <c r="D2" s="3" t="s">
        <v>2892</v>
      </c>
      <c r="E2" s="8" t="s">
        <v>1925</v>
      </c>
      <c r="F2" s="8" t="s">
        <v>1099</v>
      </c>
      <c r="I2" s="8" t="s">
        <v>995</v>
      </c>
      <c r="J2" s="8" t="s">
        <v>996</v>
      </c>
      <c r="K2" s="8" t="s">
        <v>1374</v>
      </c>
    </row>
    <row r="3" ht="12.75" customHeight="1">
      <c r="A3" s="8" t="s">
        <v>1524</v>
      </c>
      <c r="B3" s="8" t="s">
        <v>1527</v>
      </c>
      <c r="C3" s="8" t="s">
        <v>689</v>
      </c>
      <c r="D3" s="3" t="s">
        <v>2892</v>
      </c>
      <c r="E3" s="8" t="s">
        <v>1535</v>
      </c>
      <c r="F3" s="8" t="s">
        <v>1099</v>
      </c>
      <c r="I3" s="8" t="s">
        <v>995</v>
      </c>
      <c r="J3" s="8" t="s">
        <v>996</v>
      </c>
      <c r="K3" s="8" t="s">
        <v>997</v>
      </c>
    </row>
    <row r="4" ht="12.75" customHeight="1">
      <c r="A4" s="8" t="s">
        <v>1719</v>
      </c>
      <c r="B4" s="8" t="s">
        <v>1722</v>
      </c>
      <c r="C4" s="8" t="s">
        <v>524</v>
      </c>
      <c r="D4" s="3" t="s">
        <v>2892</v>
      </c>
      <c r="E4" s="8" t="s">
        <v>1728</v>
      </c>
      <c r="F4" s="8" t="s">
        <v>1099</v>
      </c>
      <c r="I4" s="8" t="s">
        <v>995</v>
      </c>
      <c r="J4" s="8" t="s">
        <v>996</v>
      </c>
      <c r="K4" s="8" t="s">
        <v>997</v>
      </c>
    </row>
    <row r="5" ht="12.75" customHeight="1">
      <c r="A5" s="8" t="s">
        <v>2717</v>
      </c>
      <c r="B5" s="8" t="s">
        <v>2721</v>
      </c>
      <c r="C5" s="8" t="s">
        <v>512</v>
      </c>
      <c r="D5" s="3" t="s">
        <v>2892</v>
      </c>
      <c r="E5" s="8" t="s">
        <v>2736</v>
      </c>
      <c r="F5" s="8" t="s">
        <v>1099</v>
      </c>
      <c r="I5" s="8" t="s">
        <v>995</v>
      </c>
      <c r="J5" s="8" t="s">
        <v>996</v>
      </c>
    </row>
    <row r="6" ht="12.75" customHeight="1">
      <c r="A6" s="8" t="s">
        <v>1081</v>
      </c>
      <c r="B6" s="8" t="s">
        <v>1084</v>
      </c>
      <c r="C6" s="8" t="s">
        <v>611</v>
      </c>
      <c r="D6" s="3" t="s">
        <v>2892</v>
      </c>
      <c r="E6" s="8" t="s">
        <v>1098</v>
      </c>
      <c r="F6" s="8" t="s">
        <v>1099</v>
      </c>
      <c r="I6" s="8" t="s">
        <v>995</v>
      </c>
    </row>
    <row r="7" ht="12.75" customHeight="1">
      <c r="A7" s="8" t="s">
        <v>1143</v>
      </c>
      <c r="B7" s="8" t="s">
        <v>1152</v>
      </c>
      <c r="C7" s="8" t="s">
        <v>626</v>
      </c>
      <c r="D7" s="3" t="s">
        <v>2892</v>
      </c>
      <c r="E7" s="8" t="s">
        <v>1166</v>
      </c>
      <c r="F7" s="8" t="s">
        <v>1099</v>
      </c>
      <c r="I7" s="8" t="s">
        <v>1022</v>
      </c>
    </row>
    <row r="8" ht="12.75" customHeight="1">
      <c r="A8" s="8" t="s">
        <v>1182</v>
      </c>
      <c r="B8" s="8" t="s">
        <v>1186</v>
      </c>
      <c r="C8" s="8" t="s">
        <v>581</v>
      </c>
      <c r="D8" s="3" t="s">
        <v>2892</v>
      </c>
      <c r="E8" s="8" t="s">
        <v>1202</v>
      </c>
      <c r="F8" s="8" t="s">
        <v>1099</v>
      </c>
      <c r="I8" s="8" t="s">
        <v>1022</v>
      </c>
    </row>
    <row r="9" ht="12.75" customHeight="1">
      <c r="A9" s="8" t="s">
        <v>1444</v>
      </c>
      <c r="B9" s="8" t="s">
        <v>1448</v>
      </c>
      <c r="C9" s="8" t="s">
        <v>969</v>
      </c>
      <c r="D9" s="3" t="s">
        <v>2892</v>
      </c>
      <c r="E9" s="8" t="s">
        <v>1462</v>
      </c>
      <c r="F9" s="8" t="s">
        <v>1099</v>
      </c>
      <c r="I9" s="8" t="s">
        <v>1022</v>
      </c>
    </row>
    <row r="10" ht="12.75" customHeight="1">
      <c r="A10" s="8" t="s">
        <v>1464</v>
      </c>
      <c r="B10" s="8" t="s">
        <v>1467</v>
      </c>
      <c r="C10" s="8" t="s">
        <v>686</v>
      </c>
      <c r="D10" s="3" t="s">
        <v>2892</v>
      </c>
      <c r="E10" s="8" t="s">
        <v>1475</v>
      </c>
      <c r="F10" s="8" t="s">
        <v>1099</v>
      </c>
      <c r="I10" s="8" t="s">
        <v>1022</v>
      </c>
    </row>
    <row r="11" ht="12.75" customHeight="1">
      <c r="A11" s="8" t="s">
        <v>1491</v>
      </c>
      <c r="B11" s="8" t="s">
        <v>1494</v>
      </c>
      <c r="C11" s="8" t="s">
        <v>740</v>
      </c>
      <c r="D11" s="3" t="s">
        <v>2892</v>
      </c>
      <c r="E11" s="8" t="s">
        <v>1501</v>
      </c>
      <c r="F11" s="8" t="s">
        <v>1099</v>
      </c>
      <c r="I11" s="8" t="s">
        <v>1022</v>
      </c>
    </row>
    <row r="12" ht="12.75" customHeight="1">
      <c r="A12" s="8" t="s">
        <v>1615</v>
      </c>
      <c r="B12" s="8" t="s">
        <v>1618</v>
      </c>
      <c r="C12" s="8" t="s">
        <v>743</v>
      </c>
      <c r="D12" s="3" t="s">
        <v>2892</v>
      </c>
      <c r="E12" s="8" t="s">
        <v>1626</v>
      </c>
      <c r="F12" s="8" t="s">
        <v>1099</v>
      </c>
      <c r="I12" s="8" t="s">
        <v>1022</v>
      </c>
    </row>
    <row r="13" ht="12.75" customHeight="1">
      <c r="A13" s="8" t="s">
        <v>2607</v>
      </c>
      <c r="B13" s="8" t="s">
        <v>2610</v>
      </c>
      <c r="C13" s="8" t="s">
        <v>665</v>
      </c>
      <c r="D13" s="3" t="s">
        <v>2892</v>
      </c>
      <c r="E13" s="8" t="s">
        <v>2621</v>
      </c>
      <c r="F13" s="8" t="s">
        <v>1099</v>
      </c>
      <c r="I13" s="8" t="s">
        <v>1022</v>
      </c>
    </row>
    <row r="14" ht="12.75" customHeight="1">
      <c r="A14" s="8" t="s">
        <v>1770</v>
      </c>
      <c r="B14" s="8" t="s">
        <v>1773</v>
      </c>
      <c r="C14" s="8" t="s">
        <v>779</v>
      </c>
      <c r="D14" s="3" t="s">
        <v>2892</v>
      </c>
      <c r="E14" s="8" t="s">
        <v>1781</v>
      </c>
      <c r="F14" s="8" t="s">
        <v>1249</v>
      </c>
      <c r="I14" s="8" t="s">
        <v>995</v>
      </c>
      <c r="J14" s="8" t="s">
        <v>996</v>
      </c>
      <c r="K14" s="8" t="s">
        <v>1180</v>
      </c>
    </row>
    <row r="15" ht="12.75" customHeight="1">
      <c r="A15" s="8" t="s">
        <v>2401</v>
      </c>
      <c r="B15" s="8" t="s">
        <v>2404</v>
      </c>
      <c r="C15" s="8" t="s">
        <v>752</v>
      </c>
      <c r="D15" s="3" t="s">
        <v>2892</v>
      </c>
      <c r="E15" s="8" t="s">
        <v>2415</v>
      </c>
      <c r="F15" s="8" t="s">
        <v>1249</v>
      </c>
      <c r="I15" s="8" t="s">
        <v>995</v>
      </c>
      <c r="J15" s="8" t="s">
        <v>996</v>
      </c>
      <c r="K15" s="8" t="s">
        <v>1180</v>
      </c>
    </row>
    <row r="16" ht="12.75" customHeight="1">
      <c r="A16" s="8" t="s">
        <v>2643</v>
      </c>
      <c r="B16" s="8" t="s">
        <v>2645</v>
      </c>
      <c r="C16" s="8" t="s">
        <v>827</v>
      </c>
      <c r="D16" s="3" t="s">
        <v>2892</v>
      </c>
      <c r="E16" s="8" t="s">
        <v>2658</v>
      </c>
      <c r="F16" s="8" t="s">
        <v>1249</v>
      </c>
      <c r="I16" s="8" t="s">
        <v>995</v>
      </c>
      <c r="J16" s="8" t="s">
        <v>996</v>
      </c>
      <c r="K16" s="8" t="s">
        <v>1180</v>
      </c>
    </row>
    <row r="17" ht="12.75" customHeight="1">
      <c r="A17" s="8" t="s">
        <v>1230</v>
      </c>
      <c r="B17" s="8" t="s">
        <v>1232</v>
      </c>
      <c r="C17" s="8" t="s">
        <v>593</v>
      </c>
      <c r="D17" s="3" t="s">
        <v>2892</v>
      </c>
      <c r="E17" s="8" t="s">
        <v>1248</v>
      </c>
      <c r="F17" s="8" t="s">
        <v>1249</v>
      </c>
      <c r="I17" s="8" t="s">
        <v>995</v>
      </c>
      <c r="J17" s="8" t="s">
        <v>996</v>
      </c>
      <c r="K17" s="8" t="s">
        <v>997</v>
      </c>
    </row>
    <row r="18" ht="12.75" customHeight="1">
      <c r="A18" s="8" t="s">
        <v>2200</v>
      </c>
      <c r="B18" s="8" t="s">
        <v>2202</v>
      </c>
      <c r="C18" s="8" t="s">
        <v>800</v>
      </c>
      <c r="D18" s="3" t="s">
        <v>2892</v>
      </c>
      <c r="E18" s="8" t="s">
        <v>2214</v>
      </c>
      <c r="F18" s="8" t="s">
        <v>1249</v>
      </c>
      <c r="I18" s="8" t="s">
        <v>995</v>
      </c>
      <c r="J18" s="8" t="s">
        <v>996</v>
      </c>
    </row>
    <row r="19" ht="12.75" customHeight="1">
      <c r="A19" s="8" t="s">
        <v>2465</v>
      </c>
      <c r="B19" s="8" t="s">
        <v>2468</v>
      </c>
      <c r="C19" s="8" t="s">
        <v>728</v>
      </c>
      <c r="D19" s="3" t="s">
        <v>2892</v>
      </c>
      <c r="E19" s="8" t="s">
        <v>2476</v>
      </c>
      <c r="F19" s="8" t="s">
        <v>1249</v>
      </c>
      <c r="I19" s="8" t="s">
        <v>995</v>
      </c>
      <c r="J19" s="8" t="s">
        <v>996</v>
      </c>
    </row>
    <row r="20" ht="12.75" customHeight="1">
      <c r="A20" s="8" t="s">
        <v>2755</v>
      </c>
      <c r="B20" s="8" t="s">
        <v>2757</v>
      </c>
      <c r="C20" s="8" t="s">
        <v>2767</v>
      </c>
      <c r="D20" s="3" t="s">
        <v>2892</v>
      </c>
      <c r="E20" s="8" t="s">
        <v>2769</v>
      </c>
      <c r="F20" s="8" t="s">
        <v>1249</v>
      </c>
      <c r="I20" s="8" t="s">
        <v>1586</v>
      </c>
    </row>
    <row r="21" ht="12.75" customHeight="1">
      <c r="A21" s="8" t="s">
        <v>1537</v>
      </c>
      <c r="B21" s="8" t="s">
        <v>1541</v>
      </c>
      <c r="C21" s="8" t="s">
        <v>770</v>
      </c>
      <c r="D21" s="3" t="s">
        <v>2892</v>
      </c>
      <c r="E21" s="8" t="s">
        <v>1554</v>
      </c>
      <c r="F21" s="8" t="s">
        <v>1249</v>
      </c>
      <c r="I21" s="8" t="s">
        <v>1022</v>
      </c>
    </row>
    <row r="22" ht="12.75" customHeight="1">
      <c r="A22" s="8" t="s">
        <v>1846</v>
      </c>
      <c r="B22" s="8" t="s">
        <v>1850</v>
      </c>
      <c r="C22" s="8" t="s">
        <v>545</v>
      </c>
      <c r="D22" s="3" t="s">
        <v>2892</v>
      </c>
      <c r="E22" s="8" t="s">
        <v>1864</v>
      </c>
      <c r="F22" s="8" t="s">
        <v>1249</v>
      </c>
      <c r="I22" s="8" t="s">
        <v>1022</v>
      </c>
    </row>
    <row r="23" ht="12.75" customHeight="1">
      <c r="A23" s="8" t="s">
        <v>1358</v>
      </c>
      <c r="B23" s="8" t="s">
        <v>1362</v>
      </c>
      <c r="C23" s="8" t="s">
        <v>785</v>
      </c>
      <c r="D23" s="3" t="s">
        <v>2892</v>
      </c>
      <c r="E23" s="8" t="s">
        <v>1373</v>
      </c>
      <c r="F23" s="8" t="s">
        <v>993</v>
      </c>
      <c r="G23" s="8" t="s">
        <v>994</v>
      </c>
      <c r="I23" s="8" t="s">
        <v>995</v>
      </c>
      <c r="J23" s="8" t="s">
        <v>996</v>
      </c>
      <c r="K23" s="8" t="s">
        <v>1374</v>
      </c>
    </row>
    <row r="24" ht="12.75" customHeight="1">
      <c r="A24" s="8" t="s">
        <v>2379</v>
      </c>
      <c r="B24" s="8" t="s">
        <v>2383</v>
      </c>
      <c r="C24" s="8" t="s">
        <v>749</v>
      </c>
      <c r="D24" s="3" t="s">
        <v>2892</v>
      </c>
      <c r="E24" s="8" t="s">
        <v>2398</v>
      </c>
      <c r="F24" s="8" t="s">
        <v>993</v>
      </c>
      <c r="G24" s="8" t="s">
        <v>994</v>
      </c>
      <c r="I24" s="8" t="s">
        <v>995</v>
      </c>
      <c r="J24" s="8" t="s">
        <v>996</v>
      </c>
      <c r="K24" s="8" t="s">
        <v>1374</v>
      </c>
    </row>
    <row r="25" ht="12.75" customHeight="1">
      <c r="A25" s="8" t="s">
        <v>1168</v>
      </c>
      <c r="B25" s="8" t="s">
        <v>1171</v>
      </c>
      <c r="C25" s="8" t="s">
        <v>614</v>
      </c>
      <c r="D25" s="3" t="s">
        <v>2892</v>
      </c>
      <c r="E25" s="8" t="s">
        <v>1179</v>
      </c>
      <c r="F25" s="8" t="s">
        <v>993</v>
      </c>
      <c r="G25" s="8" t="s">
        <v>994</v>
      </c>
      <c r="I25" s="8" t="s">
        <v>995</v>
      </c>
      <c r="J25" s="8" t="s">
        <v>996</v>
      </c>
      <c r="K25" s="8" t="s">
        <v>1180</v>
      </c>
    </row>
    <row r="26" ht="12.75" customHeight="1">
      <c r="A26" s="8" t="s">
        <v>2479</v>
      </c>
      <c r="B26" s="8" t="s">
        <v>2481</v>
      </c>
      <c r="C26" s="8" t="s">
        <v>815</v>
      </c>
      <c r="D26" s="3" t="s">
        <v>2892</v>
      </c>
      <c r="E26" s="8" t="s">
        <v>2488</v>
      </c>
      <c r="F26" s="8" t="s">
        <v>993</v>
      </c>
      <c r="G26" s="8" t="s">
        <v>994</v>
      </c>
      <c r="I26" s="8" t="s">
        <v>995</v>
      </c>
      <c r="J26" s="8" t="s">
        <v>996</v>
      </c>
      <c r="K26" s="8" t="s">
        <v>1180</v>
      </c>
    </row>
    <row r="27" ht="12.75" customHeight="1">
      <c r="A27" s="8" t="s">
        <v>970</v>
      </c>
      <c r="B27" s="8" t="s">
        <v>976</v>
      </c>
      <c r="C27" s="8" t="s">
        <v>605</v>
      </c>
      <c r="D27" s="3" t="s">
        <v>2892</v>
      </c>
      <c r="E27" s="8" t="s">
        <v>992</v>
      </c>
      <c r="F27" s="8" t="s">
        <v>993</v>
      </c>
      <c r="G27" s="8" t="s">
        <v>994</v>
      </c>
      <c r="I27" s="8" t="s">
        <v>995</v>
      </c>
      <c r="J27" s="8" t="s">
        <v>996</v>
      </c>
      <c r="K27" s="8" t="s">
        <v>997</v>
      </c>
    </row>
    <row r="28" ht="12.75" customHeight="1">
      <c r="A28" s="8" t="s">
        <v>1061</v>
      </c>
      <c r="B28" s="8" t="s">
        <v>1064</v>
      </c>
      <c r="C28" s="8" t="s">
        <v>590</v>
      </c>
      <c r="D28" s="3" t="s">
        <v>2892</v>
      </c>
      <c r="E28" s="8" t="s">
        <v>1079</v>
      </c>
      <c r="F28" s="8" t="s">
        <v>993</v>
      </c>
      <c r="G28" s="8" t="s">
        <v>994</v>
      </c>
      <c r="I28" s="8" t="s">
        <v>995</v>
      </c>
      <c r="J28" s="8" t="s">
        <v>996</v>
      </c>
      <c r="K28" s="8" t="s">
        <v>997</v>
      </c>
    </row>
    <row r="29" ht="12.75" customHeight="1">
      <c r="A29" s="8" t="s">
        <v>1681</v>
      </c>
      <c r="B29" s="8" t="s">
        <v>1684</v>
      </c>
      <c r="C29" s="8" t="s">
        <v>773</v>
      </c>
      <c r="D29" s="3" t="s">
        <v>2892</v>
      </c>
      <c r="E29" s="8" t="s">
        <v>1689</v>
      </c>
      <c r="F29" s="8" t="s">
        <v>993</v>
      </c>
      <c r="G29" s="8" t="s">
        <v>994</v>
      </c>
      <c r="I29" s="8" t="s">
        <v>995</v>
      </c>
      <c r="J29" s="8" t="s">
        <v>996</v>
      </c>
      <c r="K29" s="8" t="s">
        <v>997</v>
      </c>
    </row>
    <row r="30" ht="12.75" customHeight="1">
      <c r="A30" s="8" t="s">
        <v>2054</v>
      </c>
      <c r="B30" s="8" t="s">
        <v>2057</v>
      </c>
      <c r="C30" s="8" t="s">
        <v>662</v>
      </c>
      <c r="D30" s="3" t="s">
        <v>2892</v>
      </c>
      <c r="E30" s="8" t="s">
        <v>2069</v>
      </c>
      <c r="F30" s="8" t="s">
        <v>993</v>
      </c>
      <c r="G30" s="8" t="s">
        <v>994</v>
      </c>
      <c r="I30" s="8" t="s">
        <v>995</v>
      </c>
      <c r="J30" s="8" t="s">
        <v>996</v>
      </c>
      <c r="K30" s="8" t="s">
        <v>997</v>
      </c>
    </row>
    <row r="31" ht="12.75" customHeight="1">
      <c r="A31" s="8" t="s">
        <v>2823</v>
      </c>
      <c r="B31" s="8" t="s">
        <v>2824</v>
      </c>
      <c r="C31" s="8" t="s">
        <v>629</v>
      </c>
      <c r="D31" s="3" t="s">
        <v>2892</v>
      </c>
      <c r="E31" s="8" t="s">
        <v>2830</v>
      </c>
      <c r="F31" s="8" t="s">
        <v>993</v>
      </c>
      <c r="G31" s="8" t="s">
        <v>994</v>
      </c>
      <c r="I31" s="8" t="s">
        <v>995</v>
      </c>
      <c r="J31" s="8" t="s">
        <v>996</v>
      </c>
      <c r="K31" s="8" t="s">
        <v>997</v>
      </c>
    </row>
    <row r="32" ht="12.75" customHeight="1">
      <c r="A32" s="8" t="s">
        <v>1744</v>
      </c>
      <c r="B32" s="8" t="s">
        <v>1748</v>
      </c>
      <c r="C32" s="8" t="s">
        <v>647</v>
      </c>
      <c r="D32" s="3" t="s">
        <v>2892</v>
      </c>
      <c r="E32" s="8" t="s">
        <v>1767</v>
      </c>
      <c r="F32" s="8" t="s">
        <v>993</v>
      </c>
      <c r="G32" s="8" t="s">
        <v>994</v>
      </c>
      <c r="I32" s="8" t="s">
        <v>995</v>
      </c>
      <c r="J32" s="8" t="s">
        <v>996</v>
      </c>
    </row>
    <row r="33" ht="12.75" customHeight="1">
      <c r="A33" s="8" t="s">
        <v>1950</v>
      </c>
      <c r="B33" s="8" t="s">
        <v>1953</v>
      </c>
      <c r="C33" s="8" t="s">
        <v>797</v>
      </c>
      <c r="D33" s="3" t="s">
        <v>2892</v>
      </c>
      <c r="E33" s="8" t="s">
        <v>1970</v>
      </c>
      <c r="F33" s="8" t="s">
        <v>993</v>
      </c>
      <c r="G33" s="8" t="s">
        <v>1356</v>
      </c>
      <c r="I33" s="8" t="s">
        <v>1586</v>
      </c>
    </row>
    <row r="34" ht="12.75" customHeight="1">
      <c r="A34" s="8" t="s">
        <v>1304</v>
      </c>
      <c r="B34" s="8" t="s">
        <v>1307</v>
      </c>
      <c r="C34" s="8" t="s">
        <v>1320</v>
      </c>
      <c r="D34" s="3" t="s">
        <v>2892</v>
      </c>
      <c r="E34" s="8" t="s">
        <v>1323</v>
      </c>
      <c r="F34" s="8" t="s">
        <v>993</v>
      </c>
      <c r="G34" s="8" t="s">
        <v>994</v>
      </c>
      <c r="I34" s="8" t="s">
        <v>995</v>
      </c>
    </row>
    <row r="35" ht="12.75" customHeight="1">
      <c r="A35" s="8" t="s">
        <v>2256</v>
      </c>
      <c r="B35" s="8" t="s">
        <v>2259</v>
      </c>
      <c r="C35" s="8" t="s">
        <v>572</v>
      </c>
      <c r="D35" s="3" t="s">
        <v>2892</v>
      </c>
      <c r="E35" s="8" t="s">
        <v>2270</v>
      </c>
      <c r="F35" s="8" t="s">
        <v>993</v>
      </c>
      <c r="G35" s="8" t="s">
        <v>994</v>
      </c>
      <c r="I35" s="8" t="s">
        <v>995</v>
      </c>
    </row>
    <row r="36" ht="12.75" customHeight="1">
      <c r="A36" s="8" t="s">
        <v>1024</v>
      </c>
      <c r="B36" s="8" t="s">
        <v>1027</v>
      </c>
      <c r="C36" s="8" t="s">
        <v>584</v>
      </c>
      <c r="D36" s="3" t="s">
        <v>2892</v>
      </c>
      <c r="E36" s="8" t="s">
        <v>1040</v>
      </c>
      <c r="F36" s="8" t="s">
        <v>993</v>
      </c>
      <c r="G36" s="8" t="s">
        <v>994</v>
      </c>
      <c r="I36" s="8" t="s">
        <v>1022</v>
      </c>
    </row>
    <row r="37" ht="12.75" customHeight="1">
      <c r="A37" s="8" t="s">
        <v>1477</v>
      </c>
      <c r="B37" s="8" t="s">
        <v>1480</v>
      </c>
      <c r="C37" s="8" t="s">
        <v>638</v>
      </c>
      <c r="D37" s="3" t="s">
        <v>2892</v>
      </c>
      <c r="E37" s="8" t="s">
        <v>1489</v>
      </c>
      <c r="F37" s="8" t="s">
        <v>993</v>
      </c>
      <c r="G37" s="8" t="s">
        <v>994</v>
      </c>
      <c r="I37" s="8" t="s">
        <v>1022</v>
      </c>
    </row>
    <row r="38" ht="12.75" customHeight="1">
      <c r="A38" s="8" t="s">
        <v>1731</v>
      </c>
      <c r="B38" s="8" t="s">
        <v>1734</v>
      </c>
      <c r="C38" s="8" t="s">
        <v>776</v>
      </c>
      <c r="D38" s="3" t="s">
        <v>2892</v>
      </c>
      <c r="E38" s="8" t="s">
        <v>1741</v>
      </c>
      <c r="F38" s="8" t="s">
        <v>993</v>
      </c>
      <c r="G38" s="8" t="s">
        <v>994</v>
      </c>
      <c r="I38" s="8" t="s">
        <v>1022</v>
      </c>
    </row>
    <row r="39" ht="12.75" customHeight="1">
      <c r="A39" s="8" t="s">
        <v>1798</v>
      </c>
      <c r="B39" s="8" t="s">
        <v>1806</v>
      </c>
      <c r="C39" s="8" t="s">
        <v>569</v>
      </c>
      <c r="D39" s="3" t="s">
        <v>2892</v>
      </c>
      <c r="E39" s="8" t="s">
        <v>1822</v>
      </c>
      <c r="F39" s="8" t="s">
        <v>993</v>
      </c>
      <c r="G39" s="8" t="s">
        <v>994</v>
      </c>
      <c r="I39" s="8" t="s">
        <v>1022</v>
      </c>
    </row>
    <row r="40" ht="12.75" customHeight="1">
      <c r="A40" s="8" t="s">
        <v>1881</v>
      </c>
      <c r="B40" s="8" t="s">
        <v>1885</v>
      </c>
      <c r="C40" s="8" t="s">
        <v>734</v>
      </c>
      <c r="D40" s="3" t="s">
        <v>2892</v>
      </c>
      <c r="E40" s="8" t="s">
        <v>1898</v>
      </c>
      <c r="F40" s="8" t="s">
        <v>993</v>
      </c>
      <c r="G40" s="8" t="s">
        <v>994</v>
      </c>
      <c r="I40" s="8" t="s">
        <v>1022</v>
      </c>
    </row>
    <row r="41" ht="12.75" customHeight="1">
      <c r="A41" s="8" t="s">
        <v>2039</v>
      </c>
      <c r="B41" s="8" t="s">
        <v>2041</v>
      </c>
      <c r="C41" s="8" t="s">
        <v>812</v>
      </c>
      <c r="D41" s="3" t="s">
        <v>2892</v>
      </c>
      <c r="E41" s="8" t="s">
        <v>2051</v>
      </c>
      <c r="F41" s="8" t="s">
        <v>993</v>
      </c>
      <c r="G41" s="8" t="s">
        <v>994</v>
      </c>
      <c r="I41" s="8" t="s">
        <v>1022</v>
      </c>
    </row>
    <row r="42" ht="12.75" customHeight="1">
      <c r="A42" s="8" t="s">
        <v>2133</v>
      </c>
      <c r="B42" s="8" t="s">
        <v>2136</v>
      </c>
      <c r="C42" s="8" t="s">
        <v>839</v>
      </c>
      <c r="D42" s="3" t="s">
        <v>2892</v>
      </c>
      <c r="E42" s="8" t="s">
        <v>2146</v>
      </c>
      <c r="F42" s="8" t="s">
        <v>993</v>
      </c>
      <c r="G42" s="8" t="s">
        <v>994</v>
      </c>
      <c r="I42" s="8" t="s">
        <v>1022</v>
      </c>
    </row>
    <row r="43" ht="12.75" customHeight="1">
      <c r="A43" s="8" t="s">
        <v>1344</v>
      </c>
      <c r="B43" s="8" t="s">
        <v>1347</v>
      </c>
      <c r="C43" s="8" t="s">
        <v>755</v>
      </c>
      <c r="D43" s="3" t="s">
        <v>2892</v>
      </c>
      <c r="E43" s="8" t="s">
        <v>1355</v>
      </c>
      <c r="F43" s="8" t="s">
        <v>993</v>
      </c>
      <c r="G43" s="8" t="s">
        <v>1356</v>
      </c>
      <c r="I43" s="8" t="s">
        <v>1022</v>
      </c>
    </row>
    <row r="44" ht="12.75" customHeight="1">
      <c r="A44" s="8" t="s">
        <v>2790</v>
      </c>
      <c r="B44" s="8" t="s">
        <v>2793</v>
      </c>
      <c r="C44" s="8" t="s">
        <v>518</v>
      </c>
      <c r="D44" s="3" t="s">
        <v>2892</v>
      </c>
      <c r="E44" s="8" t="s">
        <v>2804</v>
      </c>
      <c r="F44" s="8" t="s">
        <v>993</v>
      </c>
      <c r="G44" s="8" t="s">
        <v>1356</v>
      </c>
      <c r="I44" s="8" t="s">
        <v>1022</v>
      </c>
    </row>
    <row r="45" ht="12.75" customHeight="1">
      <c r="A45" s="8" t="s">
        <v>1204</v>
      </c>
      <c r="B45" s="8" t="s">
        <v>1206</v>
      </c>
      <c r="C45" s="8" t="s">
        <v>587</v>
      </c>
      <c r="D45" s="3" t="s">
        <v>2892</v>
      </c>
      <c r="E45" s="8" t="s">
        <v>1213</v>
      </c>
      <c r="F45" s="8" t="s">
        <v>993</v>
      </c>
      <c r="G45" s="8" t="s">
        <v>994</v>
      </c>
    </row>
    <row r="46" ht="12.75" customHeight="1">
      <c r="A46" s="8" t="s">
        <v>1426</v>
      </c>
      <c r="B46" s="8" t="s">
        <v>1430</v>
      </c>
      <c r="C46" s="8" t="s">
        <v>737</v>
      </c>
      <c r="D46" s="3" t="s">
        <v>2892</v>
      </c>
      <c r="E46" s="8" t="s">
        <v>1442</v>
      </c>
      <c r="F46" s="8" t="s">
        <v>993</v>
      </c>
      <c r="G46" s="8" t="s">
        <v>994</v>
      </c>
    </row>
    <row r="47" ht="12.75" customHeight="1">
      <c r="A47" s="8" t="s">
        <v>1602</v>
      </c>
      <c r="B47" s="8" t="s">
        <v>1604</v>
      </c>
      <c r="C47" s="8" t="s">
        <v>536</v>
      </c>
      <c r="D47" s="3" t="s">
        <v>2892</v>
      </c>
      <c r="E47" s="8" t="s">
        <v>1612</v>
      </c>
      <c r="F47" s="8" t="s">
        <v>993</v>
      </c>
      <c r="G47" s="8" t="s">
        <v>994</v>
      </c>
    </row>
    <row r="48" ht="12.75" customHeight="1">
      <c r="A48" s="8" t="s">
        <v>2290</v>
      </c>
      <c r="B48" s="8" t="s">
        <v>2293</v>
      </c>
      <c r="C48" s="8" t="s">
        <v>641</v>
      </c>
      <c r="D48" s="3" t="s">
        <v>2892</v>
      </c>
      <c r="E48" s="8" t="s">
        <v>2305</v>
      </c>
      <c r="F48" s="8" t="s">
        <v>993</v>
      </c>
      <c r="G48" s="8" t="s">
        <v>994</v>
      </c>
    </row>
    <row r="49" ht="12.75" customHeight="1">
      <c r="A49" s="8" t="s">
        <v>2661</v>
      </c>
      <c r="B49" s="8" t="s">
        <v>2663</v>
      </c>
      <c r="C49" s="8" t="s">
        <v>824</v>
      </c>
      <c r="D49" s="3" t="s">
        <v>2892</v>
      </c>
      <c r="E49" s="8" t="s">
        <v>2674</v>
      </c>
      <c r="F49" s="8" t="s">
        <v>993</v>
      </c>
      <c r="G49" s="8" t="s">
        <v>994</v>
      </c>
    </row>
    <row r="50" ht="12.75" customHeight="1">
      <c r="A50" s="8" t="s">
        <v>2868</v>
      </c>
      <c r="B50" s="8" t="s">
        <v>2875</v>
      </c>
      <c r="C50" s="8" t="s">
        <v>854</v>
      </c>
      <c r="D50" s="3" t="s">
        <v>2892</v>
      </c>
      <c r="E50" s="8" t="s">
        <v>2890</v>
      </c>
      <c r="F50" s="8" t="s">
        <v>993</v>
      </c>
      <c r="G50" s="8" t="s">
        <v>994</v>
      </c>
    </row>
    <row r="51" ht="12.75" customHeight="1">
      <c r="A51" s="8" t="s">
        <v>1398</v>
      </c>
      <c r="B51" s="8" t="s">
        <v>1401</v>
      </c>
      <c r="C51" s="8" t="s">
        <v>548</v>
      </c>
      <c r="D51" s="3" t="s">
        <v>2892</v>
      </c>
      <c r="E51" s="8" t="s">
        <v>1410</v>
      </c>
      <c r="F51" s="8" t="s">
        <v>1115</v>
      </c>
      <c r="G51" s="8" t="s">
        <v>1116</v>
      </c>
      <c r="H51" s="8" t="s">
        <v>1117</v>
      </c>
      <c r="I51" s="8" t="s">
        <v>995</v>
      </c>
      <c r="J51" s="8" t="s">
        <v>996</v>
      </c>
      <c r="K51" s="8" t="s">
        <v>1180</v>
      </c>
    </row>
    <row r="52" ht="12.75" customHeight="1">
      <c r="A52" s="8" t="s">
        <v>1251</v>
      </c>
      <c r="B52" s="8" t="s">
        <v>1255</v>
      </c>
      <c r="C52" s="8" t="s">
        <v>557</v>
      </c>
      <c r="D52" s="3" t="s">
        <v>2892</v>
      </c>
      <c r="E52" s="8" t="s">
        <v>1270</v>
      </c>
      <c r="F52" s="8" t="s">
        <v>1115</v>
      </c>
      <c r="G52" s="8" t="s">
        <v>1116</v>
      </c>
      <c r="H52" s="8" t="s">
        <v>1117</v>
      </c>
      <c r="I52" s="8" t="s">
        <v>995</v>
      </c>
      <c r="J52" s="8" t="s">
        <v>996</v>
      </c>
      <c r="K52" s="8" t="s">
        <v>997</v>
      </c>
    </row>
    <row r="53" ht="12.75" customHeight="1">
      <c r="A53" s="8" t="s">
        <v>1997</v>
      </c>
      <c r="B53" s="8" t="s">
        <v>2000</v>
      </c>
      <c r="C53" s="8" t="s">
        <v>650</v>
      </c>
      <c r="D53" s="3" t="s">
        <v>2892</v>
      </c>
      <c r="E53" s="8" t="s">
        <v>2014</v>
      </c>
      <c r="F53" s="8" t="s">
        <v>1115</v>
      </c>
      <c r="G53" s="8" t="s">
        <v>1116</v>
      </c>
      <c r="H53" s="8" t="s">
        <v>1117</v>
      </c>
      <c r="I53" s="8" t="s">
        <v>995</v>
      </c>
      <c r="J53" s="8" t="s">
        <v>996</v>
      </c>
      <c r="K53" s="8" t="s">
        <v>997</v>
      </c>
    </row>
    <row r="54" ht="12.75" customHeight="1">
      <c r="A54" s="8" t="s">
        <v>2832</v>
      </c>
      <c r="B54" s="8" t="s">
        <v>2835</v>
      </c>
      <c r="C54" s="8" t="s">
        <v>539</v>
      </c>
      <c r="D54" s="3" t="s">
        <v>2892</v>
      </c>
      <c r="E54" s="8" t="s">
        <v>2839</v>
      </c>
      <c r="F54" s="8" t="s">
        <v>1115</v>
      </c>
      <c r="G54" s="8" t="s">
        <v>1116</v>
      </c>
      <c r="H54" s="8" t="s">
        <v>1117</v>
      </c>
      <c r="I54" s="8" t="s">
        <v>995</v>
      </c>
      <c r="J54" s="8" t="s">
        <v>996</v>
      </c>
      <c r="K54" s="8" t="s">
        <v>997</v>
      </c>
    </row>
    <row r="55" ht="12.75" customHeight="1">
      <c r="A55" s="8" t="s">
        <v>1215</v>
      </c>
      <c r="B55" s="8" t="s">
        <v>1218</v>
      </c>
      <c r="C55" s="8" t="s">
        <v>659</v>
      </c>
      <c r="D55" s="3" t="s">
        <v>2892</v>
      </c>
      <c r="E55" s="8" t="s">
        <v>1228</v>
      </c>
      <c r="F55" s="8" t="s">
        <v>1115</v>
      </c>
      <c r="G55" s="8" t="s">
        <v>1116</v>
      </c>
      <c r="H55" s="8" t="s">
        <v>1117</v>
      </c>
      <c r="I55" s="8" t="s">
        <v>995</v>
      </c>
      <c r="J55" s="8" t="s">
        <v>996</v>
      </c>
    </row>
    <row r="56" ht="12.75" customHeight="1">
      <c r="A56" s="8" t="s">
        <v>1101</v>
      </c>
      <c r="B56" s="8" t="s">
        <v>1104</v>
      </c>
      <c r="C56" s="8" t="s">
        <v>608</v>
      </c>
      <c r="D56" s="3" t="s">
        <v>2892</v>
      </c>
      <c r="E56" s="8" t="s">
        <v>1114</v>
      </c>
      <c r="F56" s="8" t="s">
        <v>1115</v>
      </c>
      <c r="G56" s="8" t="s">
        <v>1116</v>
      </c>
      <c r="H56" s="8" t="s">
        <v>1117</v>
      </c>
      <c r="I56" s="8" t="s">
        <v>995</v>
      </c>
    </row>
    <row r="57" ht="12.75" customHeight="1">
      <c r="A57" s="8" t="s">
        <v>1412</v>
      </c>
      <c r="B57" s="8" t="s">
        <v>1415</v>
      </c>
      <c r="C57" s="8" t="s">
        <v>560</v>
      </c>
      <c r="D57" s="3" t="s">
        <v>2892</v>
      </c>
      <c r="E57" s="8" t="s">
        <v>1424</v>
      </c>
      <c r="F57" s="8" t="s">
        <v>1115</v>
      </c>
      <c r="G57" s="8" t="s">
        <v>1116</v>
      </c>
      <c r="H57" s="8" t="s">
        <v>1117</v>
      </c>
      <c r="I57" s="8" t="s">
        <v>995</v>
      </c>
    </row>
    <row r="58" ht="12.75" customHeight="1">
      <c r="A58" s="8" t="s">
        <v>1692</v>
      </c>
      <c r="B58" s="8" t="s">
        <v>1695</v>
      </c>
      <c r="C58" s="8" t="s">
        <v>698</v>
      </c>
      <c r="D58" s="3" t="s">
        <v>2892</v>
      </c>
      <c r="E58" s="8" t="s">
        <v>1702</v>
      </c>
      <c r="F58" s="8" t="s">
        <v>1115</v>
      </c>
      <c r="G58" s="8" t="s">
        <v>1116</v>
      </c>
      <c r="H58" s="8" t="s">
        <v>1117</v>
      </c>
      <c r="I58" s="8" t="s">
        <v>995</v>
      </c>
    </row>
    <row r="59" ht="12.75" customHeight="1">
      <c r="A59" s="8" t="s">
        <v>2739</v>
      </c>
      <c r="B59" s="8" t="s">
        <v>2742</v>
      </c>
      <c r="C59" s="8" t="s">
        <v>671</v>
      </c>
      <c r="D59" s="3" t="s">
        <v>2892</v>
      </c>
      <c r="E59" s="8" t="s">
        <v>2752</v>
      </c>
      <c r="F59" s="8" t="s">
        <v>1115</v>
      </c>
      <c r="G59" s="8" t="s">
        <v>1116</v>
      </c>
      <c r="H59" s="8" t="s">
        <v>1117</v>
      </c>
      <c r="I59" s="8" t="s">
        <v>995</v>
      </c>
    </row>
    <row r="60" ht="12.75" customHeight="1">
      <c r="A60" s="8" t="s">
        <v>1867</v>
      </c>
      <c r="B60" s="8" t="s">
        <v>1870</v>
      </c>
      <c r="C60" s="8" t="s">
        <v>707</v>
      </c>
      <c r="D60" s="3" t="s">
        <v>2892</v>
      </c>
      <c r="E60" s="8" t="s">
        <v>1878</v>
      </c>
      <c r="F60" s="8" t="s">
        <v>1115</v>
      </c>
      <c r="G60" s="8" t="s">
        <v>1116</v>
      </c>
      <c r="H60" s="8" t="s">
        <v>1117</v>
      </c>
      <c r="I60" s="8" t="s">
        <v>1022</v>
      </c>
    </row>
    <row r="61" ht="12.75" customHeight="1">
      <c r="A61" s="8" t="s">
        <v>2149</v>
      </c>
      <c r="B61" s="8" t="s">
        <v>2152</v>
      </c>
      <c r="C61" s="8" t="s">
        <v>761</v>
      </c>
      <c r="D61" s="3" t="s">
        <v>2892</v>
      </c>
      <c r="E61" s="8" t="s">
        <v>2163</v>
      </c>
      <c r="F61" s="8" t="s">
        <v>1115</v>
      </c>
      <c r="G61" s="8" t="s">
        <v>1116</v>
      </c>
      <c r="H61" s="8" t="s">
        <v>1117</v>
      </c>
      <c r="I61" s="8" t="s">
        <v>1022</v>
      </c>
    </row>
    <row r="62" ht="12.75" customHeight="1">
      <c r="A62" s="8" t="s">
        <v>2448</v>
      </c>
      <c r="B62" s="8" t="s">
        <v>2451</v>
      </c>
      <c r="C62" s="8" t="s">
        <v>725</v>
      </c>
      <c r="D62" s="3" t="s">
        <v>2892</v>
      </c>
      <c r="E62" s="8" t="s">
        <v>2462</v>
      </c>
      <c r="F62" s="8" t="s">
        <v>1115</v>
      </c>
      <c r="G62" s="8" t="s">
        <v>1116</v>
      </c>
      <c r="H62" s="8" t="s">
        <v>1117</v>
      </c>
      <c r="I62" s="8" t="s">
        <v>1022</v>
      </c>
    </row>
    <row r="63" ht="12.75" customHeight="1">
      <c r="A63" s="8" t="s">
        <v>2853</v>
      </c>
      <c r="B63" s="8" t="s">
        <v>2857</v>
      </c>
      <c r="C63" s="8" t="s">
        <v>845</v>
      </c>
      <c r="D63" s="3" t="s">
        <v>2892</v>
      </c>
      <c r="E63" s="8" t="s">
        <v>2866</v>
      </c>
      <c r="F63" s="8" t="s">
        <v>1115</v>
      </c>
      <c r="G63" s="8" t="s">
        <v>1116</v>
      </c>
      <c r="H63" s="8" t="s">
        <v>1117</v>
      </c>
      <c r="I63" s="8" t="s">
        <v>1022</v>
      </c>
    </row>
    <row r="64" ht="12.75" customHeight="1">
      <c r="A64" s="8" t="s">
        <v>2330</v>
      </c>
      <c r="B64" s="8" t="s">
        <v>2334</v>
      </c>
      <c r="C64" s="8" t="s">
        <v>632</v>
      </c>
      <c r="D64" s="3" t="s">
        <v>2892</v>
      </c>
      <c r="E64" s="8" t="s">
        <v>2354</v>
      </c>
      <c r="F64" s="8" t="s">
        <v>1115</v>
      </c>
      <c r="G64" s="8" t="s">
        <v>1116</v>
      </c>
      <c r="H64" s="8" t="s">
        <v>1117</v>
      </c>
    </row>
    <row r="65" ht="12.75" customHeight="1">
      <c r="A65" s="8" t="s">
        <v>1901</v>
      </c>
      <c r="B65" s="8" t="s">
        <v>1904</v>
      </c>
      <c r="C65" s="8" t="s">
        <v>551</v>
      </c>
      <c r="D65" s="3" t="s">
        <v>2892</v>
      </c>
      <c r="E65" s="8" t="s">
        <v>1911</v>
      </c>
      <c r="F65" s="8" t="s">
        <v>1021</v>
      </c>
      <c r="I65" s="8" t="s">
        <v>995</v>
      </c>
      <c r="J65" s="8" t="s">
        <v>996</v>
      </c>
      <c r="K65" s="8" t="s">
        <v>1180</v>
      </c>
    </row>
    <row r="66" ht="12.75" customHeight="1">
      <c r="A66" s="8" t="s">
        <v>1973</v>
      </c>
      <c r="B66" s="8" t="s">
        <v>1975</v>
      </c>
      <c r="C66" s="8" t="s">
        <v>809</v>
      </c>
      <c r="D66" s="3" t="s">
        <v>2892</v>
      </c>
      <c r="E66" s="8" t="s">
        <v>1994</v>
      </c>
      <c r="F66" s="8" t="s">
        <v>1021</v>
      </c>
      <c r="I66" s="8" t="s">
        <v>995</v>
      </c>
      <c r="J66" s="8" t="s">
        <v>996</v>
      </c>
      <c r="K66" s="8" t="s">
        <v>1180</v>
      </c>
    </row>
    <row r="67" ht="12.75" customHeight="1">
      <c r="A67" s="8" t="s">
        <v>2217</v>
      </c>
      <c r="B67" s="8" t="s">
        <v>2221</v>
      </c>
      <c r="C67" s="8" t="s">
        <v>788</v>
      </c>
      <c r="D67" s="3" t="s">
        <v>2892</v>
      </c>
      <c r="E67" s="8" t="s">
        <v>2236</v>
      </c>
      <c r="F67" s="8" t="s">
        <v>1021</v>
      </c>
      <c r="I67" s="8" t="s">
        <v>995</v>
      </c>
      <c r="J67" s="8" t="s">
        <v>996</v>
      </c>
      <c r="K67" s="8" t="s">
        <v>1180</v>
      </c>
    </row>
    <row r="68" ht="12.75" customHeight="1">
      <c r="A68" s="8" t="s">
        <v>2434</v>
      </c>
      <c r="B68" s="8" t="s">
        <v>2437</v>
      </c>
      <c r="C68" s="8" t="s">
        <v>764</v>
      </c>
      <c r="D68" s="3" t="s">
        <v>2892</v>
      </c>
      <c r="E68" s="8" t="s">
        <v>2445</v>
      </c>
      <c r="F68" s="8" t="s">
        <v>1021</v>
      </c>
      <c r="I68" s="8" t="s">
        <v>995</v>
      </c>
      <c r="J68" s="8" t="s">
        <v>996</v>
      </c>
      <c r="K68" s="8" t="s">
        <v>1180</v>
      </c>
    </row>
    <row r="69" ht="12.75" customHeight="1">
      <c r="A69" s="8" t="s">
        <v>1556</v>
      </c>
      <c r="B69" s="8" t="s">
        <v>1560</v>
      </c>
      <c r="C69" s="8" t="s">
        <v>563</v>
      </c>
      <c r="D69" s="3" t="s">
        <v>2892</v>
      </c>
      <c r="E69" s="8" t="s">
        <v>1573</v>
      </c>
      <c r="F69" s="8" t="s">
        <v>1021</v>
      </c>
      <c r="I69" s="8" t="s">
        <v>995</v>
      </c>
      <c r="J69" s="8" t="s">
        <v>996</v>
      </c>
      <c r="K69" s="8" t="s">
        <v>997</v>
      </c>
    </row>
    <row r="70" ht="12.75" customHeight="1">
      <c r="A70" s="8" t="s">
        <v>1705</v>
      </c>
      <c r="B70" s="8" t="s">
        <v>1708</v>
      </c>
      <c r="C70" s="8" t="s">
        <v>527</v>
      </c>
      <c r="D70" s="3" t="s">
        <v>2892</v>
      </c>
      <c r="E70" s="8" t="s">
        <v>1716</v>
      </c>
      <c r="F70" s="8" t="s">
        <v>1021</v>
      </c>
      <c r="I70" s="8" t="s">
        <v>995</v>
      </c>
      <c r="J70" s="8" t="s">
        <v>996</v>
      </c>
      <c r="K70" s="8" t="s">
        <v>997</v>
      </c>
    </row>
    <row r="71" ht="12.75" customHeight="1">
      <c r="A71" s="8" t="s">
        <v>2183</v>
      </c>
      <c r="B71" s="8" t="s">
        <v>2186</v>
      </c>
      <c r="C71" s="8" t="s">
        <v>716</v>
      </c>
      <c r="D71" s="3" t="s">
        <v>2892</v>
      </c>
      <c r="E71" s="8" t="s">
        <v>2197</v>
      </c>
      <c r="F71" s="8" t="s">
        <v>1021</v>
      </c>
      <c r="I71" s="8" t="s">
        <v>995</v>
      </c>
      <c r="J71" s="8" t="s">
        <v>996</v>
      </c>
      <c r="K71" s="8" t="s">
        <v>997</v>
      </c>
    </row>
    <row r="72" ht="12.75" customHeight="1">
      <c r="A72" s="8" t="s">
        <v>2491</v>
      </c>
      <c r="B72" s="8" t="s">
        <v>2494</v>
      </c>
      <c r="C72" s="8" t="s">
        <v>731</v>
      </c>
      <c r="D72" s="3" t="s">
        <v>2892</v>
      </c>
      <c r="E72" s="8" t="s">
        <v>2505</v>
      </c>
      <c r="F72" s="8" t="s">
        <v>1021</v>
      </c>
      <c r="I72" s="8" t="s">
        <v>995</v>
      </c>
      <c r="J72" s="8" t="s">
        <v>996</v>
      </c>
      <c r="K72" s="8" t="s">
        <v>997</v>
      </c>
    </row>
    <row r="73" ht="12.75" customHeight="1">
      <c r="A73" s="8" t="s">
        <v>2538</v>
      </c>
      <c r="B73" s="8" t="s">
        <v>2540</v>
      </c>
      <c r="C73" s="8" t="s">
        <v>818</v>
      </c>
      <c r="D73" s="3" t="s">
        <v>2892</v>
      </c>
      <c r="E73" s="8" t="s">
        <v>2553</v>
      </c>
      <c r="F73" s="8" t="s">
        <v>1021</v>
      </c>
      <c r="I73" s="8" t="s">
        <v>995</v>
      </c>
      <c r="J73" s="8" t="s">
        <v>996</v>
      </c>
      <c r="K73" s="8" t="s">
        <v>997</v>
      </c>
    </row>
    <row r="74" ht="12.75" customHeight="1">
      <c r="A74" s="8" t="s">
        <v>2694</v>
      </c>
      <c r="B74" s="8" t="s">
        <v>2698</v>
      </c>
      <c r="C74" s="8" t="s">
        <v>515</v>
      </c>
      <c r="D74" s="3" t="s">
        <v>2892</v>
      </c>
      <c r="E74" s="8" t="s">
        <v>2714</v>
      </c>
      <c r="F74" s="8" t="s">
        <v>1021</v>
      </c>
      <c r="I74" s="8" t="s">
        <v>995</v>
      </c>
      <c r="J74" s="8" t="s">
        <v>996</v>
      </c>
      <c r="K74" s="8" t="s">
        <v>997</v>
      </c>
    </row>
    <row r="75" ht="12.75" customHeight="1">
      <c r="A75" s="8" t="s">
        <v>1575</v>
      </c>
      <c r="B75" s="8" t="s">
        <v>1578</v>
      </c>
      <c r="C75" s="8" t="s">
        <v>566</v>
      </c>
      <c r="D75" s="3" t="s">
        <v>2892</v>
      </c>
      <c r="E75" s="8" t="s">
        <v>1585</v>
      </c>
      <c r="F75" s="8" t="s">
        <v>1021</v>
      </c>
      <c r="I75" s="8" t="s">
        <v>1586</v>
      </c>
    </row>
    <row r="76" ht="12.75" customHeight="1">
      <c r="A76" s="8" t="s">
        <v>2017</v>
      </c>
      <c r="B76" s="8" t="s">
        <v>2021</v>
      </c>
      <c r="C76" s="8" t="s">
        <v>836</v>
      </c>
      <c r="D76" s="3" t="s">
        <v>2892</v>
      </c>
      <c r="E76" s="8" t="s">
        <v>2036</v>
      </c>
      <c r="F76" s="8" t="s">
        <v>1021</v>
      </c>
      <c r="I76" s="8" t="s">
        <v>1586</v>
      </c>
    </row>
    <row r="77" ht="12.75" customHeight="1">
      <c r="A77" s="8" t="s">
        <v>1042</v>
      </c>
      <c r="B77" s="8" t="s">
        <v>1046</v>
      </c>
      <c r="C77" s="8" t="s">
        <v>617</v>
      </c>
      <c r="D77" s="3" t="s">
        <v>2892</v>
      </c>
      <c r="E77" s="8" t="s">
        <v>1059</v>
      </c>
      <c r="F77" s="8" t="s">
        <v>1021</v>
      </c>
      <c r="I77" s="8" t="s">
        <v>995</v>
      </c>
    </row>
    <row r="78" ht="12.75" customHeight="1">
      <c r="A78" s="8" t="s">
        <v>1119</v>
      </c>
      <c r="B78" s="8" t="s">
        <v>1123</v>
      </c>
      <c r="C78" s="8" t="s">
        <v>656</v>
      </c>
      <c r="D78" s="3" t="s">
        <v>2892</v>
      </c>
      <c r="E78" s="8" t="s">
        <v>1141</v>
      </c>
      <c r="F78" s="8" t="s">
        <v>1021</v>
      </c>
      <c r="I78" s="8" t="s">
        <v>995</v>
      </c>
    </row>
    <row r="79" ht="12.75" customHeight="1">
      <c r="A79" s="8" t="s">
        <v>1784</v>
      </c>
      <c r="B79" s="8" t="s">
        <v>1787</v>
      </c>
      <c r="C79" s="8" t="s">
        <v>701</v>
      </c>
      <c r="D79" s="3" t="s">
        <v>2892</v>
      </c>
      <c r="E79" s="8" t="s">
        <v>1795</v>
      </c>
      <c r="F79" s="8" t="s">
        <v>1021</v>
      </c>
      <c r="I79" s="8" t="s">
        <v>995</v>
      </c>
    </row>
    <row r="80" ht="12.75" customHeight="1">
      <c r="A80" s="8" t="s">
        <v>2089</v>
      </c>
      <c r="B80" s="8" t="s">
        <v>2093</v>
      </c>
      <c r="C80" s="8" t="s">
        <v>508</v>
      </c>
      <c r="D80" s="3" t="s">
        <v>2892</v>
      </c>
      <c r="E80" s="8" t="s">
        <v>2113</v>
      </c>
      <c r="F80" s="8" t="s">
        <v>1021</v>
      </c>
      <c r="I80" s="8" t="s">
        <v>995</v>
      </c>
    </row>
    <row r="81" ht="12.75" customHeight="1">
      <c r="A81" s="8" t="s">
        <v>2166</v>
      </c>
      <c r="B81" s="8" t="s">
        <v>2169</v>
      </c>
      <c r="C81" s="8" t="s">
        <v>530</v>
      </c>
      <c r="D81" s="3" t="s">
        <v>2892</v>
      </c>
      <c r="E81" s="8" t="s">
        <v>2180</v>
      </c>
      <c r="F81" s="8" t="s">
        <v>1021</v>
      </c>
      <c r="I81" s="8" t="s">
        <v>995</v>
      </c>
    </row>
    <row r="82" ht="12.75" customHeight="1">
      <c r="A82" s="8" t="s">
        <v>2308</v>
      </c>
      <c r="B82" s="8" t="s">
        <v>2312</v>
      </c>
      <c r="C82" s="8" t="s">
        <v>680</v>
      </c>
      <c r="D82" s="3" t="s">
        <v>2892</v>
      </c>
      <c r="E82" s="8" t="s">
        <v>2327</v>
      </c>
      <c r="F82" s="8" t="s">
        <v>1021</v>
      </c>
      <c r="I82" s="8" t="s">
        <v>995</v>
      </c>
    </row>
    <row r="83" ht="12.75" customHeight="1">
      <c r="A83" s="8" t="s">
        <v>2357</v>
      </c>
      <c r="B83" s="8" t="s">
        <v>2360</v>
      </c>
      <c r="C83" s="8" t="s">
        <v>2373</v>
      </c>
      <c r="D83" s="3" t="s">
        <v>2892</v>
      </c>
      <c r="E83" s="8" t="s">
        <v>2376</v>
      </c>
      <c r="F83" s="8" t="s">
        <v>1021</v>
      </c>
      <c r="I83" s="8" t="s">
        <v>995</v>
      </c>
    </row>
    <row r="84" ht="12.75" customHeight="1">
      <c r="A84" s="8" t="s">
        <v>2418</v>
      </c>
      <c r="B84" s="8" t="s">
        <v>2421</v>
      </c>
      <c r="C84" s="8" t="s">
        <v>533</v>
      </c>
      <c r="D84" s="3" t="s">
        <v>2892</v>
      </c>
      <c r="E84" s="8" t="s">
        <v>2431</v>
      </c>
      <c r="F84" s="8" t="s">
        <v>1021</v>
      </c>
      <c r="I84" s="8" t="s">
        <v>995</v>
      </c>
    </row>
    <row r="85" ht="12.75" customHeight="1">
      <c r="A85" s="8" t="s">
        <v>2574</v>
      </c>
      <c r="B85" s="8" t="s">
        <v>2577</v>
      </c>
      <c r="C85" s="8" t="s">
        <v>668</v>
      </c>
      <c r="D85" s="3" t="s">
        <v>2892</v>
      </c>
      <c r="E85" s="8" t="s">
        <v>2586</v>
      </c>
      <c r="F85" s="8" t="s">
        <v>1021</v>
      </c>
      <c r="I85" s="8" t="s">
        <v>995</v>
      </c>
    </row>
    <row r="86" ht="12.75" customHeight="1">
      <c r="A86" s="8" t="s">
        <v>2677</v>
      </c>
      <c r="B86" s="8" t="s">
        <v>2680</v>
      </c>
      <c r="C86" s="8" t="s">
        <v>554</v>
      </c>
      <c r="D86" s="3" t="s">
        <v>2892</v>
      </c>
      <c r="E86" s="8" t="s">
        <v>2691</v>
      </c>
      <c r="F86" s="8" t="s">
        <v>1021</v>
      </c>
      <c r="I86" s="8" t="s">
        <v>995</v>
      </c>
    </row>
    <row r="87" ht="12.75" customHeight="1">
      <c r="A87" s="8" t="s">
        <v>2772</v>
      </c>
      <c r="B87" s="8" t="s">
        <v>2774</v>
      </c>
      <c r="C87" s="8" t="s">
        <v>830</v>
      </c>
      <c r="D87" s="3" t="s">
        <v>2892</v>
      </c>
      <c r="E87" s="8" t="s">
        <v>2787</v>
      </c>
      <c r="F87" s="8" t="s">
        <v>1021</v>
      </c>
      <c r="I87" s="8" t="s">
        <v>995</v>
      </c>
    </row>
    <row r="88" ht="12.75" customHeight="1">
      <c r="A88" s="8" t="s">
        <v>999</v>
      </c>
      <c r="B88" s="8" t="s">
        <v>1003</v>
      </c>
      <c r="C88" s="8" t="s">
        <v>620</v>
      </c>
      <c r="D88" s="3" t="s">
        <v>2892</v>
      </c>
      <c r="E88" s="8" t="s">
        <v>1020</v>
      </c>
      <c r="F88" s="8" t="s">
        <v>1021</v>
      </c>
      <c r="I88" s="8" t="s">
        <v>1022</v>
      </c>
    </row>
    <row r="89" ht="12.75" customHeight="1">
      <c r="A89" s="8" t="s">
        <v>1272</v>
      </c>
      <c r="B89" s="8" t="s">
        <v>1275</v>
      </c>
      <c r="C89" s="8" t="s">
        <v>677</v>
      </c>
      <c r="D89" s="3" t="s">
        <v>2892</v>
      </c>
      <c r="E89" s="8" t="s">
        <v>1288</v>
      </c>
      <c r="F89" s="8" t="s">
        <v>1021</v>
      </c>
      <c r="I89" s="8" t="s">
        <v>1022</v>
      </c>
    </row>
    <row r="90" ht="12.75" customHeight="1">
      <c r="A90" s="8" t="s">
        <v>1290</v>
      </c>
      <c r="B90" s="8" t="s">
        <v>1293</v>
      </c>
      <c r="C90" s="8" t="s">
        <v>683</v>
      </c>
      <c r="D90" s="3" t="s">
        <v>2892</v>
      </c>
      <c r="E90" s="8" t="s">
        <v>1302</v>
      </c>
      <c r="F90" s="8" t="s">
        <v>1021</v>
      </c>
      <c r="I90" s="8" t="s">
        <v>1022</v>
      </c>
    </row>
    <row r="91" ht="12.75" customHeight="1">
      <c r="A91" s="8" t="s">
        <v>1376</v>
      </c>
      <c r="B91" s="8" t="s">
        <v>1380</v>
      </c>
      <c r="C91" s="8" t="s">
        <v>635</v>
      </c>
      <c r="D91" s="3" t="s">
        <v>2892</v>
      </c>
      <c r="E91" s="8" t="s">
        <v>1396</v>
      </c>
      <c r="F91" s="8" t="s">
        <v>1021</v>
      </c>
      <c r="I91" s="8" t="s">
        <v>1022</v>
      </c>
    </row>
    <row r="92" ht="12.75" customHeight="1">
      <c r="A92" s="8" t="s">
        <v>1503</v>
      </c>
      <c r="B92" s="8" t="s">
        <v>1507</v>
      </c>
      <c r="C92" s="8" t="s">
        <v>575</v>
      </c>
      <c r="D92" s="3" t="s">
        <v>2892</v>
      </c>
      <c r="E92" s="8" t="s">
        <v>1522</v>
      </c>
      <c r="F92" s="8" t="s">
        <v>1021</v>
      </c>
      <c r="I92" s="8" t="s">
        <v>1022</v>
      </c>
    </row>
    <row r="93" ht="12.75" customHeight="1">
      <c r="A93" s="8" t="s">
        <v>1629</v>
      </c>
      <c r="B93" s="8" t="s">
        <v>1632</v>
      </c>
      <c r="C93" s="8" t="s">
        <v>695</v>
      </c>
      <c r="D93" s="3" t="s">
        <v>2892</v>
      </c>
      <c r="E93" s="8" t="s">
        <v>1641</v>
      </c>
      <c r="F93" s="8" t="s">
        <v>1021</v>
      </c>
      <c r="I93" s="8" t="s">
        <v>1022</v>
      </c>
    </row>
    <row r="94" ht="12.75" customHeight="1">
      <c r="A94" s="8" t="s">
        <v>1644</v>
      </c>
      <c r="B94" s="8" t="s">
        <v>1648</v>
      </c>
      <c r="C94" s="8" t="s">
        <v>521</v>
      </c>
      <c r="D94" s="3" t="s">
        <v>2892</v>
      </c>
      <c r="E94" s="8" t="s">
        <v>1658</v>
      </c>
      <c r="F94" s="8" t="s">
        <v>1021</v>
      </c>
      <c r="I94" s="8" t="s">
        <v>1022</v>
      </c>
    </row>
    <row r="95" ht="12.75" customHeight="1">
      <c r="A95" s="8" t="s">
        <v>1661</v>
      </c>
      <c r="B95" s="8" t="s">
        <v>1665</v>
      </c>
      <c r="C95" s="8" t="s">
        <v>578</v>
      </c>
      <c r="D95" s="3" t="s">
        <v>2892</v>
      </c>
      <c r="E95" s="8" t="s">
        <v>1678</v>
      </c>
      <c r="F95" s="8" t="s">
        <v>1021</v>
      </c>
      <c r="I95" s="8" t="s">
        <v>1022</v>
      </c>
    </row>
    <row r="96" ht="12.75" customHeight="1">
      <c r="A96" s="8" t="s">
        <v>1825</v>
      </c>
      <c r="B96" s="8" t="s">
        <v>1829</v>
      </c>
      <c r="C96" s="8" t="s">
        <v>851</v>
      </c>
      <c r="D96" s="3" t="s">
        <v>2892</v>
      </c>
      <c r="E96" s="8" t="s">
        <v>1843</v>
      </c>
      <c r="F96" s="8" t="s">
        <v>1021</v>
      </c>
      <c r="I96" s="8" t="s">
        <v>1022</v>
      </c>
    </row>
    <row r="97" ht="12.75" customHeight="1">
      <c r="A97" s="8" t="s">
        <v>1928</v>
      </c>
      <c r="B97" s="8" t="s">
        <v>1932</v>
      </c>
      <c r="C97" s="8" t="s">
        <v>653</v>
      </c>
      <c r="D97" s="3" t="s">
        <v>2892</v>
      </c>
      <c r="E97" s="8" t="s">
        <v>1947</v>
      </c>
      <c r="F97" s="8" t="s">
        <v>1021</v>
      </c>
      <c r="I97" s="8" t="s">
        <v>1022</v>
      </c>
    </row>
    <row r="98" ht="12.75" customHeight="1">
      <c r="A98" s="8" t="s">
        <v>2072</v>
      </c>
      <c r="B98" s="8" t="s">
        <v>2074</v>
      </c>
      <c r="C98" s="8" t="s">
        <v>782</v>
      </c>
      <c r="D98" s="3" t="s">
        <v>2892</v>
      </c>
      <c r="E98" s="8" t="s">
        <v>2086</v>
      </c>
      <c r="F98" s="8" t="s">
        <v>1021</v>
      </c>
      <c r="I98" s="8" t="s">
        <v>1022</v>
      </c>
    </row>
    <row r="99" ht="12.75" customHeight="1">
      <c r="A99" s="8" t="s">
        <v>2116</v>
      </c>
      <c r="B99" s="8" t="s">
        <v>2119</v>
      </c>
      <c r="C99" s="8" t="s">
        <v>713</v>
      </c>
      <c r="D99" s="3" t="s">
        <v>2892</v>
      </c>
      <c r="E99" s="8" t="s">
        <v>2130</v>
      </c>
      <c r="F99" s="8" t="s">
        <v>1021</v>
      </c>
      <c r="I99" s="8" t="s">
        <v>1022</v>
      </c>
    </row>
    <row r="100" ht="12.75" customHeight="1">
      <c r="A100" s="8" t="s">
        <v>2239</v>
      </c>
      <c r="B100" s="8" t="s">
        <v>2242</v>
      </c>
      <c r="C100" s="8" t="s">
        <v>722</v>
      </c>
      <c r="D100" s="3" t="s">
        <v>2892</v>
      </c>
      <c r="E100" s="8" t="s">
        <v>2253</v>
      </c>
      <c r="F100" s="8" t="s">
        <v>1021</v>
      </c>
      <c r="I100" s="8" t="s">
        <v>1022</v>
      </c>
    </row>
    <row r="101" ht="12.75" customHeight="1">
      <c r="A101" s="8" t="s">
        <v>2273</v>
      </c>
      <c r="B101" s="8" t="s">
        <v>2276</v>
      </c>
      <c r="C101" s="8" t="s">
        <v>758</v>
      </c>
      <c r="D101" s="3" t="s">
        <v>2892</v>
      </c>
      <c r="E101" s="8" t="s">
        <v>2287</v>
      </c>
      <c r="F101" s="8" t="s">
        <v>1021</v>
      </c>
      <c r="I101" s="8" t="s">
        <v>1022</v>
      </c>
    </row>
    <row r="102" ht="12.75" customHeight="1">
      <c r="A102" s="8" t="s">
        <v>2521</v>
      </c>
      <c r="B102" s="8" t="s">
        <v>2523</v>
      </c>
      <c r="C102" s="8" t="s">
        <v>2533</v>
      </c>
      <c r="D102" s="3" t="s">
        <v>2892</v>
      </c>
      <c r="E102" s="8" t="s">
        <v>2535</v>
      </c>
      <c r="F102" s="8" t="s">
        <v>1021</v>
      </c>
      <c r="I102" s="8" t="s">
        <v>1022</v>
      </c>
    </row>
    <row r="103" ht="12.75" customHeight="1">
      <c r="A103" s="8" t="s">
        <v>2624</v>
      </c>
      <c r="B103" s="8" t="s">
        <v>2628</v>
      </c>
      <c r="C103" s="8" t="s">
        <v>542</v>
      </c>
      <c r="D103" s="3" t="s">
        <v>2892</v>
      </c>
      <c r="E103" s="8" t="s">
        <v>2640</v>
      </c>
      <c r="F103" s="8" t="s">
        <v>1021</v>
      </c>
      <c r="I103" s="8" t="s">
        <v>1022</v>
      </c>
    </row>
    <row r="104" ht="12.75" customHeight="1">
      <c r="A104" s="8" t="s">
        <v>2841</v>
      </c>
      <c r="B104" s="8" t="s">
        <v>2844</v>
      </c>
      <c r="C104" s="8" t="s">
        <v>842</v>
      </c>
      <c r="D104" s="3" t="s">
        <v>2892</v>
      </c>
      <c r="E104" s="8" t="s">
        <v>2851</v>
      </c>
      <c r="F104" s="8" t="s">
        <v>1021</v>
      </c>
      <c r="I104" s="8" t="s">
        <v>1022</v>
      </c>
    </row>
    <row r="105" ht="12.75" customHeight="1">
      <c r="A105" s="8" t="s">
        <v>1589</v>
      </c>
      <c r="B105" s="8" t="s">
        <v>1592</v>
      </c>
      <c r="C105" s="14" t="s">
        <v>692</v>
      </c>
      <c r="D105" s="3" t="s">
        <v>2892</v>
      </c>
      <c r="E105" s="8" t="s">
        <v>1599</v>
      </c>
      <c r="I105" s="8" t="s">
        <v>995</v>
      </c>
      <c r="J105" s="8" t="s">
        <v>996</v>
      </c>
      <c r="K105" s="8" t="s">
        <v>997</v>
      </c>
    </row>
    <row r="106" ht="12.75" customHeight="1">
      <c r="A106" s="8" t="s">
        <v>2508</v>
      </c>
      <c r="B106" s="8" t="s">
        <v>2510</v>
      </c>
      <c r="C106" s="8" t="s">
        <v>644</v>
      </c>
      <c r="D106" s="3" t="s">
        <v>2892</v>
      </c>
      <c r="E106" s="8" t="s">
        <v>2518</v>
      </c>
      <c r="I106" s="8" t="s">
        <v>995</v>
      </c>
      <c r="J106" s="8" t="s">
        <v>996</v>
      </c>
      <c r="K106" s="8" t="s">
        <v>997</v>
      </c>
    </row>
    <row r="107" ht="12.75" customHeight="1">
      <c r="A107" s="8" t="s">
        <v>1325</v>
      </c>
      <c r="B107" s="8" t="s">
        <v>1329</v>
      </c>
      <c r="C107" s="8" t="s">
        <v>674</v>
      </c>
      <c r="D107" s="3" t="s">
        <v>2892</v>
      </c>
      <c r="E107" s="8" t="s">
        <v>1342</v>
      </c>
      <c r="I107" s="8" t="s">
        <v>995</v>
      </c>
    </row>
    <row r="108" ht="12.75" customHeight="1">
      <c r="A108" s="8" t="s">
        <v>2807</v>
      </c>
      <c r="B108" s="8" t="s">
        <v>2810</v>
      </c>
      <c r="C108" s="8" t="s">
        <v>794</v>
      </c>
      <c r="D108" s="3" t="s">
        <v>2892</v>
      </c>
      <c r="E108" s="8" t="s">
        <v>2821</v>
      </c>
      <c r="I108" s="8" t="s">
        <v>995</v>
      </c>
    </row>
    <row r="109" ht="12.75" customHeight="1">
      <c r="A109" s="8" t="s">
        <v>2556</v>
      </c>
      <c r="B109" s="8" t="s">
        <v>2558</v>
      </c>
      <c r="C109" s="8" t="s">
        <v>821</v>
      </c>
      <c r="D109" s="3" t="s">
        <v>2892</v>
      </c>
      <c r="E109" s="8" t="s">
        <v>2571</v>
      </c>
    </row>
    <row r="110" ht="12.75" customHeight="1">
      <c r="A110" s="8" t="s">
        <v>2589</v>
      </c>
      <c r="B110" s="8" t="s">
        <v>2592</v>
      </c>
      <c r="C110" s="8" t="s">
        <v>791</v>
      </c>
      <c r="D110" s="3" t="s">
        <v>2892</v>
      </c>
      <c r="E110" s="8" t="s">
        <v>2604</v>
      </c>
    </row>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K$1000">
    <sortState ref="A1:K1000">
      <sortCondition ref="F1:F1000"/>
      <sortCondition ref="K1:K1000"/>
      <sortCondition ref="J1:J1000"/>
      <sortCondition ref="I1:I1000"/>
      <sortCondition ref="H1:H1000"/>
      <sortCondition ref="G1:G1000"/>
      <sortCondition ref="E1:E1000"/>
    </sortState>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8.5"/>
  </cols>
  <sheetData>
    <row r="2">
      <c r="D2" s="8" t="s">
        <v>67</v>
      </c>
      <c r="F2" s="8" t="s">
        <v>67</v>
      </c>
    </row>
    <row r="3">
      <c r="D3" s="8" t="s">
        <v>33</v>
      </c>
      <c r="F3" s="8" t="s">
        <v>33</v>
      </c>
    </row>
    <row r="4">
      <c r="D4" s="8" t="s">
        <v>56</v>
      </c>
      <c r="F4" s="8" t="s">
        <v>56</v>
      </c>
    </row>
    <row r="5">
      <c r="D5" s="8" t="s">
        <v>51</v>
      </c>
      <c r="F5" s="8" t="s">
        <v>51</v>
      </c>
      <c r="I5" s="4" t="s">
        <v>2893</v>
      </c>
      <c r="J5" s="4" t="s">
        <v>963</v>
      </c>
      <c r="K5" s="4" t="s">
        <v>964</v>
      </c>
      <c r="L5" s="4" t="s">
        <v>965</v>
      </c>
    </row>
    <row r="6">
      <c r="D6" s="8" t="s">
        <v>209</v>
      </c>
      <c r="F6" s="3" t="s">
        <v>240</v>
      </c>
      <c r="I6" s="4" t="s">
        <v>240</v>
      </c>
      <c r="J6" s="4" t="s">
        <v>2894</v>
      </c>
      <c r="K6" s="4" t="s">
        <v>2895</v>
      </c>
      <c r="L6" s="4" t="s">
        <v>2896</v>
      </c>
      <c r="M6" s="8" t="s">
        <v>2897</v>
      </c>
    </row>
    <row r="7">
      <c r="D7" s="8" t="s">
        <v>135</v>
      </c>
      <c r="F7" s="3" t="s">
        <v>40</v>
      </c>
      <c r="I7" s="4" t="s">
        <v>135</v>
      </c>
      <c r="J7" s="4" t="s">
        <v>2894</v>
      </c>
      <c r="K7" s="15"/>
      <c r="L7" s="15"/>
      <c r="M7" s="8" t="s">
        <v>2898</v>
      </c>
    </row>
    <row r="8">
      <c r="D8" s="8" t="s">
        <v>40</v>
      </c>
      <c r="I8" s="4" t="s">
        <v>81</v>
      </c>
      <c r="J8" s="4" t="s">
        <v>2894</v>
      </c>
      <c r="K8" s="4" t="s">
        <v>2895</v>
      </c>
      <c r="L8" s="4" t="s">
        <v>2899</v>
      </c>
      <c r="M8" s="8" t="s">
        <v>2900</v>
      </c>
    </row>
    <row r="9">
      <c r="D9" s="8" t="s">
        <v>257</v>
      </c>
      <c r="I9" s="4" t="s">
        <v>67</v>
      </c>
      <c r="J9" s="15"/>
      <c r="K9" s="15"/>
      <c r="L9" s="15"/>
      <c r="M9" s="3" t="s">
        <v>2901</v>
      </c>
    </row>
    <row r="10">
      <c r="D10" s="8" t="s">
        <v>81</v>
      </c>
      <c r="I10" s="4" t="s">
        <v>33</v>
      </c>
      <c r="J10" s="4" t="s">
        <v>2894</v>
      </c>
      <c r="K10" s="15"/>
      <c r="L10" s="15"/>
      <c r="M10" s="8" t="s">
        <v>2902</v>
      </c>
    </row>
    <row r="11">
      <c r="D11" s="8" t="s">
        <v>296</v>
      </c>
      <c r="I11" s="4" t="s">
        <v>56</v>
      </c>
      <c r="J11" s="4" t="s">
        <v>2894</v>
      </c>
      <c r="K11" s="4" t="s">
        <v>2895</v>
      </c>
      <c r="L11" s="4" t="s">
        <v>2903</v>
      </c>
      <c r="M11" s="8" t="s">
        <v>2904</v>
      </c>
    </row>
    <row r="12">
      <c r="D12" s="8" t="s">
        <v>128</v>
      </c>
      <c r="I12" s="16" t="s">
        <v>51</v>
      </c>
      <c r="J12" s="4" t="s">
        <v>2905</v>
      </c>
      <c r="K12" s="15"/>
      <c r="L12" s="15"/>
      <c r="M12" s="8" t="s">
        <v>2906</v>
      </c>
    </row>
    <row r="13">
      <c r="D13" s="8" t="s">
        <v>118</v>
      </c>
      <c r="I13" s="16" t="s">
        <v>40</v>
      </c>
      <c r="J13" s="4" t="s">
        <v>2894</v>
      </c>
      <c r="K13" s="4" t="s">
        <v>2895</v>
      </c>
      <c r="L13" s="15"/>
      <c r="M13" s="8" t="s">
        <v>2907</v>
      </c>
    </row>
    <row r="14">
      <c r="D14" s="8" t="s">
        <v>243</v>
      </c>
      <c r="I14" s="4" t="s">
        <v>171</v>
      </c>
      <c r="J14" s="4" t="s">
        <v>2894</v>
      </c>
      <c r="K14" s="4" t="s">
        <v>2895</v>
      </c>
      <c r="L14" s="15"/>
      <c r="M14" s="8" t="s">
        <v>2908</v>
      </c>
    </row>
    <row r="15">
      <c r="D15" s="8" t="s">
        <v>240</v>
      </c>
    </row>
    <row r="16">
      <c r="D16" s="8" t="s">
        <v>114</v>
      </c>
    </row>
    <row r="17">
      <c r="D17" s="8" t="s">
        <v>96</v>
      </c>
    </row>
    <row r="18">
      <c r="D18" s="8" t="s">
        <v>72</v>
      </c>
    </row>
    <row r="19">
      <c r="D19" s="8" t="s">
        <v>88</v>
      </c>
    </row>
    <row r="20">
      <c r="D20" s="8" t="s">
        <v>171</v>
      </c>
    </row>
    <row r="21">
      <c r="D21" s="8" t="s">
        <v>47</v>
      </c>
    </row>
    <row r="22">
      <c r="D22" s="8" t="s">
        <v>93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0" width="8.0"/>
    <col customWidth="1" min="71" max="71" width="20.0"/>
    <col customWidth="1" min="72" max="72" width="16.0"/>
    <col customWidth="1" min="73" max="75" width="23.13"/>
    <col customWidth="1" min="76" max="77" width="27.38"/>
  </cols>
  <sheetData>
    <row r="1" ht="12.75" customHeight="1">
      <c r="A1" s="8" t="s">
        <v>891</v>
      </c>
      <c r="B1" s="8" t="s">
        <v>23</v>
      </c>
      <c r="C1" s="8" t="s">
        <v>892</v>
      </c>
      <c r="D1" s="8" t="s">
        <v>893</v>
      </c>
      <c r="E1" s="8" t="s">
        <v>894</v>
      </c>
      <c r="F1" s="8" t="s">
        <v>895</v>
      </c>
      <c r="G1" s="8" t="s">
        <v>896</v>
      </c>
      <c r="H1" s="8" t="s">
        <v>897</v>
      </c>
      <c r="I1" s="8" t="s">
        <v>898</v>
      </c>
      <c r="J1" s="8" t="s">
        <v>899</v>
      </c>
      <c r="K1" s="8" t="s">
        <v>900</v>
      </c>
      <c r="L1" s="8" t="s">
        <v>901</v>
      </c>
      <c r="M1" s="8" t="s">
        <v>902</v>
      </c>
      <c r="N1" s="8" t="s">
        <v>903</v>
      </c>
      <c r="O1" s="8" t="s">
        <v>904</v>
      </c>
      <c r="P1" s="8" t="s">
        <v>905</v>
      </c>
      <c r="Q1" s="8" t="s">
        <v>906</v>
      </c>
      <c r="R1" s="8" t="s">
        <v>907</v>
      </c>
      <c r="S1" s="8" t="s">
        <v>908</v>
      </c>
      <c r="T1" s="8" t="s">
        <v>909</v>
      </c>
      <c r="U1" s="8" t="s">
        <v>910</v>
      </c>
      <c r="V1" s="8" t="s">
        <v>911</v>
      </c>
      <c r="W1" s="8" t="s">
        <v>912</v>
      </c>
      <c r="X1" s="8" t="s">
        <v>913</v>
      </c>
      <c r="Y1" s="8" t="s">
        <v>914</v>
      </c>
      <c r="Z1" s="8" t="s">
        <v>915</v>
      </c>
      <c r="AA1" s="8" t="s">
        <v>916</v>
      </c>
      <c r="AB1" s="8" t="s">
        <v>917</v>
      </c>
      <c r="AC1" s="8" t="s">
        <v>918</v>
      </c>
      <c r="AD1" s="8" t="s">
        <v>919</v>
      </c>
      <c r="AE1" s="8" t="s">
        <v>920</v>
      </c>
      <c r="AF1" s="8" t="s">
        <v>921</v>
      </c>
      <c r="AG1" s="8" t="s">
        <v>922</v>
      </c>
      <c r="AH1" s="8" t="s">
        <v>923</v>
      </c>
      <c r="AI1" s="8" t="s">
        <v>924</v>
      </c>
      <c r="AJ1" s="8" t="s">
        <v>925</v>
      </c>
      <c r="AK1" s="8" t="s">
        <v>926</v>
      </c>
      <c r="AL1" s="8" t="s">
        <v>927</v>
      </c>
      <c r="AM1" s="8" t="s">
        <v>928</v>
      </c>
      <c r="AN1" s="8" t="s">
        <v>929</v>
      </c>
      <c r="AO1" s="8" t="s">
        <v>930</v>
      </c>
      <c r="AP1" s="8" t="s">
        <v>931</v>
      </c>
      <c r="AQ1" s="8" t="s">
        <v>932</v>
      </c>
      <c r="AR1" s="8" t="s">
        <v>933</v>
      </c>
      <c r="AS1" s="8" t="s">
        <v>934</v>
      </c>
      <c r="AT1" s="8" t="s">
        <v>935</v>
      </c>
      <c r="AU1" s="8" t="s">
        <v>936</v>
      </c>
      <c r="AV1" s="8" t="s">
        <v>937</v>
      </c>
      <c r="AW1" s="8" t="s">
        <v>938</v>
      </c>
      <c r="AX1" s="8" t="s">
        <v>939</v>
      </c>
      <c r="AY1" s="8" t="s">
        <v>940</v>
      </c>
      <c r="AZ1" s="8" t="s">
        <v>941</v>
      </c>
      <c r="BA1" s="8" t="s">
        <v>942</v>
      </c>
      <c r="BB1" s="8" t="s">
        <v>943</v>
      </c>
      <c r="BC1" s="8" t="s">
        <v>944</v>
      </c>
      <c r="BD1" s="8" t="s">
        <v>945</v>
      </c>
      <c r="BE1" s="17" t="s">
        <v>503</v>
      </c>
      <c r="BF1" s="8" t="s">
        <v>946</v>
      </c>
      <c r="BG1" s="8" t="s">
        <v>947</v>
      </c>
      <c r="BH1" s="8" t="s">
        <v>948</v>
      </c>
      <c r="BI1" s="8" t="s">
        <v>949</v>
      </c>
      <c r="BJ1" s="8" t="s">
        <v>950</v>
      </c>
      <c r="BK1" s="8" t="s">
        <v>951</v>
      </c>
      <c r="BL1" s="8" t="s">
        <v>952</v>
      </c>
      <c r="BM1" s="8" t="s">
        <v>953</v>
      </c>
      <c r="BN1" s="8" t="s">
        <v>954</v>
      </c>
      <c r="BO1" s="8" t="s">
        <v>955</v>
      </c>
      <c r="BP1" s="8" t="s">
        <v>956</v>
      </c>
      <c r="BQ1" s="8" t="s">
        <v>957</v>
      </c>
      <c r="BR1" s="8" t="s">
        <v>958</v>
      </c>
      <c r="BS1" s="8" t="s">
        <v>959</v>
      </c>
      <c r="BT1" s="12" t="s">
        <v>960</v>
      </c>
      <c r="BU1" s="12" t="s">
        <v>961</v>
      </c>
      <c r="BV1" s="12" t="s">
        <v>962</v>
      </c>
      <c r="BW1" s="12" t="s">
        <v>26</v>
      </c>
      <c r="BX1" s="12" t="s">
        <v>2909</v>
      </c>
      <c r="BY1" s="8" t="s">
        <v>966</v>
      </c>
    </row>
    <row r="2" ht="12.75" customHeight="1">
      <c r="A2" s="8" t="s">
        <v>967</v>
      </c>
      <c r="B2" s="8" t="s">
        <v>2805</v>
      </c>
      <c r="C2" s="8" t="s">
        <v>969</v>
      </c>
      <c r="D2" s="8" t="s">
        <v>969</v>
      </c>
      <c r="E2" s="8" t="s">
        <v>969</v>
      </c>
      <c r="F2" s="8" t="s">
        <v>2806</v>
      </c>
      <c r="G2" s="8" t="s">
        <v>969</v>
      </c>
      <c r="H2" s="8" t="s">
        <v>969</v>
      </c>
      <c r="I2" s="8" t="s">
        <v>2807</v>
      </c>
      <c r="J2" s="8" t="s">
        <v>1000</v>
      </c>
      <c r="K2" s="8" t="s">
        <v>969</v>
      </c>
      <c r="L2" s="8" t="s">
        <v>969</v>
      </c>
      <c r="M2" s="8" t="s">
        <v>972</v>
      </c>
      <c r="N2" s="8" t="s">
        <v>973</v>
      </c>
      <c r="O2" s="8" t="s">
        <v>969</v>
      </c>
      <c r="P2" s="8" t="s">
        <v>969</v>
      </c>
      <c r="Q2" s="8" t="s">
        <v>969</v>
      </c>
      <c r="R2" s="8" t="s">
        <v>969</v>
      </c>
      <c r="S2" s="8" t="s">
        <v>969</v>
      </c>
      <c r="T2" s="8" t="s">
        <v>2808</v>
      </c>
      <c r="U2" s="8" t="s">
        <v>2809</v>
      </c>
      <c r="V2" s="8" t="s">
        <v>2810</v>
      </c>
      <c r="W2" s="8" t="s">
        <v>2811</v>
      </c>
      <c r="X2" s="8" t="s">
        <v>2812</v>
      </c>
      <c r="Y2" s="8" t="s">
        <v>2813</v>
      </c>
      <c r="Z2" s="8" t="s">
        <v>2814</v>
      </c>
      <c r="AA2" s="8" t="s">
        <v>2910</v>
      </c>
      <c r="AB2" s="8" t="s">
        <v>2911</v>
      </c>
      <c r="AC2" s="8" t="s">
        <v>2817</v>
      </c>
      <c r="AD2" s="8" t="s">
        <v>2818</v>
      </c>
      <c r="AE2" s="8" t="s">
        <v>2819</v>
      </c>
      <c r="AF2" s="8" t="s">
        <v>969</v>
      </c>
      <c r="AG2" s="8">
        <v>87.0</v>
      </c>
      <c r="AH2" s="8">
        <v>37.0</v>
      </c>
      <c r="AI2" s="8">
        <v>40.0</v>
      </c>
      <c r="AJ2" s="8">
        <v>2.0</v>
      </c>
      <c r="AK2" s="8">
        <v>83.0</v>
      </c>
      <c r="AL2" s="8" t="s">
        <v>1091</v>
      </c>
      <c r="AM2" s="8" t="s">
        <v>1092</v>
      </c>
      <c r="AN2" s="8" t="s">
        <v>1093</v>
      </c>
      <c r="AO2" s="8" t="s">
        <v>1013</v>
      </c>
      <c r="AP2" s="8" t="s">
        <v>2602</v>
      </c>
      <c r="AQ2" s="8" t="s">
        <v>969</v>
      </c>
      <c r="AR2" s="8" t="s">
        <v>1014</v>
      </c>
      <c r="AS2" s="8" t="s">
        <v>1015</v>
      </c>
      <c r="AT2" s="8" t="s">
        <v>1096</v>
      </c>
      <c r="AU2" s="8">
        <v>2014.0</v>
      </c>
      <c r="AV2" s="8">
        <v>41.0</v>
      </c>
      <c r="AW2" s="8">
        <v>7.0</v>
      </c>
      <c r="AX2" s="8" t="s">
        <v>969</v>
      </c>
      <c r="AY2" s="8" t="s">
        <v>969</v>
      </c>
      <c r="AZ2" s="8" t="s">
        <v>969</v>
      </c>
      <c r="BA2" s="8" t="s">
        <v>969</v>
      </c>
      <c r="BB2" s="8">
        <v>1352.0</v>
      </c>
      <c r="BC2" s="8">
        <v>1366.0</v>
      </c>
      <c r="BD2" s="8" t="s">
        <v>969</v>
      </c>
      <c r="BE2" s="8" t="s">
        <v>794</v>
      </c>
      <c r="BF2" s="13" t="str">
        <f>HYPERLINK("http://dx.doi.org/10.1111/jbi.12289","http://dx.doi.org/10.1111/jbi.12289")</f>
        <v>http://dx.doi.org/10.1111/jbi.12289</v>
      </c>
      <c r="BG2" s="8" t="s">
        <v>969</v>
      </c>
      <c r="BH2" s="8" t="s">
        <v>969</v>
      </c>
      <c r="BI2" s="8">
        <v>15.0</v>
      </c>
      <c r="BJ2" s="8" t="s">
        <v>1017</v>
      </c>
      <c r="BK2" s="8" t="s">
        <v>988</v>
      </c>
      <c r="BL2" s="8" t="s">
        <v>1018</v>
      </c>
      <c r="BM2" s="8" t="s">
        <v>2820</v>
      </c>
      <c r="BN2" s="8" t="s">
        <v>969</v>
      </c>
      <c r="BO2" s="8" t="s">
        <v>969</v>
      </c>
      <c r="BP2" s="8" t="s">
        <v>969</v>
      </c>
      <c r="BQ2" s="8" t="s">
        <v>969</v>
      </c>
      <c r="BR2" s="8" t="s">
        <v>2912</v>
      </c>
      <c r="BS2" s="8" t="s">
        <v>2821</v>
      </c>
      <c r="BT2" s="8" t="s">
        <v>183</v>
      </c>
      <c r="BW2" s="8" t="s">
        <v>33</v>
      </c>
      <c r="BX2" s="3">
        <v>0.0</v>
      </c>
      <c r="BY2" s="8" t="str">
        <f>HYPERLINK("https%3A%2F%2Fwww.webofscience.com%2Fwos%2Fwoscc%2Ffull-record%2FWOS:000337615500011","View Full Record in Web of Science")</f>
        <v>View Full Record in Web of Science</v>
      </c>
    </row>
    <row r="3" ht="12.75" customHeight="1">
      <c r="A3" s="8" t="s">
        <v>967</v>
      </c>
      <c r="B3" s="8" t="s">
        <v>2587</v>
      </c>
      <c r="C3" s="8" t="s">
        <v>969</v>
      </c>
      <c r="D3" s="8" t="s">
        <v>969</v>
      </c>
      <c r="E3" s="8" t="s">
        <v>969</v>
      </c>
      <c r="F3" s="8" t="s">
        <v>2588</v>
      </c>
      <c r="G3" s="8" t="s">
        <v>969</v>
      </c>
      <c r="H3" s="8" t="s">
        <v>969</v>
      </c>
      <c r="I3" s="8" t="s">
        <v>2589</v>
      </c>
      <c r="J3" s="8" t="s">
        <v>1000</v>
      </c>
      <c r="K3" s="8" t="s">
        <v>969</v>
      </c>
      <c r="L3" s="8" t="s">
        <v>969</v>
      </c>
      <c r="M3" s="8" t="s">
        <v>972</v>
      </c>
      <c r="N3" s="8" t="s">
        <v>973</v>
      </c>
      <c r="O3" s="8" t="s">
        <v>969</v>
      </c>
      <c r="P3" s="8" t="s">
        <v>969</v>
      </c>
      <c r="Q3" s="8" t="s">
        <v>969</v>
      </c>
      <c r="R3" s="8" t="s">
        <v>969</v>
      </c>
      <c r="S3" s="8" t="s">
        <v>969</v>
      </c>
      <c r="T3" s="8" t="s">
        <v>2590</v>
      </c>
      <c r="U3" s="8" t="s">
        <v>2591</v>
      </c>
      <c r="V3" s="8" t="s">
        <v>2592</v>
      </c>
      <c r="W3" s="8" t="s">
        <v>2593</v>
      </c>
      <c r="X3" s="8" t="s">
        <v>2913</v>
      </c>
      <c r="Y3" s="8" t="s">
        <v>2595</v>
      </c>
      <c r="Z3" s="8" t="s">
        <v>2596</v>
      </c>
      <c r="AA3" s="8" t="s">
        <v>2914</v>
      </c>
      <c r="AB3" s="8" t="s">
        <v>2915</v>
      </c>
      <c r="AC3" s="8" t="s">
        <v>2599</v>
      </c>
      <c r="AD3" s="8" t="s">
        <v>2600</v>
      </c>
      <c r="AE3" s="8" t="s">
        <v>2601</v>
      </c>
      <c r="AF3" s="8" t="s">
        <v>969</v>
      </c>
      <c r="AG3" s="8">
        <v>52.0</v>
      </c>
      <c r="AH3" s="8">
        <v>102.0</v>
      </c>
      <c r="AI3" s="8">
        <v>106.0</v>
      </c>
      <c r="AJ3" s="8">
        <v>5.0</v>
      </c>
      <c r="AK3" s="8">
        <v>167.0</v>
      </c>
      <c r="AL3" s="8" t="s">
        <v>1091</v>
      </c>
      <c r="AM3" s="8" t="s">
        <v>1092</v>
      </c>
      <c r="AN3" s="8" t="s">
        <v>1093</v>
      </c>
      <c r="AO3" s="8" t="s">
        <v>1013</v>
      </c>
      <c r="AP3" s="8" t="s">
        <v>2602</v>
      </c>
      <c r="AQ3" s="8" t="s">
        <v>969</v>
      </c>
      <c r="AR3" s="8" t="s">
        <v>1014</v>
      </c>
      <c r="AS3" s="8" t="s">
        <v>1015</v>
      </c>
      <c r="AT3" s="8" t="s">
        <v>1055</v>
      </c>
      <c r="AU3" s="8">
        <v>2013.0</v>
      </c>
      <c r="AV3" s="8">
        <v>40.0</v>
      </c>
      <c r="AW3" s="8">
        <v>3.0</v>
      </c>
      <c r="AX3" s="8" t="s">
        <v>969</v>
      </c>
      <c r="AY3" s="8" t="s">
        <v>969</v>
      </c>
      <c r="AZ3" s="8" t="s">
        <v>969</v>
      </c>
      <c r="BA3" s="8" t="s">
        <v>969</v>
      </c>
      <c r="BB3" s="8">
        <v>534.0</v>
      </c>
      <c r="BC3" s="8">
        <v>547.0</v>
      </c>
      <c r="BD3" s="8" t="s">
        <v>969</v>
      </c>
      <c r="BE3" s="8" t="s">
        <v>791</v>
      </c>
      <c r="BF3" s="13" t="str">
        <f>HYPERLINK("http://dx.doi.org/10.1111/jbi.12013","http://dx.doi.org/10.1111/jbi.12013")</f>
        <v>http://dx.doi.org/10.1111/jbi.12013</v>
      </c>
      <c r="BG3" s="8" t="s">
        <v>969</v>
      </c>
      <c r="BH3" s="8" t="s">
        <v>969</v>
      </c>
      <c r="BI3" s="8">
        <v>14.0</v>
      </c>
      <c r="BJ3" s="8" t="s">
        <v>1017</v>
      </c>
      <c r="BK3" s="8" t="s">
        <v>988</v>
      </c>
      <c r="BL3" s="8" t="s">
        <v>1018</v>
      </c>
      <c r="BM3" s="8" t="s">
        <v>2603</v>
      </c>
      <c r="BN3" s="8" t="s">
        <v>969</v>
      </c>
      <c r="BO3" s="8" t="s">
        <v>969</v>
      </c>
      <c r="BP3" s="8" t="s">
        <v>969</v>
      </c>
      <c r="BQ3" s="8" t="s">
        <v>969</v>
      </c>
      <c r="BR3" s="8" t="s">
        <v>2912</v>
      </c>
      <c r="BS3" s="8" t="s">
        <v>2604</v>
      </c>
      <c r="BT3" s="8" t="s">
        <v>183</v>
      </c>
      <c r="BW3" s="8" t="s">
        <v>67</v>
      </c>
      <c r="BX3" s="3">
        <v>0.0</v>
      </c>
      <c r="BY3" s="8" t="str">
        <f>HYPERLINK("https%3A%2F%2Fwww.webofscience.com%2Fwos%2Fwoscc%2Ffull-record%2FWOS:000314922500011","View Full Record in Web of Science")</f>
        <v>View Full Record in Web of Science</v>
      </c>
    </row>
    <row r="4" ht="12.75" customHeight="1">
      <c r="A4" s="8" t="s">
        <v>967</v>
      </c>
      <c r="B4" s="8" t="s">
        <v>2554</v>
      </c>
      <c r="C4" s="8" t="s">
        <v>969</v>
      </c>
      <c r="D4" s="8" t="s">
        <v>969</v>
      </c>
      <c r="E4" s="8" t="s">
        <v>969</v>
      </c>
      <c r="F4" s="8" t="s">
        <v>2555</v>
      </c>
      <c r="G4" s="8" t="s">
        <v>969</v>
      </c>
      <c r="H4" s="8" t="s">
        <v>969</v>
      </c>
      <c r="I4" s="8" t="s">
        <v>2556</v>
      </c>
      <c r="J4" s="8" t="s">
        <v>1974</v>
      </c>
      <c r="K4" s="8" t="s">
        <v>969</v>
      </c>
      <c r="L4" s="8" t="s">
        <v>969</v>
      </c>
      <c r="M4" s="8" t="s">
        <v>972</v>
      </c>
      <c r="N4" s="8" t="s">
        <v>973</v>
      </c>
      <c r="O4" s="8" t="s">
        <v>969</v>
      </c>
      <c r="P4" s="8" t="s">
        <v>969</v>
      </c>
      <c r="Q4" s="8" t="s">
        <v>969</v>
      </c>
      <c r="R4" s="8" t="s">
        <v>969</v>
      </c>
      <c r="S4" s="8" t="s">
        <v>969</v>
      </c>
      <c r="T4" s="8" t="s">
        <v>969</v>
      </c>
      <c r="U4" s="8" t="s">
        <v>2557</v>
      </c>
      <c r="V4" s="8" t="s">
        <v>2558</v>
      </c>
      <c r="W4" s="8" t="s">
        <v>2559</v>
      </c>
      <c r="X4" s="8" t="s">
        <v>2916</v>
      </c>
      <c r="Y4" s="8" t="s">
        <v>2561</v>
      </c>
      <c r="Z4" s="8" t="s">
        <v>2562</v>
      </c>
      <c r="AA4" s="8" t="s">
        <v>2917</v>
      </c>
      <c r="AB4" s="8" t="s">
        <v>2918</v>
      </c>
      <c r="AC4" s="8" t="s">
        <v>2919</v>
      </c>
      <c r="AD4" s="8" t="s">
        <v>2920</v>
      </c>
      <c r="AE4" s="8" t="s">
        <v>2567</v>
      </c>
      <c r="AF4" s="8" t="s">
        <v>969</v>
      </c>
      <c r="AG4" s="8">
        <v>78.0</v>
      </c>
      <c r="AH4" s="8">
        <v>117.0</v>
      </c>
      <c r="AI4" s="8">
        <v>124.0</v>
      </c>
      <c r="AJ4" s="8">
        <v>3.0</v>
      </c>
      <c r="AK4" s="8">
        <v>262.0</v>
      </c>
      <c r="AL4" s="8" t="s">
        <v>1985</v>
      </c>
      <c r="AM4" s="8" t="s">
        <v>1986</v>
      </c>
      <c r="AN4" s="8" t="s">
        <v>1987</v>
      </c>
      <c r="AO4" s="8" t="s">
        <v>1988</v>
      </c>
      <c r="AP4" s="8" t="s">
        <v>969</v>
      </c>
      <c r="AQ4" s="8" t="s">
        <v>969</v>
      </c>
      <c r="AR4" s="8" t="s">
        <v>1974</v>
      </c>
      <c r="AS4" s="8" t="s">
        <v>1989</v>
      </c>
      <c r="AT4" s="8" t="s">
        <v>2568</v>
      </c>
      <c r="AU4" s="8">
        <v>2013.0</v>
      </c>
      <c r="AV4" s="8">
        <v>8.0</v>
      </c>
      <c r="AW4" s="8">
        <v>1.0</v>
      </c>
      <c r="AX4" s="8" t="s">
        <v>969</v>
      </c>
      <c r="AY4" s="8" t="s">
        <v>969</v>
      </c>
      <c r="AZ4" s="8" t="s">
        <v>969</v>
      </c>
      <c r="BA4" s="8" t="s">
        <v>969</v>
      </c>
      <c r="BB4" s="8" t="s">
        <v>969</v>
      </c>
      <c r="BC4" s="8" t="s">
        <v>969</v>
      </c>
      <c r="BD4" s="8" t="s">
        <v>2569</v>
      </c>
      <c r="BE4" s="8" t="s">
        <v>821</v>
      </c>
      <c r="BF4" s="13" t="str">
        <f>HYPERLINK("http://dx.doi.org/10.1371/journal.pone.0054216","http://dx.doi.org/10.1371/journal.pone.0054216")</f>
        <v>http://dx.doi.org/10.1371/journal.pone.0054216</v>
      </c>
      <c r="BG4" s="8" t="s">
        <v>969</v>
      </c>
      <c r="BH4" s="8" t="s">
        <v>969</v>
      </c>
      <c r="BI4" s="8">
        <v>13.0</v>
      </c>
      <c r="BJ4" s="8" t="s">
        <v>1076</v>
      </c>
      <c r="BK4" s="8" t="s">
        <v>988</v>
      </c>
      <c r="BL4" s="8" t="s">
        <v>1077</v>
      </c>
      <c r="BM4" s="8" t="s">
        <v>2570</v>
      </c>
      <c r="BN4" s="8">
        <v>2.3349829E7</v>
      </c>
      <c r="BO4" s="8" t="s">
        <v>1140</v>
      </c>
      <c r="BP4" s="8" t="s">
        <v>969</v>
      </c>
      <c r="BQ4" s="8" t="s">
        <v>969</v>
      </c>
      <c r="BR4" s="8" t="s">
        <v>2912</v>
      </c>
      <c r="BS4" s="8" t="s">
        <v>2571</v>
      </c>
      <c r="BT4" s="8" t="s">
        <v>183</v>
      </c>
      <c r="BW4" s="8" t="s">
        <v>67</v>
      </c>
      <c r="BX4" s="3">
        <v>0.0</v>
      </c>
      <c r="BY4" s="8" t="str">
        <f>HYPERLINK("https%3A%2F%2Fwww.webofscience.com%2Fwos%2Fwoscc%2Ffull-record%2FWOS:000314019100051","View Full Record in Web of Science")</f>
        <v>View Full Record in Web of Science</v>
      </c>
    </row>
    <row r="5" ht="12.75" customHeight="1">
      <c r="A5" s="8" t="s">
        <v>967</v>
      </c>
      <c r="B5" s="8" t="s">
        <v>2921</v>
      </c>
      <c r="C5" s="8" t="s">
        <v>969</v>
      </c>
      <c r="D5" s="8" t="s">
        <v>969</v>
      </c>
      <c r="E5" s="8" t="s">
        <v>969</v>
      </c>
      <c r="F5" s="8" t="s">
        <v>2922</v>
      </c>
      <c r="G5" s="8" t="s">
        <v>969</v>
      </c>
      <c r="H5" s="8" t="s">
        <v>969</v>
      </c>
      <c r="I5" s="8" t="s">
        <v>2923</v>
      </c>
      <c r="J5" s="8" t="s">
        <v>971</v>
      </c>
      <c r="K5" s="8" t="s">
        <v>969</v>
      </c>
      <c r="L5" s="8" t="s">
        <v>969</v>
      </c>
      <c r="M5" s="8" t="s">
        <v>972</v>
      </c>
      <c r="N5" s="8" t="s">
        <v>2924</v>
      </c>
      <c r="O5" s="8" t="s">
        <v>969</v>
      </c>
      <c r="P5" s="8" t="s">
        <v>969</v>
      </c>
      <c r="Q5" s="8" t="s">
        <v>969</v>
      </c>
      <c r="R5" s="8" t="s">
        <v>969</v>
      </c>
      <c r="S5" s="8" t="s">
        <v>969</v>
      </c>
      <c r="T5" s="8" t="s">
        <v>2925</v>
      </c>
      <c r="U5" s="8" t="s">
        <v>2926</v>
      </c>
      <c r="V5" s="8" t="s">
        <v>2927</v>
      </c>
      <c r="W5" s="8" t="s">
        <v>2928</v>
      </c>
      <c r="X5" s="8" t="s">
        <v>2929</v>
      </c>
      <c r="Y5" s="8" t="s">
        <v>2930</v>
      </c>
      <c r="Z5" s="8" t="s">
        <v>2931</v>
      </c>
      <c r="AA5" s="8" t="s">
        <v>2932</v>
      </c>
      <c r="AB5" s="8" t="s">
        <v>2933</v>
      </c>
      <c r="AC5" s="8" t="s">
        <v>2934</v>
      </c>
      <c r="AD5" s="8" t="s">
        <v>2935</v>
      </c>
      <c r="AE5" s="8" t="s">
        <v>2936</v>
      </c>
      <c r="AF5" s="8" t="s">
        <v>969</v>
      </c>
      <c r="AG5" s="8">
        <v>108.0</v>
      </c>
      <c r="AH5" s="8">
        <v>212.0</v>
      </c>
      <c r="AI5" s="8">
        <v>238.0</v>
      </c>
      <c r="AJ5" s="8">
        <v>2.0</v>
      </c>
      <c r="AK5" s="8">
        <v>113.0</v>
      </c>
      <c r="AL5" s="8" t="s">
        <v>1091</v>
      </c>
      <c r="AM5" s="8" t="s">
        <v>1092</v>
      </c>
      <c r="AN5" s="8" t="s">
        <v>1093</v>
      </c>
      <c r="AO5" s="8" t="s">
        <v>983</v>
      </c>
      <c r="AP5" s="8" t="s">
        <v>1094</v>
      </c>
      <c r="AQ5" s="8" t="s">
        <v>969</v>
      </c>
      <c r="AR5" s="8" t="s">
        <v>1095</v>
      </c>
      <c r="AS5" s="8" t="s">
        <v>985</v>
      </c>
      <c r="AT5" s="8" t="s">
        <v>986</v>
      </c>
      <c r="AU5" s="8">
        <v>2010.0</v>
      </c>
      <c r="AV5" s="8">
        <v>16.0</v>
      </c>
      <c r="AW5" s="8">
        <v>12.0</v>
      </c>
      <c r="AX5" s="8" t="s">
        <v>969</v>
      </c>
      <c r="AY5" s="8" t="s">
        <v>969</v>
      </c>
      <c r="AZ5" s="8" t="s">
        <v>969</v>
      </c>
      <c r="BA5" s="8" t="s">
        <v>969</v>
      </c>
      <c r="BB5" s="8">
        <v>3233.0</v>
      </c>
      <c r="BC5" s="8">
        <v>3245.0</v>
      </c>
      <c r="BD5" s="8" t="s">
        <v>969</v>
      </c>
      <c r="BE5" s="8" t="s">
        <v>719</v>
      </c>
      <c r="BF5" s="13" t="str">
        <f>HYPERLINK("http://dx.doi.org/10.1111/j.1365-2486.2010.02224.x","http://dx.doi.org/10.1111/j.1365-2486.2010.02224.x")</f>
        <v>http://dx.doi.org/10.1111/j.1365-2486.2010.02224.x</v>
      </c>
      <c r="BG5" s="8" t="s">
        <v>969</v>
      </c>
      <c r="BH5" s="8" t="s">
        <v>969</v>
      </c>
      <c r="BI5" s="8">
        <v>13.0</v>
      </c>
      <c r="BJ5" s="8" t="s">
        <v>987</v>
      </c>
      <c r="BK5" s="8" t="s">
        <v>988</v>
      </c>
      <c r="BL5" s="8" t="s">
        <v>989</v>
      </c>
      <c r="BM5" s="8" t="s">
        <v>2937</v>
      </c>
      <c r="BN5" s="8" t="s">
        <v>969</v>
      </c>
      <c r="BO5" s="8" t="s">
        <v>969</v>
      </c>
      <c r="BP5" s="8" t="s">
        <v>969</v>
      </c>
      <c r="BQ5" s="8" t="s">
        <v>969</v>
      </c>
      <c r="BR5" s="8" t="s">
        <v>2912</v>
      </c>
      <c r="BS5" s="8" t="s">
        <v>2938</v>
      </c>
      <c r="BT5" s="8" t="s">
        <v>183</v>
      </c>
      <c r="BW5" s="8" t="s">
        <v>67</v>
      </c>
      <c r="BX5" s="3">
        <v>0.0</v>
      </c>
      <c r="BY5" s="8" t="str">
        <f>HYPERLINK("https%3A%2F%2Fwww.webofscience.com%2Fwos%2Fwoscc%2Ffull-record%2FWOS:000283726600007","View Full Record in Web of Science")</f>
        <v>View Full Record in Web of Science</v>
      </c>
    </row>
    <row r="6" ht="12.75" customHeight="1">
      <c r="A6" s="8" t="s">
        <v>967</v>
      </c>
      <c r="B6" s="8" t="s">
        <v>1324</v>
      </c>
      <c r="C6" s="8" t="s">
        <v>969</v>
      </c>
      <c r="D6" s="8" t="s">
        <v>969</v>
      </c>
      <c r="E6" s="8" t="s">
        <v>969</v>
      </c>
      <c r="F6" s="8" t="s">
        <v>1324</v>
      </c>
      <c r="G6" s="8" t="s">
        <v>969</v>
      </c>
      <c r="H6" s="8" t="s">
        <v>969</v>
      </c>
      <c r="I6" s="8" t="s">
        <v>1325</v>
      </c>
      <c r="J6" s="8" t="s">
        <v>1326</v>
      </c>
      <c r="K6" s="8" t="s">
        <v>969</v>
      </c>
      <c r="L6" s="8" t="s">
        <v>969</v>
      </c>
      <c r="M6" s="8" t="s">
        <v>972</v>
      </c>
      <c r="N6" s="8" t="s">
        <v>973</v>
      </c>
      <c r="O6" s="8" t="s">
        <v>969</v>
      </c>
      <c r="P6" s="8" t="s">
        <v>969</v>
      </c>
      <c r="Q6" s="8" t="s">
        <v>969</v>
      </c>
      <c r="R6" s="8" t="s">
        <v>969</v>
      </c>
      <c r="S6" s="8" t="s">
        <v>969</v>
      </c>
      <c r="T6" s="8" t="s">
        <v>1327</v>
      </c>
      <c r="U6" s="8" t="s">
        <v>1328</v>
      </c>
      <c r="V6" s="8" t="s">
        <v>1329</v>
      </c>
      <c r="W6" s="8" t="s">
        <v>1330</v>
      </c>
      <c r="X6" s="8" t="s">
        <v>1331</v>
      </c>
      <c r="Y6" s="8" t="s">
        <v>1332</v>
      </c>
      <c r="Z6" s="8" t="s">
        <v>1333</v>
      </c>
      <c r="AA6" s="8" t="s">
        <v>1334</v>
      </c>
      <c r="AB6" s="8" t="s">
        <v>1335</v>
      </c>
      <c r="AC6" s="8" t="s">
        <v>969</v>
      </c>
      <c r="AD6" s="8" t="s">
        <v>969</v>
      </c>
      <c r="AE6" s="8" t="s">
        <v>969</v>
      </c>
      <c r="AF6" s="8" t="s">
        <v>969</v>
      </c>
      <c r="AG6" s="8">
        <v>30.0</v>
      </c>
      <c r="AH6" s="8">
        <v>291.0</v>
      </c>
      <c r="AI6" s="8">
        <v>329.0</v>
      </c>
      <c r="AJ6" s="8">
        <v>1.0</v>
      </c>
      <c r="AK6" s="8">
        <v>108.0</v>
      </c>
      <c r="AL6" s="8" t="s">
        <v>1091</v>
      </c>
      <c r="AM6" s="8" t="s">
        <v>1092</v>
      </c>
      <c r="AN6" s="8" t="s">
        <v>1093</v>
      </c>
      <c r="AO6" s="8" t="s">
        <v>1336</v>
      </c>
      <c r="AP6" s="8" t="s">
        <v>1337</v>
      </c>
      <c r="AQ6" s="8" t="s">
        <v>969</v>
      </c>
      <c r="AR6" s="8" t="s">
        <v>1338</v>
      </c>
      <c r="AS6" s="8" t="s">
        <v>1339</v>
      </c>
      <c r="AT6" s="8" t="s">
        <v>1112</v>
      </c>
      <c r="AU6" s="8">
        <v>2004.0</v>
      </c>
      <c r="AV6" s="8">
        <v>18.0</v>
      </c>
      <c r="AW6" s="8">
        <v>5.0</v>
      </c>
      <c r="AX6" s="8" t="s">
        <v>969</v>
      </c>
      <c r="AY6" s="8" t="s">
        <v>969</v>
      </c>
      <c r="AZ6" s="8" t="s">
        <v>969</v>
      </c>
      <c r="BA6" s="8" t="s">
        <v>969</v>
      </c>
      <c r="BB6" s="8">
        <v>625.0</v>
      </c>
      <c r="BC6" s="8">
        <v>630.0</v>
      </c>
      <c r="BD6" s="8" t="s">
        <v>969</v>
      </c>
      <c r="BE6" s="8" t="s">
        <v>674</v>
      </c>
      <c r="BF6" s="13" t="str">
        <f>HYPERLINK("http://dx.doi.org/10.1111/j.0269-8463.2004.00903.x","http://dx.doi.org/10.1111/j.0269-8463.2004.00903.x")</f>
        <v>http://dx.doi.org/10.1111/j.0269-8463.2004.00903.x</v>
      </c>
      <c r="BG6" s="8" t="s">
        <v>969</v>
      </c>
      <c r="BH6" s="8" t="s">
        <v>969</v>
      </c>
      <c r="BI6" s="8">
        <v>6.0</v>
      </c>
      <c r="BJ6" s="8" t="s">
        <v>1267</v>
      </c>
      <c r="BK6" s="8" t="s">
        <v>988</v>
      </c>
      <c r="BL6" s="8" t="s">
        <v>1268</v>
      </c>
      <c r="BM6" s="8" t="s">
        <v>1340</v>
      </c>
      <c r="BN6" s="8" t="s">
        <v>969</v>
      </c>
      <c r="BO6" s="8" t="s">
        <v>1341</v>
      </c>
      <c r="BP6" s="8" t="s">
        <v>969</v>
      </c>
      <c r="BQ6" s="8" t="s">
        <v>969</v>
      </c>
      <c r="BR6" s="8" t="s">
        <v>2912</v>
      </c>
      <c r="BS6" s="8" t="s">
        <v>1342</v>
      </c>
      <c r="BT6" s="8" t="s">
        <v>183</v>
      </c>
      <c r="BW6" s="8" t="s">
        <v>33</v>
      </c>
      <c r="BX6" s="3">
        <v>0.0</v>
      </c>
      <c r="BY6" s="8" t="str">
        <f>HYPERLINK("https%3A%2F%2Fwww.webofscience.com%2Fwos%2Fwoscc%2Ffull-record%2FWOS:000224000900001","View Full Record in Web of Science")</f>
        <v>View Full Record in Web of Science</v>
      </c>
    </row>
    <row r="7" ht="12.75" customHeight="1">
      <c r="A7" s="8" t="s">
        <v>967</v>
      </c>
      <c r="B7" s="8" t="s">
        <v>2506</v>
      </c>
      <c r="C7" s="8" t="s">
        <v>969</v>
      </c>
      <c r="D7" s="8" t="s">
        <v>969</v>
      </c>
      <c r="E7" s="8" t="s">
        <v>969</v>
      </c>
      <c r="F7" s="8" t="s">
        <v>2507</v>
      </c>
      <c r="G7" s="8" t="s">
        <v>969</v>
      </c>
      <c r="H7" s="8" t="s">
        <v>969</v>
      </c>
      <c r="I7" s="8" t="s">
        <v>2508</v>
      </c>
      <c r="J7" s="8" t="s">
        <v>1377</v>
      </c>
      <c r="K7" s="8" t="s">
        <v>969</v>
      </c>
      <c r="L7" s="8" t="s">
        <v>969</v>
      </c>
      <c r="M7" s="8" t="s">
        <v>972</v>
      </c>
      <c r="N7" s="8" t="s">
        <v>973</v>
      </c>
      <c r="O7" s="8" t="s">
        <v>969</v>
      </c>
      <c r="P7" s="8" t="s">
        <v>969</v>
      </c>
      <c r="Q7" s="8" t="s">
        <v>969</v>
      </c>
      <c r="R7" s="8" t="s">
        <v>969</v>
      </c>
      <c r="S7" s="8" t="s">
        <v>969</v>
      </c>
      <c r="T7" s="8" t="s">
        <v>969</v>
      </c>
      <c r="U7" s="8" t="s">
        <v>2509</v>
      </c>
      <c r="V7" s="8" t="s">
        <v>2510</v>
      </c>
      <c r="W7" s="8" t="s">
        <v>2511</v>
      </c>
      <c r="X7" s="8" t="s">
        <v>2406</v>
      </c>
      <c r="Y7" s="8" t="s">
        <v>2512</v>
      </c>
      <c r="Z7" s="8" t="s">
        <v>2513</v>
      </c>
      <c r="AA7" s="8" t="s">
        <v>969</v>
      </c>
      <c r="AB7" s="8" t="s">
        <v>2514</v>
      </c>
      <c r="AC7" s="8" t="s">
        <v>969</v>
      </c>
      <c r="AD7" s="8" t="s">
        <v>969</v>
      </c>
      <c r="AE7" s="8" t="s">
        <v>969</v>
      </c>
      <c r="AF7" s="8" t="s">
        <v>969</v>
      </c>
      <c r="AG7" s="8">
        <v>35.0</v>
      </c>
      <c r="AH7" s="8">
        <v>463.0</v>
      </c>
      <c r="AI7" s="8">
        <v>529.0</v>
      </c>
      <c r="AJ7" s="8">
        <v>2.0</v>
      </c>
      <c r="AK7" s="8">
        <v>224.0</v>
      </c>
      <c r="AL7" s="8" t="s">
        <v>1387</v>
      </c>
      <c r="AM7" s="8" t="s">
        <v>1388</v>
      </c>
      <c r="AN7" s="8" t="s">
        <v>1389</v>
      </c>
      <c r="AO7" s="8" t="s">
        <v>1390</v>
      </c>
      <c r="AP7" s="8" t="s">
        <v>1391</v>
      </c>
      <c r="AQ7" s="8" t="s">
        <v>969</v>
      </c>
      <c r="AR7" s="8" t="s">
        <v>1392</v>
      </c>
      <c r="AS7" s="8" t="s">
        <v>1393</v>
      </c>
      <c r="AT7" s="8" t="s">
        <v>2515</v>
      </c>
      <c r="AU7" s="8">
        <v>2012.0</v>
      </c>
      <c r="AV7" s="8">
        <v>109.0</v>
      </c>
      <c r="AW7" s="8">
        <v>22.0</v>
      </c>
      <c r="AX7" s="8" t="s">
        <v>969</v>
      </c>
      <c r="AY7" s="8" t="s">
        <v>969</v>
      </c>
      <c r="AZ7" s="8" t="s">
        <v>969</v>
      </c>
      <c r="BA7" s="8" t="s">
        <v>969</v>
      </c>
      <c r="BB7" s="8">
        <v>8606.0</v>
      </c>
      <c r="BC7" s="8">
        <v>8611.0</v>
      </c>
      <c r="BD7" s="8" t="s">
        <v>969</v>
      </c>
      <c r="BE7" s="8" t="s">
        <v>644</v>
      </c>
      <c r="BF7" s="13" t="str">
        <f>HYPERLINK("http://dx.doi.org/10.1073/pnas.1116791109","http://dx.doi.org/10.1073/pnas.1116791109")</f>
        <v>http://dx.doi.org/10.1073/pnas.1116791109</v>
      </c>
      <c r="BG7" s="8" t="s">
        <v>969</v>
      </c>
      <c r="BH7" s="8" t="s">
        <v>969</v>
      </c>
      <c r="BI7" s="8">
        <v>6.0</v>
      </c>
      <c r="BJ7" s="8" t="s">
        <v>1076</v>
      </c>
      <c r="BK7" s="8" t="s">
        <v>988</v>
      </c>
      <c r="BL7" s="8" t="s">
        <v>1077</v>
      </c>
      <c r="BM7" s="8" t="s">
        <v>2516</v>
      </c>
      <c r="BN7" s="8">
        <v>2.2586104E7</v>
      </c>
      <c r="BO7" s="8" t="s">
        <v>2517</v>
      </c>
      <c r="BP7" s="8" t="s">
        <v>969</v>
      </c>
      <c r="BQ7" s="8" t="s">
        <v>969</v>
      </c>
      <c r="BR7" s="8" t="s">
        <v>2912</v>
      </c>
      <c r="BS7" s="8" t="s">
        <v>2518</v>
      </c>
      <c r="BT7" s="8" t="s">
        <v>158</v>
      </c>
      <c r="BW7" s="8" t="s">
        <v>56</v>
      </c>
      <c r="BX7" s="3">
        <v>0.0</v>
      </c>
      <c r="BY7" s="8" t="str">
        <f>HYPERLINK("https%3A%2F%2Fwww.webofscience.com%2Fwos%2Fwoscc%2Ffull-record%2FWOS:000304881700053","View Full Record in Web of Science")</f>
        <v>View Full Record in Web of Science</v>
      </c>
    </row>
    <row r="8" ht="12.75" customHeight="1">
      <c r="A8" s="8" t="s">
        <v>967</v>
      </c>
      <c r="B8" s="8" t="s">
        <v>1587</v>
      </c>
      <c r="C8" s="8" t="s">
        <v>969</v>
      </c>
      <c r="D8" s="8" t="s">
        <v>969</v>
      </c>
      <c r="E8" s="8" t="s">
        <v>969</v>
      </c>
      <c r="F8" s="8" t="s">
        <v>1588</v>
      </c>
      <c r="G8" s="8" t="s">
        <v>969</v>
      </c>
      <c r="H8" s="8" t="s">
        <v>969</v>
      </c>
      <c r="I8" s="8" t="s">
        <v>1589</v>
      </c>
      <c r="J8" s="8" t="s">
        <v>971</v>
      </c>
      <c r="K8" s="8" t="s">
        <v>969</v>
      </c>
      <c r="L8" s="8" t="s">
        <v>969</v>
      </c>
      <c r="M8" s="8" t="s">
        <v>972</v>
      </c>
      <c r="N8" s="8" t="s">
        <v>973</v>
      </c>
      <c r="O8" s="8" t="s">
        <v>969</v>
      </c>
      <c r="P8" s="8" t="s">
        <v>969</v>
      </c>
      <c r="Q8" s="8" t="s">
        <v>969</v>
      </c>
      <c r="R8" s="8" t="s">
        <v>969</v>
      </c>
      <c r="S8" s="8" t="s">
        <v>969</v>
      </c>
      <c r="T8" s="8" t="s">
        <v>1590</v>
      </c>
      <c r="U8" s="8" t="s">
        <v>1591</v>
      </c>
      <c r="V8" s="8" t="s">
        <v>1592</v>
      </c>
      <c r="W8" s="8" t="s">
        <v>1593</v>
      </c>
      <c r="X8" s="8" t="s">
        <v>1594</v>
      </c>
      <c r="Y8" s="8" t="s">
        <v>1595</v>
      </c>
      <c r="Z8" s="8" t="s">
        <v>1596</v>
      </c>
      <c r="AA8" s="8" t="s">
        <v>1597</v>
      </c>
      <c r="AB8" s="8" t="s">
        <v>969</v>
      </c>
      <c r="AC8" s="8" t="s">
        <v>969</v>
      </c>
      <c r="AD8" s="8" t="s">
        <v>969</v>
      </c>
      <c r="AE8" s="8" t="s">
        <v>969</v>
      </c>
      <c r="AF8" s="8" t="s">
        <v>969</v>
      </c>
      <c r="AG8" s="8">
        <v>65.0</v>
      </c>
      <c r="AH8" s="8">
        <v>296.0</v>
      </c>
      <c r="AI8" s="8">
        <v>354.0</v>
      </c>
      <c r="AJ8" s="8">
        <v>1.0</v>
      </c>
      <c r="AK8" s="8">
        <v>106.0</v>
      </c>
      <c r="AL8" s="8" t="s">
        <v>1091</v>
      </c>
      <c r="AM8" s="8" t="s">
        <v>1092</v>
      </c>
      <c r="AN8" s="8" t="s">
        <v>1093</v>
      </c>
      <c r="AO8" s="8" t="s">
        <v>983</v>
      </c>
      <c r="AP8" s="8" t="s">
        <v>1094</v>
      </c>
      <c r="AQ8" s="8" t="s">
        <v>969</v>
      </c>
      <c r="AR8" s="8" t="s">
        <v>1095</v>
      </c>
      <c r="AS8" s="8" t="s">
        <v>985</v>
      </c>
      <c r="AT8" s="8" t="s">
        <v>1211</v>
      </c>
      <c r="AU8" s="8">
        <v>2006.0</v>
      </c>
      <c r="AV8" s="8">
        <v>12.0</v>
      </c>
      <c r="AW8" s="8">
        <v>8.0</v>
      </c>
      <c r="AX8" s="8" t="s">
        <v>969</v>
      </c>
      <c r="AY8" s="8" t="s">
        <v>969</v>
      </c>
      <c r="AZ8" s="8" t="s">
        <v>969</v>
      </c>
      <c r="BA8" s="8" t="s">
        <v>969</v>
      </c>
      <c r="BB8" s="8">
        <v>1568.0</v>
      </c>
      <c r="BC8" s="8">
        <v>1584.0</v>
      </c>
      <c r="BD8" s="8" t="s">
        <v>969</v>
      </c>
      <c r="BE8" s="8" t="s">
        <v>692</v>
      </c>
      <c r="BF8" s="13" t="str">
        <f>HYPERLINK("http://dx.doi.org/10.1111/j.1365-2486.2006.01191.x","http://dx.doi.org/10.1111/j.1365-2486.2006.01191.x")</f>
        <v>http://dx.doi.org/10.1111/j.1365-2486.2006.01191.x</v>
      </c>
      <c r="BG8" s="8" t="s">
        <v>969</v>
      </c>
      <c r="BH8" s="8" t="s">
        <v>969</v>
      </c>
      <c r="BI8" s="8">
        <v>17.0</v>
      </c>
      <c r="BJ8" s="8" t="s">
        <v>987</v>
      </c>
      <c r="BK8" s="8" t="s">
        <v>988</v>
      </c>
      <c r="BL8" s="8" t="s">
        <v>989</v>
      </c>
      <c r="BM8" s="8" t="s">
        <v>1598</v>
      </c>
      <c r="BN8" s="8" t="s">
        <v>969</v>
      </c>
      <c r="BO8" s="8" t="s">
        <v>969</v>
      </c>
      <c r="BP8" s="8" t="s">
        <v>969</v>
      </c>
      <c r="BQ8" s="8" t="s">
        <v>969</v>
      </c>
      <c r="BR8" s="8" t="s">
        <v>2912</v>
      </c>
      <c r="BS8" s="8" t="s">
        <v>1599</v>
      </c>
      <c r="BT8" s="8" t="s">
        <v>158</v>
      </c>
      <c r="BW8" s="8" t="s">
        <v>56</v>
      </c>
      <c r="BX8" s="3">
        <v>0.0</v>
      </c>
      <c r="BY8" s="8" t="str">
        <f>HYPERLINK("https%3A%2F%2Fwww.webofscience.com%2Fwos%2Fwoscc%2Ffull-record%2FWOS:000239004700018","View Full Record in Web of Science")</f>
        <v>View Full Record in Web of Science</v>
      </c>
    </row>
    <row r="9" ht="12.75" customHeight="1">
      <c r="A9" s="8" t="s">
        <v>967</v>
      </c>
      <c r="B9" s="8" t="s">
        <v>1443</v>
      </c>
      <c r="C9" s="8" t="s">
        <v>969</v>
      </c>
      <c r="D9" s="8" t="s">
        <v>969</v>
      </c>
      <c r="E9" s="8" t="s">
        <v>969</v>
      </c>
      <c r="F9" s="8" t="s">
        <v>1443</v>
      </c>
      <c r="G9" s="8" t="s">
        <v>969</v>
      </c>
      <c r="H9" s="8" t="s">
        <v>969</v>
      </c>
      <c r="I9" s="8" t="s">
        <v>1444</v>
      </c>
      <c r="J9" s="8" t="s">
        <v>1445</v>
      </c>
      <c r="K9" s="8" t="s">
        <v>969</v>
      </c>
      <c r="L9" s="8" t="s">
        <v>969</v>
      </c>
      <c r="M9" s="8" t="s">
        <v>972</v>
      </c>
      <c r="N9" s="8" t="s">
        <v>973</v>
      </c>
      <c r="O9" s="8" t="s">
        <v>969</v>
      </c>
      <c r="P9" s="8" t="s">
        <v>969</v>
      </c>
      <c r="Q9" s="8" t="s">
        <v>969</v>
      </c>
      <c r="R9" s="8" t="s">
        <v>969</v>
      </c>
      <c r="S9" s="8" t="s">
        <v>969</v>
      </c>
      <c r="T9" s="8" t="s">
        <v>1446</v>
      </c>
      <c r="U9" s="8" t="s">
        <v>1447</v>
      </c>
      <c r="V9" s="8" t="s">
        <v>1448</v>
      </c>
      <c r="W9" s="8" t="s">
        <v>1449</v>
      </c>
      <c r="X9" s="8" t="s">
        <v>1450</v>
      </c>
      <c r="Y9" s="8" t="s">
        <v>1451</v>
      </c>
      <c r="Z9" s="8" t="s">
        <v>969</v>
      </c>
      <c r="AA9" s="8" t="s">
        <v>969</v>
      </c>
      <c r="AB9" s="8" t="s">
        <v>1452</v>
      </c>
      <c r="AC9" s="8" t="s">
        <v>969</v>
      </c>
      <c r="AD9" s="8" t="s">
        <v>969</v>
      </c>
      <c r="AE9" s="8" t="s">
        <v>969</v>
      </c>
      <c r="AF9" s="8" t="s">
        <v>969</v>
      </c>
      <c r="AG9" s="8">
        <v>66.0</v>
      </c>
      <c r="AH9" s="8">
        <v>95.0</v>
      </c>
      <c r="AI9" s="8">
        <v>118.0</v>
      </c>
      <c r="AJ9" s="8">
        <v>1.0</v>
      </c>
      <c r="AK9" s="8">
        <v>44.0</v>
      </c>
      <c r="AL9" s="8" t="s">
        <v>1453</v>
      </c>
      <c r="AM9" s="8" t="s">
        <v>1454</v>
      </c>
      <c r="AN9" s="8" t="s">
        <v>1455</v>
      </c>
      <c r="AO9" s="8" t="s">
        <v>1456</v>
      </c>
      <c r="AP9" s="8" t="s">
        <v>1457</v>
      </c>
      <c r="AQ9" s="8" t="s">
        <v>969</v>
      </c>
      <c r="AR9" s="8" t="s">
        <v>1458</v>
      </c>
      <c r="AS9" s="8" t="s">
        <v>1459</v>
      </c>
      <c r="AT9" s="8" t="s">
        <v>969</v>
      </c>
      <c r="AU9" s="8">
        <v>2005.0</v>
      </c>
      <c r="AV9" s="8">
        <v>92.0</v>
      </c>
      <c r="AW9" s="8">
        <v>2.0</v>
      </c>
      <c r="AX9" s="8" t="s">
        <v>969</v>
      </c>
      <c r="AY9" s="8" t="s">
        <v>969</v>
      </c>
      <c r="AZ9" s="8" t="s">
        <v>969</v>
      </c>
      <c r="BA9" s="8" t="s">
        <v>969</v>
      </c>
      <c r="BB9" s="8">
        <v>139.0</v>
      </c>
      <c r="BC9" s="8">
        <v>152.0</v>
      </c>
      <c r="BD9" s="8" t="s">
        <v>969</v>
      </c>
      <c r="BE9" s="8" t="s">
        <v>969</v>
      </c>
      <c r="BF9" s="8" t="s">
        <v>969</v>
      </c>
      <c r="BG9" s="8" t="s">
        <v>969</v>
      </c>
      <c r="BH9" s="8" t="s">
        <v>969</v>
      </c>
      <c r="BI9" s="8">
        <v>14.0</v>
      </c>
      <c r="BJ9" s="8" t="s">
        <v>1460</v>
      </c>
      <c r="BK9" s="8" t="s">
        <v>988</v>
      </c>
      <c r="BL9" s="8" t="s">
        <v>1460</v>
      </c>
      <c r="BM9" s="8" t="s">
        <v>1461</v>
      </c>
      <c r="BN9" s="8" t="s">
        <v>969</v>
      </c>
      <c r="BO9" s="8" t="s">
        <v>969</v>
      </c>
      <c r="BP9" s="8" t="s">
        <v>969</v>
      </c>
      <c r="BQ9" s="8" t="s">
        <v>969</v>
      </c>
      <c r="BR9" s="8" t="s">
        <v>2912</v>
      </c>
      <c r="BS9" s="8" t="s">
        <v>1462</v>
      </c>
      <c r="BT9" s="3" t="s">
        <v>39</v>
      </c>
      <c r="BU9" s="3"/>
      <c r="BV9" s="3"/>
      <c r="BW9" s="3" t="s">
        <v>51</v>
      </c>
      <c r="BX9" s="3">
        <v>1.0</v>
      </c>
      <c r="BY9" s="8" t="str">
        <f>HYPERLINK("https%3A%2F%2Fwww.webofscience.com%2Fwos%2Fwoscc%2Ffull-record%2FWOS:000230948700001","View Full Record in Web of Science")</f>
        <v>View Full Record in Web of Science</v>
      </c>
    </row>
    <row r="10" ht="12.75" customHeight="1">
      <c r="A10" s="8" t="s">
        <v>967</v>
      </c>
      <c r="B10" s="8" t="s">
        <v>2715</v>
      </c>
      <c r="C10" s="8" t="s">
        <v>969</v>
      </c>
      <c r="D10" s="8" t="s">
        <v>969</v>
      </c>
      <c r="E10" s="8" t="s">
        <v>969</v>
      </c>
      <c r="F10" s="8" t="s">
        <v>2716</v>
      </c>
      <c r="G10" s="8" t="s">
        <v>969</v>
      </c>
      <c r="H10" s="8" t="s">
        <v>969</v>
      </c>
      <c r="I10" s="8" t="s">
        <v>2717</v>
      </c>
      <c r="J10" s="8" t="s">
        <v>2718</v>
      </c>
      <c r="K10" s="8" t="s">
        <v>969</v>
      </c>
      <c r="L10" s="8" t="s">
        <v>969</v>
      </c>
      <c r="M10" s="8" t="s">
        <v>972</v>
      </c>
      <c r="N10" s="8" t="s">
        <v>973</v>
      </c>
      <c r="O10" s="8" t="s">
        <v>969</v>
      </c>
      <c r="P10" s="8" t="s">
        <v>969</v>
      </c>
      <c r="Q10" s="8" t="s">
        <v>969</v>
      </c>
      <c r="R10" s="8" t="s">
        <v>969</v>
      </c>
      <c r="S10" s="8" t="s">
        <v>969</v>
      </c>
      <c r="T10" s="8" t="s">
        <v>2719</v>
      </c>
      <c r="U10" s="8" t="s">
        <v>2720</v>
      </c>
      <c r="V10" s="8" t="s">
        <v>2721</v>
      </c>
      <c r="W10" s="8" t="s">
        <v>2722</v>
      </c>
      <c r="X10" s="8" t="s">
        <v>2723</v>
      </c>
      <c r="Y10" s="8" t="s">
        <v>2724</v>
      </c>
      <c r="Z10" s="8" t="s">
        <v>2725</v>
      </c>
      <c r="AA10" s="8" t="s">
        <v>2939</v>
      </c>
      <c r="AB10" s="8" t="s">
        <v>2940</v>
      </c>
      <c r="AC10" s="8" t="s">
        <v>2728</v>
      </c>
      <c r="AD10" s="8" t="s">
        <v>2729</v>
      </c>
      <c r="AE10" s="8" t="s">
        <v>2730</v>
      </c>
      <c r="AF10" s="8" t="s">
        <v>969</v>
      </c>
      <c r="AG10" s="8">
        <v>60.0</v>
      </c>
      <c r="AH10" s="8">
        <v>35.0</v>
      </c>
      <c r="AI10" s="8">
        <v>39.0</v>
      </c>
      <c r="AJ10" s="8">
        <v>1.0</v>
      </c>
      <c r="AK10" s="8">
        <v>69.0</v>
      </c>
      <c r="AL10" s="8" t="s">
        <v>1609</v>
      </c>
      <c r="AM10" s="8" t="s">
        <v>2731</v>
      </c>
      <c r="AN10" s="8" t="s">
        <v>2732</v>
      </c>
      <c r="AO10" s="8" t="s">
        <v>2733</v>
      </c>
      <c r="AP10" s="8" t="s">
        <v>969</v>
      </c>
      <c r="AQ10" s="8" t="s">
        <v>969</v>
      </c>
      <c r="AR10" s="8" t="s">
        <v>2718</v>
      </c>
      <c r="AS10" s="8" t="s">
        <v>2734</v>
      </c>
      <c r="AT10" s="8" t="s">
        <v>1300</v>
      </c>
      <c r="AU10" s="8">
        <v>2013.0</v>
      </c>
      <c r="AV10" s="8">
        <v>100.0</v>
      </c>
      <c r="AW10" s="8">
        <v>9.0</v>
      </c>
      <c r="AX10" s="8" t="s">
        <v>969</v>
      </c>
      <c r="AY10" s="8" t="s">
        <v>969</v>
      </c>
      <c r="AZ10" s="8" t="s">
        <v>969</v>
      </c>
      <c r="BA10" s="8" t="s">
        <v>969</v>
      </c>
      <c r="BB10" s="8">
        <v>877.0</v>
      </c>
      <c r="BC10" s="8">
        <v>889.0</v>
      </c>
      <c r="BD10" s="8" t="s">
        <v>969</v>
      </c>
      <c r="BE10" s="8" t="s">
        <v>512</v>
      </c>
      <c r="BF10" s="13" t="str">
        <f>HYPERLINK("http://dx.doi.org/10.1007/s00114-013-1088-4","http://dx.doi.org/10.1007/s00114-013-1088-4")</f>
        <v>http://dx.doi.org/10.1007/s00114-013-1088-4</v>
      </c>
      <c r="BG10" s="8" t="s">
        <v>969</v>
      </c>
      <c r="BH10" s="8" t="s">
        <v>969</v>
      </c>
      <c r="BI10" s="8">
        <v>13.0</v>
      </c>
      <c r="BJ10" s="8" t="s">
        <v>1076</v>
      </c>
      <c r="BK10" s="8" t="s">
        <v>988</v>
      </c>
      <c r="BL10" s="8" t="s">
        <v>1077</v>
      </c>
      <c r="BM10" s="8" t="s">
        <v>2735</v>
      </c>
      <c r="BN10" s="8">
        <v>2.394255E7</v>
      </c>
      <c r="BO10" s="8" t="s">
        <v>969</v>
      </c>
      <c r="BP10" s="8" t="s">
        <v>969</v>
      </c>
      <c r="BQ10" s="8" t="s">
        <v>969</v>
      </c>
      <c r="BR10" s="8" t="s">
        <v>2912</v>
      </c>
      <c r="BS10" s="8" t="s">
        <v>2736</v>
      </c>
      <c r="BT10" s="8" t="s">
        <v>39</v>
      </c>
      <c r="BW10" s="8" t="s">
        <v>40</v>
      </c>
      <c r="BX10" s="3">
        <v>1.0</v>
      </c>
      <c r="BY10" s="8" t="str">
        <f>HYPERLINK("https%3A%2F%2Fwww.webofscience.com%2Fwos%2Fwoscc%2Ffull-record%2FWOS:000323670800008","View Full Record in Web of Science")</f>
        <v>View Full Record in Web of Science</v>
      </c>
    </row>
    <row r="11" ht="12.75" customHeight="1">
      <c r="A11" s="8" t="s">
        <v>967</v>
      </c>
      <c r="B11" s="8" t="s">
        <v>2605</v>
      </c>
      <c r="C11" s="8" t="s">
        <v>969</v>
      </c>
      <c r="D11" s="8" t="s">
        <v>969</v>
      </c>
      <c r="E11" s="8" t="s">
        <v>969</v>
      </c>
      <c r="F11" s="8" t="s">
        <v>2606</v>
      </c>
      <c r="G11" s="8" t="s">
        <v>969</v>
      </c>
      <c r="H11" s="8" t="s">
        <v>969</v>
      </c>
      <c r="I11" s="8" t="s">
        <v>2607</v>
      </c>
      <c r="J11" s="8" t="s">
        <v>1427</v>
      </c>
      <c r="K11" s="8" t="s">
        <v>969</v>
      </c>
      <c r="L11" s="8" t="s">
        <v>969</v>
      </c>
      <c r="M11" s="8" t="s">
        <v>972</v>
      </c>
      <c r="N11" s="8" t="s">
        <v>973</v>
      </c>
      <c r="O11" s="8" t="s">
        <v>969</v>
      </c>
      <c r="P11" s="8" t="s">
        <v>969</v>
      </c>
      <c r="Q11" s="8" t="s">
        <v>969</v>
      </c>
      <c r="R11" s="8" t="s">
        <v>969</v>
      </c>
      <c r="S11" s="8" t="s">
        <v>969</v>
      </c>
      <c r="T11" s="8" t="s">
        <v>2608</v>
      </c>
      <c r="U11" s="8" t="s">
        <v>2609</v>
      </c>
      <c r="V11" s="8" t="s">
        <v>2610</v>
      </c>
      <c r="W11" s="8" t="s">
        <v>2611</v>
      </c>
      <c r="X11" s="8" t="s">
        <v>2941</v>
      </c>
      <c r="Y11" s="8" t="s">
        <v>2613</v>
      </c>
      <c r="Z11" s="8" t="s">
        <v>2614</v>
      </c>
      <c r="AA11" s="8" t="s">
        <v>2942</v>
      </c>
      <c r="AB11" s="8" t="s">
        <v>2943</v>
      </c>
      <c r="AC11" s="8" t="s">
        <v>2617</v>
      </c>
      <c r="AD11" s="8" t="s">
        <v>2618</v>
      </c>
      <c r="AE11" s="8" t="s">
        <v>2619</v>
      </c>
      <c r="AF11" s="8" t="s">
        <v>969</v>
      </c>
      <c r="AG11" s="8">
        <v>91.0</v>
      </c>
      <c r="AH11" s="8">
        <v>32.0</v>
      </c>
      <c r="AI11" s="8">
        <v>34.0</v>
      </c>
      <c r="AJ11" s="8">
        <v>1.0</v>
      </c>
      <c r="AK11" s="8">
        <v>126.0</v>
      </c>
      <c r="AL11" s="8" t="s">
        <v>1091</v>
      </c>
      <c r="AM11" s="8" t="s">
        <v>1092</v>
      </c>
      <c r="AN11" s="8" t="s">
        <v>1093</v>
      </c>
      <c r="AO11" s="8" t="s">
        <v>1437</v>
      </c>
      <c r="AP11" s="8" t="s">
        <v>1499</v>
      </c>
      <c r="AQ11" s="8" t="s">
        <v>969</v>
      </c>
      <c r="AR11" s="8" t="s">
        <v>1438</v>
      </c>
      <c r="AS11" s="8" t="s">
        <v>1439</v>
      </c>
      <c r="AT11" s="8" t="s">
        <v>1552</v>
      </c>
      <c r="AU11" s="8">
        <v>2013.0</v>
      </c>
      <c r="AV11" s="8">
        <v>19.0</v>
      </c>
      <c r="AW11" s="8">
        <v>4.0</v>
      </c>
      <c r="AX11" s="8" t="s">
        <v>969</v>
      </c>
      <c r="AY11" s="8" t="s">
        <v>969</v>
      </c>
      <c r="AZ11" s="8" t="s">
        <v>969</v>
      </c>
      <c r="BA11" s="8" t="s">
        <v>969</v>
      </c>
      <c r="BB11" s="8">
        <v>363.0</v>
      </c>
      <c r="BC11" s="8">
        <v>376.0</v>
      </c>
      <c r="BD11" s="8" t="s">
        <v>969</v>
      </c>
      <c r="BE11" s="8" t="s">
        <v>665</v>
      </c>
      <c r="BF11" s="13" t="str">
        <f>HYPERLINK("http://dx.doi.org/10.1111/ddi.12011","http://dx.doi.org/10.1111/ddi.12011")</f>
        <v>http://dx.doi.org/10.1111/ddi.12011</v>
      </c>
      <c r="BG11" s="8" t="s">
        <v>969</v>
      </c>
      <c r="BH11" s="8" t="s">
        <v>969</v>
      </c>
      <c r="BI11" s="8">
        <v>14.0</v>
      </c>
      <c r="BJ11" s="8" t="s">
        <v>1286</v>
      </c>
      <c r="BK11" s="8" t="s">
        <v>988</v>
      </c>
      <c r="BL11" s="8" t="s">
        <v>989</v>
      </c>
      <c r="BM11" s="8" t="s">
        <v>2620</v>
      </c>
      <c r="BN11" s="8" t="s">
        <v>969</v>
      </c>
      <c r="BO11" s="8" t="s">
        <v>969</v>
      </c>
      <c r="BP11" s="8" t="s">
        <v>969</v>
      </c>
      <c r="BQ11" s="8" t="s">
        <v>969</v>
      </c>
      <c r="BR11" s="8" t="s">
        <v>2912</v>
      </c>
      <c r="BS11" s="8" t="s">
        <v>2621</v>
      </c>
      <c r="BT11" s="8" t="s">
        <v>39</v>
      </c>
      <c r="BW11" s="8" t="s">
        <v>51</v>
      </c>
      <c r="BX11" s="3">
        <v>1.0</v>
      </c>
      <c r="BY11" s="8" t="str">
        <f>HYPERLINK("https%3A%2F%2Fwww.webofscience.com%2Fwos%2Fwoscc%2Ffull-record%2FWOS:000316324800001","View Full Record in Web of Science")</f>
        <v>View Full Record in Web of Science</v>
      </c>
    </row>
    <row r="12" ht="12.75" customHeight="1">
      <c r="A12" s="8" t="s">
        <v>967</v>
      </c>
      <c r="B12" s="8" t="s">
        <v>1912</v>
      </c>
      <c r="C12" s="8" t="s">
        <v>969</v>
      </c>
      <c r="D12" s="8" t="s">
        <v>969</v>
      </c>
      <c r="E12" s="8" t="s">
        <v>969</v>
      </c>
      <c r="F12" s="8" t="s">
        <v>1913</v>
      </c>
      <c r="G12" s="8" t="s">
        <v>969</v>
      </c>
      <c r="H12" s="8" t="s">
        <v>969</v>
      </c>
      <c r="I12" s="8" t="s">
        <v>1914</v>
      </c>
      <c r="J12" s="8" t="s">
        <v>971</v>
      </c>
      <c r="K12" s="8" t="s">
        <v>969</v>
      </c>
      <c r="L12" s="8" t="s">
        <v>969</v>
      </c>
      <c r="M12" s="8" t="s">
        <v>972</v>
      </c>
      <c r="N12" s="8" t="s">
        <v>973</v>
      </c>
      <c r="O12" s="8" t="s">
        <v>969</v>
      </c>
      <c r="P12" s="8" t="s">
        <v>969</v>
      </c>
      <c r="Q12" s="8" t="s">
        <v>969</v>
      </c>
      <c r="R12" s="8" t="s">
        <v>969</v>
      </c>
      <c r="S12" s="8" t="s">
        <v>969</v>
      </c>
      <c r="T12" s="8" t="s">
        <v>1915</v>
      </c>
      <c r="U12" s="8" t="s">
        <v>1916</v>
      </c>
      <c r="V12" s="8" t="s">
        <v>1917</v>
      </c>
      <c r="W12" s="8" t="s">
        <v>1918</v>
      </c>
      <c r="X12" s="8" t="s">
        <v>1919</v>
      </c>
      <c r="Y12" s="8" t="s">
        <v>1920</v>
      </c>
      <c r="Z12" s="8" t="s">
        <v>1921</v>
      </c>
      <c r="AA12" s="8" t="s">
        <v>969</v>
      </c>
      <c r="AB12" s="8" t="s">
        <v>2944</v>
      </c>
      <c r="AC12" s="8" t="s">
        <v>969</v>
      </c>
      <c r="AD12" s="8" t="s">
        <v>969</v>
      </c>
      <c r="AE12" s="8" t="s">
        <v>969</v>
      </c>
      <c r="AF12" s="8" t="s">
        <v>969</v>
      </c>
      <c r="AG12" s="8">
        <v>88.0</v>
      </c>
      <c r="AH12" s="8">
        <v>293.0</v>
      </c>
      <c r="AI12" s="8">
        <v>341.0</v>
      </c>
      <c r="AJ12" s="8">
        <v>3.0</v>
      </c>
      <c r="AK12" s="8">
        <v>142.0</v>
      </c>
      <c r="AL12" s="8" t="s">
        <v>1091</v>
      </c>
      <c r="AM12" s="8" t="s">
        <v>1092</v>
      </c>
      <c r="AN12" s="8" t="s">
        <v>1093</v>
      </c>
      <c r="AO12" s="8" t="s">
        <v>983</v>
      </c>
      <c r="AP12" s="8" t="s">
        <v>1094</v>
      </c>
      <c r="AQ12" s="8" t="s">
        <v>969</v>
      </c>
      <c r="AR12" s="8" t="s">
        <v>1095</v>
      </c>
      <c r="AS12" s="8" t="s">
        <v>985</v>
      </c>
      <c r="AT12" s="8" t="s">
        <v>1211</v>
      </c>
      <c r="AU12" s="8">
        <v>2008.0</v>
      </c>
      <c r="AV12" s="8">
        <v>14.0</v>
      </c>
      <c r="AW12" s="8">
        <v>8.0</v>
      </c>
      <c r="AX12" s="8" t="s">
        <v>969</v>
      </c>
      <c r="AY12" s="8" t="s">
        <v>969</v>
      </c>
      <c r="AZ12" s="8" t="s">
        <v>969</v>
      </c>
      <c r="BA12" s="8" t="s">
        <v>969</v>
      </c>
      <c r="BB12" s="8">
        <v>1703.0</v>
      </c>
      <c r="BC12" s="8">
        <v>1720.0</v>
      </c>
      <c r="BD12" s="8" t="s">
        <v>969</v>
      </c>
      <c r="BE12" s="8" t="s">
        <v>710</v>
      </c>
      <c r="BF12" s="13" t="str">
        <f>HYPERLINK("http://dx.doi.org/10.1111/j.1365-2486.2008.01596.x","http://dx.doi.org/10.1111/j.1365-2486.2008.01596.x")</f>
        <v>http://dx.doi.org/10.1111/j.1365-2486.2008.01596.x</v>
      </c>
      <c r="BG12" s="8" t="s">
        <v>969</v>
      </c>
      <c r="BH12" s="8" t="s">
        <v>969</v>
      </c>
      <c r="BI12" s="8">
        <v>18.0</v>
      </c>
      <c r="BJ12" s="8" t="s">
        <v>987</v>
      </c>
      <c r="BK12" s="8" t="s">
        <v>988</v>
      </c>
      <c r="BL12" s="8" t="s">
        <v>989</v>
      </c>
      <c r="BM12" s="8" t="s">
        <v>1923</v>
      </c>
      <c r="BN12" s="8" t="s">
        <v>969</v>
      </c>
      <c r="BO12" s="8" t="s">
        <v>1924</v>
      </c>
      <c r="BP12" s="8" t="s">
        <v>969</v>
      </c>
      <c r="BQ12" s="8" t="s">
        <v>969</v>
      </c>
      <c r="BR12" s="8" t="s">
        <v>2912</v>
      </c>
      <c r="BS12" s="8" t="s">
        <v>1925</v>
      </c>
      <c r="BT12" s="8" t="s">
        <v>39</v>
      </c>
      <c r="BW12" s="8" t="s">
        <v>209</v>
      </c>
      <c r="BX12" s="3">
        <v>1.0</v>
      </c>
      <c r="BY12" s="8" t="str">
        <f>HYPERLINK("https%3A%2F%2Fwww.webofscience.com%2Fwos%2Fwoscc%2Ffull-record%2FWOS:000257712400001","View Full Record in Web of Science")</f>
        <v>View Full Record in Web of Science</v>
      </c>
    </row>
    <row r="13" ht="12.75" customHeight="1">
      <c r="A13" s="8" t="s">
        <v>967</v>
      </c>
      <c r="B13" s="8" t="s">
        <v>1717</v>
      </c>
      <c r="C13" s="8" t="s">
        <v>969</v>
      </c>
      <c r="D13" s="8" t="s">
        <v>969</v>
      </c>
      <c r="E13" s="8" t="s">
        <v>969</v>
      </c>
      <c r="F13" s="8" t="s">
        <v>1718</v>
      </c>
      <c r="G13" s="8" t="s">
        <v>969</v>
      </c>
      <c r="H13" s="8" t="s">
        <v>969</v>
      </c>
      <c r="I13" s="8" t="s">
        <v>1719</v>
      </c>
      <c r="J13" s="8" t="s">
        <v>1645</v>
      </c>
      <c r="K13" s="8" t="s">
        <v>969</v>
      </c>
      <c r="L13" s="8" t="s">
        <v>969</v>
      </c>
      <c r="M13" s="8" t="s">
        <v>972</v>
      </c>
      <c r="N13" s="8" t="s">
        <v>973</v>
      </c>
      <c r="O13" s="8" t="s">
        <v>969</v>
      </c>
      <c r="P13" s="8" t="s">
        <v>969</v>
      </c>
      <c r="Q13" s="8" t="s">
        <v>969</v>
      </c>
      <c r="R13" s="8" t="s">
        <v>969</v>
      </c>
      <c r="S13" s="8" t="s">
        <v>969</v>
      </c>
      <c r="T13" s="8" t="s">
        <v>1720</v>
      </c>
      <c r="U13" s="8" t="s">
        <v>1721</v>
      </c>
      <c r="V13" s="8" t="s">
        <v>1722</v>
      </c>
      <c r="W13" s="8" t="s">
        <v>1723</v>
      </c>
      <c r="X13" s="8" t="s">
        <v>1724</v>
      </c>
      <c r="Y13" s="8" t="s">
        <v>1067</v>
      </c>
      <c r="Z13" s="8" t="s">
        <v>1174</v>
      </c>
      <c r="AA13" s="8" t="s">
        <v>2945</v>
      </c>
      <c r="AB13" s="8" t="s">
        <v>2946</v>
      </c>
      <c r="AC13" s="8" t="s">
        <v>969</v>
      </c>
      <c r="AD13" s="8" t="s">
        <v>969</v>
      </c>
      <c r="AE13" s="8" t="s">
        <v>969</v>
      </c>
      <c r="AF13" s="8" t="s">
        <v>969</v>
      </c>
      <c r="AG13" s="8">
        <v>41.0</v>
      </c>
      <c r="AH13" s="8">
        <v>7.0</v>
      </c>
      <c r="AI13" s="8">
        <v>10.0</v>
      </c>
      <c r="AJ13" s="8">
        <v>1.0</v>
      </c>
      <c r="AK13" s="8">
        <v>26.0</v>
      </c>
      <c r="AL13" s="8" t="s">
        <v>1609</v>
      </c>
      <c r="AM13" s="8" t="s">
        <v>1032</v>
      </c>
      <c r="AN13" s="8" t="s">
        <v>1210</v>
      </c>
      <c r="AO13" s="8" t="s">
        <v>1653</v>
      </c>
      <c r="AP13" s="8" t="s">
        <v>1654</v>
      </c>
      <c r="AQ13" s="8" t="s">
        <v>969</v>
      </c>
      <c r="AR13" s="8" t="s">
        <v>1655</v>
      </c>
      <c r="AS13" s="8" t="s">
        <v>1656</v>
      </c>
      <c r="AT13" s="8" t="s">
        <v>986</v>
      </c>
      <c r="AU13" s="8">
        <v>2007.0</v>
      </c>
      <c r="AV13" s="8">
        <v>16.0</v>
      </c>
      <c r="AW13" s="8">
        <v>14.0</v>
      </c>
      <c r="AX13" s="8" t="s">
        <v>969</v>
      </c>
      <c r="AY13" s="8" t="s">
        <v>969</v>
      </c>
      <c r="AZ13" s="8" t="s">
        <v>969</v>
      </c>
      <c r="BA13" s="8" t="s">
        <v>969</v>
      </c>
      <c r="BB13" s="8">
        <v>3939.0</v>
      </c>
      <c r="BC13" s="8">
        <v>3950.0</v>
      </c>
      <c r="BD13" s="8" t="s">
        <v>969</v>
      </c>
      <c r="BE13" s="8" t="s">
        <v>524</v>
      </c>
      <c r="BF13" s="13" t="str">
        <f>HYPERLINK("http://dx.doi.org/10.1007/s10531-007-9152-z","http://dx.doi.org/10.1007/s10531-007-9152-z")</f>
        <v>http://dx.doi.org/10.1007/s10531-007-9152-z</v>
      </c>
      <c r="BG13" s="8" t="s">
        <v>969</v>
      </c>
      <c r="BH13" s="8" t="s">
        <v>969</v>
      </c>
      <c r="BI13" s="8">
        <v>12.0</v>
      </c>
      <c r="BJ13" s="8" t="s">
        <v>987</v>
      </c>
      <c r="BK13" s="8" t="s">
        <v>988</v>
      </c>
      <c r="BL13" s="8" t="s">
        <v>989</v>
      </c>
      <c r="BM13" s="8" t="s">
        <v>1727</v>
      </c>
      <c r="BN13" s="8" t="s">
        <v>969</v>
      </c>
      <c r="BO13" s="8" t="s">
        <v>969</v>
      </c>
      <c r="BP13" s="8" t="s">
        <v>969</v>
      </c>
      <c r="BQ13" s="8" t="s">
        <v>969</v>
      </c>
      <c r="BR13" s="8" t="s">
        <v>2912</v>
      </c>
      <c r="BS13" s="8" t="s">
        <v>1728</v>
      </c>
      <c r="BT13" s="8" t="s">
        <v>39</v>
      </c>
      <c r="BW13" s="8" t="s">
        <v>56</v>
      </c>
      <c r="BX13" s="3">
        <v>1.0</v>
      </c>
      <c r="BY13" s="8" t="str">
        <f>HYPERLINK("https%3A%2F%2Fwww.webofscience.com%2Fwos%2Fwoscc%2Ffull-record%2FWOS:000250833000001","View Full Record in Web of Science")</f>
        <v>View Full Record in Web of Science</v>
      </c>
    </row>
    <row r="14" ht="12.75" customHeight="1">
      <c r="A14" s="8" t="s">
        <v>967</v>
      </c>
      <c r="B14" s="8" t="s">
        <v>1613</v>
      </c>
      <c r="C14" s="8" t="s">
        <v>969</v>
      </c>
      <c r="D14" s="8" t="s">
        <v>969</v>
      </c>
      <c r="E14" s="8" t="s">
        <v>969</v>
      </c>
      <c r="F14" s="8" t="s">
        <v>1614</v>
      </c>
      <c r="G14" s="8" t="s">
        <v>969</v>
      </c>
      <c r="H14" s="8" t="s">
        <v>969</v>
      </c>
      <c r="I14" s="8" t="s">
        <v>1615</v>
      </c>
      <c r="J14" s="8" t="s">
        <v>1427</v>
      </c>
      <c r="K14" s="8" t="s">
        <v>969</v>
      </c>
      <c r="L14" s="8" t="s">
        <v>969</v>
      </c>
      <c r="M14" s="8" t="s">
        <v>972</v>
      </c>
      <c r="N14" s="8" t="s">
        <v>973</v>
      </c>
      <c r="O14" s="8" t="s">
        <v>969</v>
      </c>
      <c r="P14" s="8" t="s">
        <v>969</v>
      </c>
      <c r="Q14" s="8" t="s">
        <v>969</v>
      </c>
      <c r="R14" s="8" t="s">
        <v>969</v>
      </c>
      <c r="S14" s="8" t="s">
        <v>969</v>
      </c>
      <c r="T14" s="8" t="s">
        <v>1616</v>
      </c>
      <c r="U14" s="8" t="s">
        <v>1617</v>
      </c>
      <c r="V14" s="8" t="s">
        <v>1618</v>
      </c>
      <c r="W14" s="8" t="s">
        <v>1619</v>
      </c>
      <c r="X14" s="8" t="s">
        <v>1620</v>
      </c>
      <c r="Y14" s="8" t="s">
        <v>1621</v>
      </c>
      <c r="Z14" s="8" t="s">
        <v>1622</v>
      </c>
      <c r="AA14" s="8" t="s">
        <v>2947</v>
      </c>
      <c r="AB14" s="8" t="s">
        <v>2948</v>
      </c>
      <c r="AC14" s="8" t="s">
        <v>969</v>
      </c>
      <c r="AD14" s="8" t="s">
        <v>969</v>
      </c>
      <c r="AE14" s="8" t="s">
        <v>969</v>
      </c>
      <c r="AF14" s="8" t="s">
        <v>969</v>
      </c>
      <c r="AG14" s="8">
        <v>51.0</v>
      </c>
      <c r="AH14" s="8">
        <v>144.0</v>
      </c>
      <c r="AI14" s="8">
        <v>169.0</v>
      </c>
      <c r="AJ14" s="8">
        <v>2.0</v>
      </c>
      <c r="AK14" s="8">
        <v>60.0</v>
      </c>
      <c r="AL14" s="8" t="s">
        <v>1091</v>
      </c>
      <c r="AM14" s="8" t="s">
        <v>1092</v>
      </c>
      <c r="AN14" s="8" t="s">
        <v>1093</v>
      </c>
      <c r="AO14" s="8" t="s">
        <v>1437</v>
      </c>
      <c r="AP14" s="8" t="s">
        <v>1499</v>
      </c>
      <c r="AQ14" s="8" t="s">
        <v>969</v>
      </c>
      <c r="AR14" s="8" t="s">
        <v>1438</v>
      </c>
      <c r="AS14" s="8" t="s">
        <v>1439</v>
      </c>
      <c r="AT14" s="8" t="s">
        <v>1300</v>
      </c>
      <c r="AU14" s="8">
        <v>2006.0</v>
      </c>
      <c r="AV14" s="8">
        <v>12.0</v>
      </c>
      <c r="AW14" s="8">
        <v>5.0</v>
      </c>
      <c r="AX14" s="8" t="s">
        <v>969</v>
      </c>
      <c r="AY14" s="8" t="s">
        <v>969</v>
      </c>
      <c r="AZ14" s="8" t="s">
        <v>969</v>
      </c>
      <c r="BA14" s="8" t="s">
        <v>969</v>
      </c>
      <c r="BB14" s="8">
        <v>555.0</v>
      </c>
      <c r="BC14" s="8">
        <v>562.0</v>
      </c>
      <c r="BD14" s="8" t="s">
        <v>969</v>
      </c>
      <c r="BE14" s="8" t="s">
        <v>743</v>
      </c>
      <c r="BF14" s="13" t="str">
        <f>HYPERLINK("http://dx.doi.org/10.1111/j.1366-9516.2006.00273.x","http://dx.doi.org/10.1111/j.1366-9516.2006.00273.x")</f>
        <v>http://dx.doi.org/10.1111/j.1366-9516.2006.00273.x</v>
      </c>
      <c r="BG14" s="8" t="s">
        <v>969</v>
      </c>
      <c r="BH14" s="8" t="s">
        <v>969</v>
      </c>
      <c r="BI14" s="8">
        <v>8.0</v>
      </c>
      <c r="BJ14" s="8" t="s">
        <v>1286</v>
      </c>
      <c r="BK14" s="8" t="s">
        <v>988</v>
      </c>
      <c r="BL14" s="8" t="s">
        <v>989</v>
      </c>
      <c r="BM14" s="8" t="s">
        <v>1625</v>
      </c>
      <c r="BN14" s="8" t="s">
        <v>969</v>
      </c>
      <c r="BO14" s="8" t="s">
        <v>969</v>
      </c>
      <c r="BP14" s="8" t="s">
        <v>969</v>
      </c>
      <c r="BQ14" s="8" t="s">
        <v>969</v>
      </c>
      <c r="BR14" s="8" t="s">
        <v>2912</v>
      </c>
      <c r="BS14" s="8" t="s">
        <v>1626</v>
      </c>
      <c r="BT14" s="8" t="s">
        <v>39</v>
      </c>
      <c r="BW14" s="8" t="s">
        <v>51</v>
      </c>
      <c r="BX14" s="3">
        <v>1.0</v>
      </c>
      <c r="BY14" s="8" t="str">
        <f>HYPERLINK("https%3A%2F%2Fwww.webofscience.com%2Fwos%2Fwoscc%2Ffull-record%2FWOS:000239798200010","View Full Record in Web of Science")</f>
        <v>View Full Record in Web of Science</v>
      </c>
    </row>
    <row r="15" ht="12.75" customHeight="1">
      <c r="A15" s="8" t="s">
        <v>967</v>
      </c>
      <c r="B15" s="8" t="s">
        <v>1523</v>
      </c>
      <c r="C15" s="8" t="s">
        <v>969</v>
      </c>
      <c r="D15" s="8" t="s">
        <v>969</v>
      </c>
      <c r="E15" s="8" t="s">
        <v>969</v>
      </c>
      <c r="F15" s="8" t="s">
        <v>1523</v>
      </c>
      <c r="G15" s="8" t="s">
        <v>969</v>
      </c>
      <c r="H15" s="8" t="s">
        <v>969</v>
      </c>
      <c r="I15" s="8" t="s">
        <v>1524</v>
      </c>
      <c r="J15" s="8" t="s">
        <v>971</v>
      </c>
      <c r="K15" s="8" t="s">
        <v>969</v>
      </c>
      <c r="L15" s="8" t="s">
        <v>969</v>
      </c>
      <c r="M15" s="8" t="s">
        <v>972</v>
      </c>
      <c r="N15" s="8" t="s">
        <v>973</v>
      </c>
      <c r="O15" s="8" t="s">
        <v>969</v>
      </c>
      <c r="P15" s="8" t="s">
        <v>969</v>
      </c>
      <c r="Q15" s="8" t="s">
        <v>969</v>
      </c>
      <c r="R15" s="8" t="s">
        <v>969</v>
      </c>
      <c r="S15" s="8" t="s">
        <v>969</v>
      </c>
      <c r="T15" s="8" t="s">
        <v>1525</v>
      </c>
      <c r="U15" s="8" t="s">
        <v>1526</v>
      </c>
      <c r="V15" s="8" t="s">
        <v>1527</v>
      </c>
      <c r="W15" s="8" t="s">
        <v>1528</v>
      </c>
      <c r="X15" s="8" t="s">
        <v>1529</v>
      </c>
      <c r="Y15" s="8" t="s">
        <v>1530</v>
      </c>
      <c r="Z15" s="8" t="s">
        <v>1531</v>
      </c>
      <c r="AA15" s="8" t="s">
        <v>2949</v>
      </c>
      <c r="AB15" s="8" t="s">
        <v>2950</v>
      </c>
      <c r="AC15" s="8" t="s">
        <v>969</v>
      </c>
      <c r="AD15" s="8" t="s">
        <v>969</v>
      </c>
      <c r="AE15" s="8" t="s">
        <v>969</v>
      </c>
      <c r="AF15" s="8" t="s">
        <v>969</v>
      </c>
      <c r="AG15" s="8">
        <v>90.0</v>
      </c>
      <c r="AH15" s="8">
        <v>248.0</v>
      </c>
      <c r="AI15" s="8">
        <v>297.0</v>
      </c>
      <c r="AJ15" s="8">
        <v>0.0</v>
      </c>
      <c r="AK15" s="8">
        <v>130.0</v>
      </c>
      <c r="AL15" s="8" t="s">
        <v>1091</v>
      </c>
      <c r="AM15" s="8" t="s">
        <v>1092</v>
      </c>
      <c r="AN15" s="8" t="s">
        <v>1093</v>
      </c>
      <c r="AO15" s="8" t="s">
        <v>983</v>
      </c>
      <c r="AP15" s="8" t="s">
        <v>1094</v>
      </c>
      <c r="AQ15" s="8" t="s">
        <v>969</v>
      </c>
      <c r="AR15" s="8" t="s">
        <v>1095</v>
      </c>
      <c r="AS15" s="8" t="s">
        <v>985</v>
      </c>
      <c r="AT15" s="8" t="s">
        <v>1055</v>
      </c>
      <c r="AU15" s="8">
        <v>2006.0</v>
      </c>
      <c r="AV15" s="8">
        <v>12.0</v>
      </c>
      <c r="AW15" s="8">
        <v>3.0</v>
      </c>
      <c r="AX15" s="8" t="s">
        <v>969</v>
      </c>
      <c r="AY15" s="8" t="s">
        <v>969</v>
      </c>
      <c r="AZ15" s="8" t="s">
        <v>969</v>
      </c>
      <c r="BA15" s="8" t="s">
        <v>969</v>
      </c>
      <c r="BB15" s="8">
        <v>424.0</v>
      </c>
      <c r="BC15" s="8">
        <v>440.0</v>
      </c>
      <c r="BD15" s="8" t="s">
        <v>969</v>
      </c>
      <c r="BE15" s="8" t="s">
        <v>689</v>
      </c>
      <c r="BF15" s="13" t="str">
        <f>HYPERLINK("http://dx.doi.org/10.1111/j.1365-2486.2006.01115.x","http://dx.doi.org/10.1111/j.1365-2486.2006.01115.x")</f>
        <v>http://dx.doi.org/10.1111/j.1365-2486.2006.01115.x</v>
      </c>
      <c r="BG15" s="8" t="s">
        <v>969</v>
      </c>
      <c r="BH15" s="8" t="s">
        <v>969</v>
      </c>
      <c r="BI15" s="8">
        <v>17.0</v>
      </c>
      <c r="BJ15" s="8" t="s">
        <v>987</v>
      </c>
      <c r="BK15" s="8" t="s">
        <v>988</v>
      </c>
      <c r="BL15" s="8" t="s">
        <v>989</v>
      </c>
      <c r="BM15" s="8" t="s">
        <v>1534</v>
      </c>
      <c r="BN15" s="8" t="s">
        <v>969</v>
      </c>
      <c r="BO15" s="8" t="s">
        <v>969</v>
      </c>
      <c r="BP15" s="8" t="s">
        <v>969</v>
      </c>
      <c r="BQ15" s="8" t="s">
        <v>969</v>
      </c>
      <c r="BR15" s="8" t="s">
        <v>2912</v>
      </c>
      <c r="BS15" s="8" t="s">
        <v>1535</v>
      </c>
      <c r="BT15" s="8" t="s">
        <v>39</v>
      </c>
      <c r="BW15" s="8" t="s">
        <v>56</v>
      </c>
      <c r="BX15" s="3">
        <v>1.0</v>
      </c>
      <c r="BY15" s="8" t="str">
        <f>HYPERLINK("https%3A%2F%2Fwww.webofscience.com%2Fwos%2Fwoscc%2Ffull-record%2FWOS:000236023000002","View Full Record in Web of Science")</f>
        <v>View Full Record in Web of Science</v>
      </c>
    </row>
    <row r="16" ht="12.75" customHeight="1">
      <c r="A16" s="8" t="s">
        <v>967</v>
      </c>
      <c r="B16" s="8" t="s">
        <v>1490</v>
      </c>
      <c r="C16" s="8" t="s">
        <v>969</v>
      </c>
      <c r="D16" s="8" t="s">
        <v>969</v>
      </c>
      <c r="E16" s="8" t="s">
        <v>969</v>
      </c>
      <c r="F16" s="8" t="s">
        <v>1490</v>
      </c>
      <c r="G16" s="8" t="s">
        <v>969</v>
      </c>
      <c r="H16" s="8" t="s">
        <v>969</v>
      </c>
      <c r="I16" s="8" t="s">
        <v>1491</v>
      </c>
      <c r="J16" s="8" t="s">
        <v>1427</v>
      </c>
      <c r="K16" s="8" t="s">
        <v>969</v>
      </c>
      <c r="L16" s="8" t="s">
        <v>969</v>
      </c>
      <c r="M16" s="8" t="s">
        <v>972</v>
      </c>
      <c r="N16" s="8" t="s">
        <v>973</v>
      </c>
      <c r="O16" s="8" t="s">
        <v>969</v>
      </c>
      <c r="P16" s="8" t="s">
        <v>969</v>
      </c>
      <c r="Q16" s="8" t="s">
        <v>969</v>
      </c>
      <c r="R16" s="8" t="s">
        <v>969</v>
      </c>
      <c r="S16" s="8" t="s">
        <v>969</v>
      </c>
      <c r="T16" s="8" t="s">
        <v>1492</v>
      </c>
      <c r="U16" s="8" t="s">
        <v>1493</v>
      </c>
      <c r="V16" s="8" t="s">
        <v>1494</v>
      </c>
      <c r="W16" s="8" t="s">
        <v>1495</v>
      </c>
      <c r="X16" s="8" t="s">
        <v>1496</v>
      </c>
      <c r="Y16" s="8" t="s">
        <v>1497</v>
      </c>
      <c r="Z16" s="8" t="s">
        <v>1384</v>
      </c>
      <c r="AA16" s="8" t="s">
        <v>2951</v>
      </c>
      <c r="AB16" s="8" t="s">
        <v>1386</v>
      </c>
      <c r="AC16" s="8" t="s">
        <v>969</v>
      </c>
      <c r="AD16" s="8" t="s">
        <v>969</v>
      </c>
      <c r="AE16" s="8" t="s">
        <v>969</v>
      </c>
      <c r="AF16" s="8" t="s">
        <v>969</v>
      </c>
      <c r="AG16" s="8">
        <v>89.0</v>
      </c>
      <c r="AH16" s="8">
        <v>221.0</v>
      </c>
      <c r="AI16" s="8">
        <v>252.0</v>
      </c>
      <c r="AJ16" s="8">
        <v>3.0</v>
      </c>
      <c r="AK16" s="8">
        <v>120.0</v>
      </c>
      <c r="AL16" s="8" t="s">
        <v>1091</v>
      </c>
      <c r="AM16" s="8" t="s">
        <v>1092</v>
      </c>
      <c r="AN16" s="8" t="s">
        <v>1093</v>
      </c>
      <c r="AO16" s="8" t="s">
        <v>1437</v>
      </c>
      <c r="AP16" s="8" t="s">
        <v>1499</v>
      </c>
      <c r="AQ16" s="8" t="s">
        <v>969</v>
      </c>
      <c r="AR16" s="8" t="s">
        <v>1438</v>
      </c>
      <c r="AS16" s="8" t="s">
        <v>1439</v>
      </c>
      <c r="AT16" s="8" t="s">
        <v>1016</v>
      </c>
      <c r="AU16" s="8">
        <v>2006.0</v>
      </c>
      <c r="AV16" s="8">
        <v>12.0</v>
      </c>
      <c r="AW16" s="8">
        <v>1.0</v>
      </c>
      <c r="AX16" s="8" t="s">
        <v>969</v>
      </c>
      <c r="AY16" s="8" t="s">
        <v>969</v>
      </c>
      <c r="AZ16" s="8" t="s">
        <v>969</v>
      </c>
      <c r="BA16" s="8" t="s">
        <v>969</v>
      </c>
      <c r="BB16" s="8">
        <v>49.0</v>
      </c>
      <c r="BC16" s="8">
        <v>60.0</v>
      </c>
      <c r="BD16" s="8" t="s">
        <v>969</v>
      </c>
      <c r="BE16" s="8" t="s">
        <v>740</v>
      </c>
      <c r="BF16" s="13" t="str">
        <f>HYPERLINK("http://dx.doi.org/10.1111/j.1366-9516.2006.00216.x","http://dx.doi.org/10.1111/j.1366-9516.2006.00216.x")</f>
        <v>http://dx.doi.org/10.1111/j.1366-9516.2006.00216.x</v>
      </c>
      <c r="BG16" s="8" t="s">
        <v>969</v>
      </c>
      <c r="BH16" s="8" t="s">
        <v>969</v>
      </c>
      <c r="BI16" s="8">
        <v>12.0</v>
      </c>
      <c r="BJ16" s="8" t="s">
        <v>1286</v>
      </c>
      <c r="BK16" s="8" t="s">
        <v>988</v>
      </c>
      <c r="BL16" s="8" t="s">
        <v>989</v>
      </c>
      <c r="BM16" s="8" t="s">
        <v>1500</v>
      </c>
      <c r="BN16" s="8" t="s">
        <v>969</v>
      </c>
      <c r="BO16" s="8" t="s">
        <v>1227</v>
      </c>
      <c r="BP16" s="8" t="s">
        <v>969</v>
      </c>
      <c r="BQ16" s="8" t="s">
        <v>969</v>
      </c>
      <c r="BR16" s="8" t="s">
        <v>2912</v>
      </c>
      <c r="BS16" s="8" t="s">
        <v>1501</v>
      </c>
      <c r="BT16" s="8" t="s">
        <v>39</v>
      </c>
      <c r="BW16" s="8" t="s">
        <v>51</v>
      </c>
      <c r="BX16" s="3">
        <v>1.0</v>
      </c>
      <c r="BY16" s="8" t="str">
        <f>HYPERLINK("https%3A%2F%2Fwww.webofscience.com%2Fwos%2Fwoscc%2Ffull-record%2FWOS:000234026600006","View Full Record in Web of Science")</f>
        <v>View Full Record in Web of Science</v>
      </c>
    </row>
    <row r="17" ht="12.75" customHeight="1">
      <c r="A17" s="8" t="s">
        <v>967</v>
      </c>
      <c r="B17" s="8" t="s">
        <v>1463</v>
      </c>
      <c r="C17" s="8" t="s">
        <v>969</v>
      </c>
      <c r="D17" s="8" t="s">
        <v>969</v>
      </c>
      <c r="E17" s="8" t="s">
        <v>969</v>
      </c>
      <c r="F17" s="8" t="s">
        <v>1463</v>
      </c>
      <c r="G17" s="8" t="s">
        <v>969</v>
      </c>
      <c r="H17" s="8" t="s">
        <v>969</v>
      </c>
      <c r="I17" s="8" t="s">
        <v>1464</v>
      </c>
      <c r="J17" s="8" t="s">
        <v>971</v>
      </c>
      <c r="K17" s="8" t="s">
        <v>969</v>
      </c>
      <c r="L17" s="8" t="s">
        <v>969</v>
      </c>
      <c r="M17" s="8" t="s">
        <v>972</v>
      </c>
      <c r="N17" s="8" t="s">
        <v>973</v>
      </c>
      <c r="O17" s="8" t="s">
        <v>969</v>
      </c>
      <c r="P17" s="8" t="s">
        <v>969</v>
      </c>
      <c r="Q17" s="8" t="s">
        <v>969</v>
      </c>
      <c r="R17" s="8" t="s">
        <v>969</v>
      </c>
      <c r="S17" s="8" t="s">
        <v>969</v>
      </c>
      <c r="T17" s="8" t="s">
        <v>1465</v>
      </c>
      <c r="U17" s="8" t="s">
        <v>1466</v>
      </c>
      <c r="V17" s="8" t="s">
        <v>1467</v>
      </c>
      <c r="W17" s="8" t="s">
        <v>1468</v>
      </c>
      <c r="X17" s="8" t="s">
        <v>1469</v>
      </c>
      <c r="Y17" s="8" t="s">
        <v>1470</v>
      </c>
      <c r="Z17" s="8" t="s">
        <v>1471</v>
      </c>
      <c r="AA17" s="8" t="s">
        <v>2952</v>
      </c>
      <c r="AB17" s="8" t="s">
        <v>2953</v>
      </c>
      <c r="AC17" s="8" t="s">
        <v>969</v>
      </c>
      <c r="AD17" s="8" t="s">
        <v>969</v>
      </c>
      <c r="AE17" s="8" t="s">
        <v>969</v>
      </c>
      <c r="AF17" s="8" t="s">
        <v>969</v>
      </c>
      <c r="AG17" s="8">
        <v>69.0</v>
      </c>
      <c r="AH17" s="8">
        <v>104.0</v>
      </c>
      <c r="AI17" s="8">
        <v>124.0</v>
      </c>
      <c r="AJ17" s="8">
        <v>1.0</v>
      </c>
      <c r="AK17" s="8">
        <v>61.0</v>
      </c>
      <c r="AL17" s="8" t="s">
        <v>1091</v>
      </c>
      <c r="AM17" s="8" t="s">
        <v>1092</v>
      </c>
      <c r="AN17" s="8" t="s">
        <v>1093</v>
      </c>
      <c r="AO17" s="8" t="s">
        <v>983</v>
      </c>
      <c r="AP17" s="8" t="s">
        <v>1094</v>
      </c>
      <c r="AQ17" s="8" t="s">
        <v>969</v>
      </c>
      <c r="AR17" s="8" t="s">
        <v>1095</v>
      </c>
      <c r="AS17" s="8" t="s">
        <v>985</v>
      </c>
      <c r="AT17" s="8" t="s">
        <v>1300</v>
      </c>
      <c r="AU17" s="8">
        <v>2005.0</v>
      </c>
      <c r="AV17" s="8">
        <v>11.0</v>
      </c>
      <c r="AW17" s="8">
        <v>9.0</v>
      </c>
      <c r="AX17" s="8" t="s">
        <v>969</v>
      </c>
      <c r="AY17" s="8" t="s">
        <v>969</v>
      </c>
      <c r="AZ17" s="8" t="s">
        <v>969</v>
      </c>
      <c r="BA17" s="8" t="s">
        <v>969</v>
      </c>
      <c r="BB17" s="8">
        <v>1452.0</v>
      </c>
      <c r="BC17" s="8">
        <v>1468.0</v>
      </c>
      <c r="BD17" s="8" t="s">
        <v>969</v>
      </c>
      <c r="BE17" s="8" t="s">
        <v>686</v>
      </c>
      <c r="BF17" s="13" t="str">
        <f>HYPERLINK("http://dx.doi.org/10.1111/j.1365-2486.2005.00997.x","http://dx.doi.org/10.1111/j.1365-2486.2005.00997.x")</f>
        <v>http://dx.doi.org/10.1111/j.1365-2486.2005.00997.x</v>
      </c>
      <c r="BG17" s="8" t="s">
        <v>969</v>
      </c>
      <c r="BH17" s="8" t="s">
        <v>969</v>
      </c>
      <c r="BI17" s="8">
        <v>17.0</v>
      </c>
      <c r="BJ17" s="8" t="s">
        <v>987</v>
      </c>
      <c r="BK17" s="8" t="s">
        <v>988</v>
      </c>
      <c r="BL17" s="8" t="s">
        <v>989</v>
      </c>
      <c r="BM17" s="8" t="s">
        <v>1474</v>
      </c>
      <c r="BN17" s="8" t="s">
        <v>969</v>
      </c>
      <c r="BO17" s="8" t="s">
        <v>969</v>
      </c>
      <c r="BP17" s="8" t="s">
        <v>969</v>
      </c>
      <c r="BQ17" s="8" t="s">
        <v>969</v>
      </c>
      <c r="BR17" s="8" t="s">
        <v>2912</v>
      </c>
      <c r="BS17" s="8" t="s">
        <v>1475</v>
      </c>
      <c r="BT17" s="8" t="s">
        <v>39</v>
      </c>
      <c r="BW17" s="8" t="s">
        <v>51</v>
      </c>
      <c r="BX17" s="3">
        <v>1.0</v>
      </c>
      <c r="BY17" s="8" t="str">
        <f>HYPERLINK("https%3A%2F%2Fwww.webofscience.com%2Fwos%2Fwoscc%2Ffull-record%2FWOS:000231396700005","View Full Record in Web of Science")</f>
        <v>View Full Record in Web of Science</v>
      </c>
    </row>
    <row r="18" ht="12.75" customHeight="1">
      <c r="A18" s="8" t="s">
        <v>967</v>
      </c>
      <c r="B18" s="8" t="s">
        <v>2954</v>
      </c>
      <c r="C18" s="8" t="s">
        <v>969</v>
      </c>
      <c r="D18" s="8" t="s">
        <v>969</v>
      </c>
      <c r="E18" s="8" t="s">
        <v>969</v>
      </c>
      <c r="F18" s="8" t="s">
        <v>2954</v>
      </c>
      <c r="G18" s="8" t="s">
        <v>969</v>
      </c>
      <c r="H18" s="8" t="s">
        <v>969</v>
      </c>
      <c r="I18" s="8" t="s">
        <v>2955</v>
      </c>
      <c r="J18" s="8" t="s">
        <v>2956</v>
      </c>
      <c r="K18" s="8" t="s">
        <v>969</v>
      </c>
      <c r="L18" s="8" t="s">
        <v>969</v>
      </c>
      <c r="M18" s="8" t="s">
        <v>972</v>
      </c>
      <c r="N18" s="8" t="s">
        <v>973</v>
      </c>
      <c r="O18" s="8" t="s">
        <v>969</v>
      </c>
      <c r="P18" s="8" t="s">
        <v>969</v>
      </c>
      <c r="Q18" s="8" t="s">
        <v>969</v>
      </c>
      <c r="R18" s="8" t="s">
        <v>969</v>
      </c>
      <c r="S18" s="8" t="s">
        <v>969</v>
      </c>
      <c r="T18" s="8" t="s">
        <v>969</v>
      </c>
      <c r="U18" s="8" t="s">
        <v>2957</v>
      </c>
      <c r="V18" s="8" t="s">
        <v>2958</v>
      </c>
      <c r="W18" s="8" t="s">
        <v>2959</v>
      </c>
      <c r="X18" s="8" t="s">
        <v>2960</v>
      </c>
      <c r="Y18" s="8" t="s">
        <v>2961</v>
      </c>
      <c r="Z18" s="8" t="s">
        <v>2962</v>
      </c>
      <c r="AA18" s="8" t="s">
        <v>2963</v>
      </c>
      <c r="AB18" s="8" t="s">
        <v>2964</v>
      </c>
      <c r="AC18" s="8" t="s">
        <v>969</v>
      </c>
      <c r="AD18" s="8" t="s">
        <v>969</v>
      </c>
      <c r="AE18" s="8" t="s">
        <v>969</v>
      </c>
      <c r="AF18" s="8" t="s">
        <v>969</v>
      </c>
      <c r="AG18" s="8">
        <v>89.0</v>
      </c>
      <c r="AH18" s="8">
        <v>66.0</v>
      </c>
      <c r="AI18" s="8">
        <v>80.0</v>
      </c>
      <c r="AJ18" s="8">
        <v>0.0</v>
      </c>
      <c r="AK18" s="8">
        <v>79.0</v>
      </c>
      <c r="AL18" s="8" t="s">
        <v>2965</v>
      </c>
      <c r="AM18" s="8" t="s">
        <v>2966</v>
      </c>
      <c r="AN18" s="8" t="s">
        <v>2967</v>
      </c>
      <c r="AO18" s="8" t="s">
        <v>2968</v>
      </c>
      <c r="AP18" s="8" t="s">
        <v>2969</v>
      </c>
      <c r="AQ18" s="8" t="s">
        <v>969</v>
      </c>
      <c r="AR18" s="8" t="s">
        <v>2956</v>
      </c>
      <c r="AS18" s="8" t="s">
        <v>2970</v>
      </c>
      <c r="AT18" s="8" t="s">
        <v>986</v>
      </c>
      <c r="AU18" s="8">
        <v>2004.0</v>
      </c>
      <c r="AV18" s="8">
        <v>75.0</v>
      </c>
      <c r="AW18" s="8">
        <v>4.0</v>
      </c>
      <c r="AX18" s="8" t="s">
        <v>969</v>
      </c>
      <c r="AY18" s="8" t="s">
        <v>969</v>
      </c>
      <c r="AZ18" s="8" t="s">
        <v>969</v>
      </c>
      <c r="BA18" s="8" t="s">
        <v>969</v>
      </c>
      <c r="BB18" s="8">
        <v>295.0</v>
      </c>
      <c r="BC18" s="8">
        <v>308.0</v>
      </c>
      <c r="BD18" s="8" t="s">
        <v>969</v>
      </c>
      <c r="BE18" s="8" t="s">
        <v>848</v>
      </c>
      <c r="BF18" s="13" t="str">
        <f>HYPERLINK("http://dx.doi.org/10.2989/00306520409485458","http://dx.doi.org/10.2989/00306520409485458")</f>
        <v>http://dx.doi.org/10.2989/00306520409485458</v>
      </c>
      <c r="BG18" s="8" t="s">
        <v>969</v>
      </c>
      <c r="BH18" s="8" t="s">
        <v>969</v>
      </c>
      <c r="BI18" s="8">
        <v>14.0</v>
      </c>
      <c r="BJ18" s="8" t="s">
        <v>2971</v>
      </c>
      <c r="BK18" s="8" t="s">
        <v>988</v>
      </c>
      <c r="BL18" s="8" t="s">
        <v>1321</v>
      </c>
      <c r="BM18" s="8" t="s">
        <v>2972</v>
      </c>
      <c r="BN18" s="8" t="s">
        <v>969</v>
      </c>
      <c r="BO18" s="8" t="s">
        <v>969</v>
      </c>
      <c r="BP18" s="8" t="s">
        <v>969</v>
      </c>
      <c r="BQ18" s="8" t="s">
        <v>969</v>
      </c>
      <c r="BR18" s="8" t="s">
        <v>2912</v>
      </c>
      <c r="BS18" s="8" t="s">
        <v>2973</v>
      </c>
      <c r="BT18" s="8" t="s">
        <v>39</v>
      </c>
      <c r="BW18" s="8" t="s">
        <v>81</v>
      </c>
      <c r="BX18" s="3">
        <v>1.0</v>
      </c>
      <c r="BY18" s="8" t="str">
        <f>HYPERLINK("https%3A%2F%2Fwww.webofscience.com%2Fwos%2Fwoscc%2Ffull-record%2FWOS:000226678100020","View Full Record in Web of Science")</f>
        <v>View Full Record in Web of Science</v>
      </c>
    </row>
    <row r="19" ht="12.75" customHeight="1">
      <c r="A19" s="8" t="s">
        <v>967</v>
      </c>
      <c r="B19" s="8" t="s">
        <v>1181</v>
      </c>
      <c r="C19" s="8" t="s">
        <v>969</v>
      </c>
      <c r="D19" s="8" t="s">
        <v>969</v>
      </c>
      <c r="E19" s="8" t="s">
        <v>969</v>
      </c>
      <c r="F19" s="8" t="s">
        <v>1181</v>
      </c>
      <c r="G19" s="8" t="s">
        <v>969</v>
      </c>
      <c r="H19" s="8" t="s">
        <v>969</v>
      </c>
      <c r="I19" s="8" t="s">
        <v>1182</v>
      </c>
      <c r="J19" s="8" t="s">
        <v>1183</v>
      </c>
      <c r="K19" s="8" t="s">
        <v>969</v>
      </c>
      <c r="L19" s="8" t="s">
        <v>969</v>
      </c>
      <c r="M19" s="8" t="s">
        <v>972</v>
      </c>
      <c r="N19" s="8" t="s">
        <v>973</v>
      </c>
      <c r="O19" s="8" t="s">
        <v>969</v>
      </c>
      <c r="P19" s="8" t="s">
        <v>969</v>
      </c>
      <c r="Q19" s="8" t="s">
        <v>969</v>
      </c>
      <c r="R19" s="8" t="s">
        <v>969</v>
      </c>
      <c r="S19" s="8" t="s">
        <v>969</v>
      </c>
      <c r="T19" s="8" t="s">
        <v>1184</v>
      </c>
      <c r="U19" s="8" t="s">
        <v>1185</v>
      </c>
      <c r="V19" s="8" t="s">
        <v>1186</v>
      </c>
      <c r="W19" s="8" t="s">
        <v>1187</v>
      </c>
      <c r="X19" s="8" t="s">
        <v>1188</v>
      </c>
      <c r="Y19" s="8" t="s">
        <v>1189</v>
      </c>
      <c r="Z19" s="8" t="s">
        <v>1156</v>
      </c>
      <c r="AA19" s="8" t="s">
        <v>2974</v>
      </c>
      <c r="AB19" s="8" t="s">
        <v>2975</v>
      </c>
      <c r="AC19" s="8" t="s">
        <v>969</v>
      </c>
      <c r="AD19" s="8" t="s">
        <v>969</v>
      </c>
      <c r="AE19" s="8" t="s">
        <v>969</v>
      </c>
      <c r="AF19" s="8" t="s">
        <v>969</v>
      </c>
      <c r="AG19" s="8">
        <v>48.0</v>
      </c>
      <c r="AH19" s="8">
        <v>217.0</v>
      </c>
      <c r="AI19" s="8">
        <v>252.0</v>
      </c>
      <c r="AJ19" s="8">
        <v>0.0</v>
      </c>
      <c r="AK19" s="8">
        <v>60.0</v>
      </c>
      <c r="AL19" s="8" t="s">
        <v>1192</v>
      </c>
      <c r="AM19" s="8" t="s">
        <v>1193</v>
      </c>
      <c r="AN19" s="8" t="s">
        <v>1194</v>
      </c>
      <c r="AO19" s="8" t="s">
        <v>1195</v>
      </c>
      <c r="AP19" s="8" t="s">
        <v>1196</v>
      </c>
      <c r="AQ19" s="8" t="s">
        <v>969</v>
      </c>
      <c r="AR19" s="8" t="s">
        <v>1197</v>
      </c>
      <c r="AS19" s="8" t="s">
        <v>1198</v>
      </c>
      <c r="AT19" s="8" t="s">
        <v>1199</v>
      </c>
      <c r="AU19" s="8">
        <v>2003.0</v>
      </c>
      <c r="AV19" s="8">
        <v>112.0</v>
      </c>
      <c r="AW19" s="8" t="s">
        <v>1200</v>
      </c>
      <c r="AX19" s="8" t="s">
        <v>969</v>
      </c>
      <c r="AY19" s="8" t="s">
        <v>969</v>
      </c>
      <c r="AZ19" s="8" t="s">
        <v>969</v>
      </c>
      <c r="BA19" s="8" t="s">
        <v>969</v>
      </c>
      <c r="BB19" s="8">
        <v>87.0</v>
      </c>
      <c r="BC19" s="8">
        <v>97.0</v>
      </c>
      <c r="BD19" s="8" t="s">
        <v>969</v>
      </c>
      <c r="BE19" s="8" t="s">
        <v>581</v>
      </c>
      <c r="BF19" s="13" t="str">
        <f>HYPERLINK("http://dx.doi.org/10.1016/S0006-3207(02)00414-7","http://dx.doi.org/10.1016/S0006-3207(02)00414-7")</f>
        <v>http://dx.doi.org/10.1016/S0006-3207(02)00414-7</v>
      </c>
      <c r="BG19" s="8" t="s">
        <v>969</v>
      </c>
      <c r="BH19" s="8" t="s">
        <v>969</v>
      </c>
      <c r="BI19" s="8">
        <v>11.0</v>
      </c>
      <c r="BJ19" s="8" t="s">
        <v>987</v>
      </c>
      <c r="BK19" s="8" t="s">
        <v>988</v>
      </c>
      <c r="BL19" s="8" t="s">
        <v>989</v>
      </c>
      <c r="BM19" s="8" t="s">
        <v>1201</v>
      </c>
      <c r="BN19" s="8" t="s">
        <v>969</v>
      </c>
      <c r="BO19" s="8" t="s">
        <v>969</v>
      </c>
      <c r="BP19" s="8" t="s">
        <v>969</v>
      </c>
      <c r="BQ19" s="8" t="s">
        <v>969</v>
      </c>
      <c r="BR19" s="8" t="s">
        <v>2912</v>
      </c>
      <c r="BS19" s="8" t="s">
        <v>1202</v>
      </c>
      <c r="BT19" s="8" t="s">
        <v>39</v>
      </c>
      <c r="BW19" s="8" t="s">
        <v>51</v>
      </c>
      <c r="BX19" s="3">
        <v>1.0</v>
      </c>
      <c r="BY19" s="8" t="str">
        <f>HYPERLINK("https%3A%2F%2Fwww.webofscience.com%2Fwos%2Fwoscc%2Ffull-record%2FWOS:000182913800006","View Full Record in Web of Science")</f>
        <v>View Full Record in Web of Science</v>
      </c>
    </row>
    <row r="20" ht="12.75" customHeight="1">
      <c r="A20" s="8" t="s">
        <v>967</v>
      </c>
      <c r="B20" s="8" t="s">
        <v>1142</v>
      </c>
      <c r="C20" s="8" t="s">
        <v>969</v>
      </c>
      <c r="D20" s="8" t="s">
        <v>969</v>
      </c>
      <c r="E20" s="8" t="s">
        <v>969</v>
      </c>
      <c r="F20" s="8" t="s">
        <v>1142</v>
      </c>
      <c r="G20" s="8" t="s">
        <v>969</v>
      </c>
      <c r="H20" s="8" t="s">
        <v>969</v>
      </c>
      <c r="I20" s="8" t="s">
        <v>1143</v>
      </c>
      <c r="J20" s="8" t="s">
        <v>1144</v>
      </c>
      <c r="K20" s="8" t="s">
        <v>969</v>
      </c>
      <c r="L20" s="8" t="s">
        <v>969</v>
      </c>
      <c r="M20" s="8" t="s">
        <v>972</v>
      </c>
      <c r="N20" s="8" t="s">
        <v>1145</v>
      </c>
      <c r="O20" s="8" t="s">
        <v>1146</v>
      </c>
      <c r="P20" s="8" t="s">
        <v>1147</v>
      </c>
      <c r="Q20" s="8" t="s">
        <v>1148</v>
      </c>
      <c r="R20" s="8" t="s">
        <v>1149</v>
      </c>
      <c r="S20" s="8" t="s">
        <v>969</v>
      </c>
      <c r="T20" s="8" t="s">
        <v>1150</v>
      </c>
      <c r="U20" s="8" t="s">
        <v>1151</v>
      </c>
      <c r="V20" s="8" t="s">
        <v>1152</v>
      </c>
      <c r="W20" s="8" t="s">
        <v>1153</v>
      </c>
      <c r="X20" s="8" t="s">
        <v>1154</v>
      </c>
      <c r="Y20" s="8" t="s">
        <v>1155</v>
      </c>
      <c r="Z20" s="8" t="s">
        <v>1156</v>
      </c>
      <c r="AA20" s="8" t="s">
        <v>2976</v>
      </c>
      <c r="AB20" s="8" t="s">
        <v>2977</v>
      </c>
      <c r="AC20" s="8" t="s">
        <v>969</v>
      </c>
      <c r="AD20" s="8" t="s">
        <v>969</v>
      </c>
      <c r="AE20" s="8" t="s">
        <v>969</v>
      </c>
      <c r="AF20" s="8" t="s">
        <v>969</v>
      </c>
      <c r="AG20" s="8">
        <v>32.0</v>
      </c>
      <c r="AH20" s="8">
        <v>302.0</v>
      </c>
      <c r="AI20" s="8">
        <v>360.0</v>
      </c>
      <c r="AJ20" s="8">
        <v>2.0</v>
      </c>
      <c r="AK20" s="8">
        <v>144.0</v>
      </c>
      <c r="AL20" s="8" t="s">
        <v>1091</v>
      </c>
      <c r="AM20" s="8" t="s">
        <v>1092</v>
      </c>
      <c r="AN20" s="8" t="s">
        <v>1093</v>
      </c>
      <c r="AO20" s="8" t="s">
        <v>1159</v>
      </c>
      <c r="AP20" s="8" t="s">
        <v>1160</v>
      </c>
      <c r="AQ20" s="8" t="s">
        <v>969</v>
      </c>
      <c r="AR20" s="8" t="s">
        <v>1161</v>
      </c>
      <c r="AS20" s="8" t="s">
        <v>1162</v>
      </c>
      <c r="AT20" s="8" t="s">
        <v>1163</v>
      </c>
      <c r="AU20" s="8">
        <v>2002.0</v>
      </c>
      <c r="AV20" s="8">
        <v>11.0</v>
      </c>
      <c r="AW20" s="8">
        <v>6.0</v>
      </c>
      <c r="AX20" s="8" t="s">
        <v>969</v>
      </c>
      <c r="AY20" s="8" t="s">
        <v>969</v>
      </c>
      <c r="AZ20" s="8" t="s">
        <v>969</v>
      </c>
      <c r="BA20" s="8" t="s">
        <v>969</v>
      </c>
      <c r="BB20" s="8">
        <v>445.0</v>
      </c>
      <c r="BC20" s="8">
        <v>451.0</v>
      </c>
      <c r="BD20" s="8" t="s">
        <v>969</v>
      </c>
      <c r="BE20" s="8" t="s">
        <v>626</v>
      </c>
      <c r="BF20" s="13" t="str">
        <f>HYPERLINK("http://dx.doi.org/10.1046/j.1466-822X.2002.00307.x","http://dx.doi.org/10.1046/j.1466-822X.2002.00307.x")</f>
        <v>http://dx.doi.org/10.1046/j.1466-822X.2002.00307.x</v>
      </c>
      <c r="BG20" s="8" t="s">
        <v>969</v>
      </c>
      <c r="BH20" s="8" t="s">
        <v>969</v>
      </c>
      <c r="BI20" s="8">
        <v>7.0</v>
      </c>
      <c r="BJ20" s="8" t="s">
        <v>1017</v>
      </c>
      <c r="BK20" s="8" t="s">
        <v>1164</v>
      </c>
      <c r="BL20" s="8" t="s">
        <v>1018</v>
      </c>
      <c r="BM20" s="8" t="s">
        <v>1165</v>
      </c>
      <c r="BN20" s="8" t="s">
        <v>969</v>
      </c>
      <c r="BO20" s="8" t="s">
        <v>969</v>
      </c>
      <c r="BP20" s="8" t="s">
        <v>969</v>
      </c>
      <c r="BQ20" s="8" t="s">
        <v>969</v>
      </c>
      <c r="BR20" s="8" t="s">
        <v>2912</v>
      </c>
      <c r="BS20" s="8" t="s">
        <v>1166</v>
      </c>
      <c r="BT20" s="8" t="s">
        <v>39</v>
      </c>
      <c r="BW20" s="8" t="s">
        <v>51</v>
      </c>
      <c r="BX20" s="3">
        <v>1.0</v>
      </c>
      <c r="BY20" s="8" t="str">
        <f>HYPERLINK("https%3A%2F%2Fwww.webofscience.com%2Fwos%2Fwoscc%2Ffull-record%2FWOS:000179978200002","View Full Record in Web of Science")</f>
        <v>View Full Record in Web of Science</v>
      </c>
    </row>
    <row r="21" ht="12.75" customHeight="1">
      <c r="A21" s="8" t="s">
        <v>967</v>
      </c>
      <c r="B21" s="8" t="s">
        <v>1080</v>
      </c>
      <c r="C21" s="8" t="s">
        <v>969</v>
      </c>
      <c r="D21" s="8" t="s">
        <v>969</v>
      </c>
      <c r="E21" s="8" t="s">
        <v>969</v>
      </c>
      <c r="F21" s="8" t="s">
        <v>1080</v>
      </c>
      <c r="G21" s="8" t="s">
        <v>969</v>
      </c>
      <c r="H21" s="8" t="s">
        <v>969</v>
      </c>
      <c r="I21" s="8" t="s">
        <v>1081</v>
      </c>
      <c r="J21" s="8" t="s">
        <v>971</v>
      </c>
      <c r="K21" s="8" t="s">
        <v>969</v>
      </c>
      <c r="L21" s="8" t="s">
        <v>969</v>
      </c>
      <c r="M21" s="8" t="s">
        <v>972</v>
      </c>
      <c r="N21" s="8" t="s">
        <v>973</v>
      </c>
      <c r="O21" s="8" t="s">
        <v>969</v>
      </c>
      <c r="P21" s="8" t="s">
        <v>969</v>
      </c>
      <c r="Q21" s="8" t="s">
        <v>969</v>
      </c>
      <c r="R21" s="8" t="s">
        <v>969</v>
      </c>
      <c r="S21" s="8" t="s">
        <v>969</v>
      </c>
      <c r="T21" s="8" t="s">
        <v>1082</v>
      </c>
      <c r="U21" s="8" t="s">
        <v>1083</v>
      </c>
      <c r="V21" s="8" t="s">
        <v>1084</v>
      </c>
      <c r="W21" s="8" t="s">
        <v>1085</v>
      </c>
      <c r="X21" s="8" t="s">
        <v>1086</v>
      </c>
      <c r="Y21" s="8" t="s">
        <v>1087</v>
      </c>
      <c r="Z21" s="8" t="s">
        <v>1088</v>
      </c>
      <c r="AA21" s="8" t="s">
        <v>2978</v>
      </c>
      <c r="AB21" s="8" t="s">
        <v>1090</v>
      </c>
      <c r="AC21" s="8" t="s">
        <v>969</v>
      </c>
      <c r="AD21" s="8" t="s">
        <v>969</v>
      </c>
      <c r="AE21" s="8" t="s">
        <v>969</v>
      </c>
      <c r="AF21" s="8" t="s">
        <v>969</v>
      </c>
      <c r="AG21" s="8">
        <v>96.0</v>
      </c>
      <c r="AH21" s="8">
        <v>233.0</v>
      </c>
      <c r="AI21" s="8">
        <v>293.0</v>
      </c>
      <c r="AJ21" s="8">
        <v>1.0</v>
      </c>
      <c r="AK21" s="8">
        <v>89.0</v>
      </c>
      <c r="AL21" s="8" t="s">
        <v>1091</v>
      </c>
      <c r="AM21" s="8" t="s">
        <v>1092</v>
      </c>
      <c r="AN21" s="8" t="s">
        <v>1093</v>
      </c>
      <c r="AO21" s="8" t="s">
        <v>983</v>
      </c>
      <c r="AP21" s="8" t="s">
        <v>1094</v>
      </c>
      <c r="AQ21" s="8" t="s">
        <v>969</v>
      </c>
      <c r="AR21" s="8" t="s">
        <v>1095</v>
      </c>
      <c r="AS21" s="8" t="s">
        <v>985</v>
      </c>
      <c r="AT21" s="8" t="s">
        <v>1096</v>
      </c>
      <c r="AU21" s="8">
        <v>2002.0</v>
      </c>
      <c r="AV21" s="8">
        <v>8.0</v>
      </c>
      <c r="AW21" s="8">
        <v>7.0</v>
      </c>
      <c r="AX21" s="8" t="s">
        <v>969</v>
      </c>
      <c r="AY21" s="8" t="s">
        <v>969</v>
      </c>
      <c r="AZ21" s="8" t="s">
        <v>969</v>
      </c>
      <c r="BA21" s="8" t="s">
        <v>969</v>
      </c>
      <c r="BB21" s="8">
        <v>679.0</v>
      </c>
      <c r="BC21" s="8">
        <v>693.0</v>
      </c>
      <c r="BD21" s="8" t="s">
        <v>969</v>
      </c>
      <c r="BE21" s="8" t="s">
        <v>611</v>
      </c>
      <c r="BF21" s="13" t="str">
        <f>HYPERLINK("http://dx.doi.org/10.1046/j.1365-2486.2002.00502.x","http://dx.doi.org/10.1046/j.1365-2486.2002.00502.x")</f>
        <v>http://dx.doi.org/10.1046/j.1365-2486.2002.00502.x</v>
      </c>
      <c r="BG21" s="8" t="s">
        <v>969</v>
      </c>
      <c r="BH21" s="8" t="s">
        <v>969</v>
      </c>
      <c r="BI21" s="8">
        <v>15.0</v>
      </c>
      <c r="BJ21" s="8" t="s">
        <v>987</v>
      </c>
      <c r="BK21" s="8" t="s">
        <v>988</v>
      </c>
      <c r="BL21" s="8" t="s">
        <v>989</v>
      </c>
      <c r="BM21" s="8" t="s">
        <v>1097</v>
      </c>
      <c r="BN21" s="8" t="s">
        <v>969</v>
      </c>
      <c r="BO21" s="8" t="s">
        <v>969</v>
      </c>
      <c r="BP21" s="8" t="s">
        <v>969</v>
      </c>
      <c r="BQ21" s="8" t="s">
        <v>969</v>
      </c>
      <c r="BR21" s="8" t="s">
        <v>2912</v>
      </c>
      <c r="BS21" s="8" t="s">
        <v>1098</v>
      </c>
      <c r="BT21" s="8" t="s">
        <v>39</v>
      </c>
      <c r="BW21" s="8" t="s">
        <v>135</v>
      </c>
      <c r="BX21" s="3">
        <v>1.0</v>
      </c>
      <c r="BY21" s="8" t="str">
        <f>HYPERLINK("https%3A%2F%2Fwww.webofscience.com%2Fwos%2Fwoscc%2Ffull-record%2FWOS:000176055800007","View Full Record in Web of Science")</f>
        <v>View Full Record in Web of Science</v>
      </c>
    </row>
    <row r="22" ht="12.75" customHeight="1">
      <c r="A22" s="8" t="s">
        <v>967</v>
      </c>
      <c r="B22" s="8" t="s">
        <v>2979</v>
      </c>
      <c r="C22" s="8" t="s">
        <v>969</v>
      </c>
      <c r="D22" s="8" t="s">
        <v>969</v>
      </c>
      <c r="E22" s="8" t="s">
        <v>969</v>
      </c>
      <c r="F22" s="8" t="s">
        <v>2980</v>
      </c>
      <c r="G22" s="8" t="s">
        <v>969</v>
      </c>
      <c r="H22" s="8" t="s">
        <v>969</v>
      </c>
      <c r="I22" s="8" t="s">
        <v>2981</v>
      </c>
      <c r="J22" s="8" t="s">
        <v>2982</v>
      </c>
      <c r="K22" s="8" t="s">
        <v>969</v>
      </c>
      <c r="L22" s="8" t="s">
        <v>969</v>
      </c>
      <c r="M22" s="8" t="s">
        <v>972</v>
      </c>
      <c r="N22" s="8" t="s">
        <v>2924</v>
      </c>
      <c r="O22" s="8" t="s">
        <v>969</v>
      </c>
      <c r="P22" s="8" t="s">
        <v>969</v>
      </c>
      <c r="Q22" s="8" t="s">
        <v>969</v>
      </c>
      <c r="R22" s="8" t="s">
        <v>969</v>
      </c>
      <c r="S22" s="8" t="s">
        <v>969</v>
      </c>
      <c r="T22" s="8" t="s">
        <v>2983</v>
      </c>
      <c r="U22" s="8" t="s">
        <v>2984</v>
      </c>
      <c r="V22" s="8" t="s">
        <v>2985</v>
      </c>
      <c r="W22" s="8" t="s">
        <v>2986</v>
      </c>
      <c r="X22" s="8" t="s">
        <v>2987</v>
      </c>
      <c r="Y22" s="8" t="s">
        <v>2988</v>
      </c>
      <c r="Z22" s="8" t="s">
        <v>2989</v>
      </c>
      <c r="AA22" s="8" t="s">
        <v>2990</v>
      </c>
      <c r="AB22" s="8" t="s">
        <v>969</v>
      </c>
      <c r="AC22" s="8" t="s">
        <v>969</v>
      </c>
      <c r="AD22" s="8" t="s">
        <v>969</v>
      </c>
      <c r="AE22" s="8" t="s">
        <v>969</v>
      </c>
      <c r="AF22" s="8" t="s">
        <v>969</v>
      </c>
      <c r="AG22" s="8">
        <v>304.0</v>
      </c>
      <c r="AH22" s="8">
        <v>544.0</v>
      </c>
      <c r="AI22" s="8">
        <v>635.0</v>
      </c>
      <c r="AJ22" s="8">
        <v>16.0</v>
      </c>
      <c r="AK22" s="8">
        <v>938.0</v>
      </c>
      <c r="AL22" s="8" t="s">
        <v>1091</v>
      </c>
      <c r="AM22" s="8" t="s">
        <v>1092</v>
      </c>
      <c r="AN22" s="8" t="s">
        <v>1093</v>
      </c>
      <c r="AO22" s="8" t="s">
        <v>2991</v>
      </c>
      <c r="AP22" s="8" t="s">
        <v>2992</v>
      </c>
      <c r="AQ22" s="8" t="s">
        <v>969</v>
      </c>
      <c r="AR22" s="8" t="s">
        <v>2993</v>
      </c>
      <c r="AS22" s="8" t="s">
        <v>2994</v>
      </c>
      <c r="AT22" s="8" t="s">
        <v>1055</v>
      </c>
      <c r="AU22" s="8">
        <v>2008.0</v>
      </c>
      <c r="AV22" s="8">
        <v>18.0</v>
      </c>
      <c r="AW22" s="8">
        <v>2.0</v>
      </c>
      <c r="AX22" s="8" t="s">
        <v>969</v>
      </c>
      <c r="AY22" s="8" t="s">
        <v>159</v>
      </c>
      <c r="AZ22" s="8" t="s">
        <v>969</v>
      </c>
      <c r="BA22" s="8" t="s">
        <v>969</v>
      </c>
      <c r="BB22" s="8" t="s">
        <v>2995</v>
      </c>
      <c r="BC22" s="8" t="s">
        <v>2996</v>
      </c>
      <c r="BD22" s="8" t="s">
        <v>969</v>
      </c>
      <c r="BE22" s="8" t="s">
        <v>833</v>
      </c>
      <c r="BF22" s="13" t="str">
        <f>HYPERLINK("http://dx.doi.org/10.1890/06-0546.1","http://dx.doi.org/10.1890/06-0546.1")</f>
        <v>http://dx.doi.org/10.1890/06-0546.1</v>
      </c>
      <c r="BG22" s="8" t="s">
        <v>969</v>
      </c>
      <c r="BH22" s="8" t="s">
        <v>969</v>
      </c>
      <c r="BI22" s="8">
        <v>29.0</v>
      </c>
      <c r="BJ22" s="8" t="s">
        <v>2997</v>
      </c>
      <c r="BK22" s="8" t="s">
        <v>988</v>
      </c>
      <c r="BL22" s="8" t="s">
        <v>1268</v>
      </c>
      <c r="BM22" s="8" t="s">
        <v>2998</v>
      </c>
      <c r="BN22" s="8">
        <v>1.8494365E7</v>
      </c>
      <c r="BO22" s="8" t="s">
        <v>1247</v>
      </c>
      <c r="BP22" s="8" t="s">
        <v>969</v>
      </c>
      <c r="BQ22" s="8" t="s">
        <v>969</v>
      </c>
      <c r="BR22" s="8" t="s">
        <v>2912</v>
      </c>
      <c r="BS22" s="8" t="s">
        <v>2999</v>
      </c>
      <c r="BT22" s="8" t="s">
        <v>301</v>
      </c>
      <c r="BW22" s="8" t="s">
        <v>56</v>
      </c>
      <c r="BX22" s="3">
        <v>1.0</v>
      </c>
      <c r="BY22" s="8" t="str">
        <f>HYPERLINK("https%3A%2F%2Fwww.webofscience.com%2Fwos%2Fwoscc%2Ffull-record%2FWOS:000255381500007","View Full Record in Web of Science")</f>
        <v>View Full Record in Web of Science</v>
      </c>
    </row>
    <row r="23" ht="12.75" customHeight="1">
      <c r="A23" s="8" t="s">
        <v>967</v>
      </c>
      <c r="B23" s="8" t="s">
        <v>2692</v>
      </c>
      <c r="C23" s="8" t="s">
        <v>969</v>
      </c>
      <c r="D23" s="8" t="s">
        <v>969</v>
      </c>
      <c r="E23" s="8" t="s">
        <v>969</v>
      </c>
      <c r="F23" s="8" t="s">
        <v>2693</v>
      </c>
      <c r="G23" s="8" t="s">
        <v>969</v>
      </c>
      <c r="H23" s="8" t="s">
        <v>969</v>
      </c>
      <c r="I23" s="8" t="s">
        <v>2694</v>
      </c>
      <c r="J23" s="8" t="s">
        <v>2695</v>
      </c>
      <c r="K23" s="8" t="s">
        <v>969</v>
      </c>
      <c r="L23" s="8" t="s">
        <v>969</v>
      </c>
      <c r="M23" s="8" t="s">
        <v>972</v>
      </c>
      <c r="N23" s="8" t="s">
        <v>973</v>
      </c>
      <c r="O23" s="8" t="s">
        <v>969</v>
      </c>
      <c r="P23" s="8" t="s">
        <v>969</v>
      </c>
      <c r="Q23" s="8" t="s">
        <v>969</v>
      </c>
      <c r="R23" s="8" t="s">
        <v>969</v>
      </c>
      <c r="S23" s="8" t="s">
        <v>969</v>
      </c>
      <c r="T23" s="8" t="s">
        <v>2696</v>
      </c>
      <c r="U23" s="8" t="s">
        <v>2697</v>
      </c>
      <c r="V23" s="8" t="s">
        <v>2698</v>
      </c>
      <c r="W23" s="8" t="s">
        <v>2699</v>
      </c>
      <c r="X23" s="8" t="s">
        <v>2700</v>
      </c>
      <c r="Y23" s="8" t="s">
        <v>2701</v>
      </c>
      <c r="Z23" s="8" t="s">
        <v>2225</v>
      </c>
      <c r="AA23" s="8" t="s">
        <v>3000</v>
      </c>
      <c r="AB23" s="8" t="s">
        <v>2227</v>
      </c>
      <c r="AC23" s="8" t="s">
        <v>2702</v>
      </c>
      <c r="AD23" s="8" t="s">
        <v>2703</v>
      </c>
      <c r="AE23" s="8" t="s">
        <v>2704</v>
      </c>
      <c r="AF23" s="8" t="s">
        <v>969</v>
      </c>
      <c r="AG23" s="8">
        <v>54.0</v>
      </c>
      <c r="AH23" s="8">
        <v>52.0</v>
      </c>
      <c r="AI23" s="8">
        <v>81.0</v>
      </c>
      <c r="AJ23" s="8">
        <v>5.0</v>
      </c>
      <c r="AK23" s="8">
        <v>152.0</v>
      </c>
      <c r="AL23" s="8" t="s">
        <v>2705</v>
      </c>
      <c r="AM23" s="8" t="s">
        <v>2706</v>
      </c>
      <c r="AN23" s="8" t="s">
        <v>2707</v>
      </c>
      <c r="AO23" s="8" t="s">
        <v>2708</v>
      </c>
      <c r="AP23" s="8" t="s">
        <v>2709</v>
      </c>
      <c r="AQ23" s="8" t="s">
        <v>969</v>
      </c>
      <c r="AR23" s="8" t="s">
        <v>2710</v>
      </c>
      <c r="AS23" s="8" t="s">
        <v>2711</v>
      </c>
      <c r="AT23" s="8" t="s">
        <v>1211</v>
      </c>
      <c r="AU23" s="8">
        <v>2013.0</v>
      </c>
      <c r="AV23" s="8">
        <v>13.0</v>
      </c>
      <c r="AW23" s="8">
        <v>4.0</v>
      </c>
      <c r="AX23" s="8" t="s">
        <v>969</v>
      </c>
      <c r="AY23" s="8" t="s">
        <v>969</v>
      </c>
      <c r="AZ23" s="8" t="s">
        <v>2350</v>
      </c>
      <c r="BA23" s="8" t="s">
        <v>969</v>
      </c>
      <c r="BB23" s="8">
        <v>843.0</v>
      </c>
      <c r="BC23" s="8">
        <v>852.0</v>
      </c>
      <c r="BD23" s="8" t="s">
        <v>969</v>
      </c>
      <c r="BE23" s="8" t="s">
        <v>515</v>
      </c>
      <c r="BF23" s="13" t="str">
        <f>HYPERLINK("http://dx.doi.org/10.1007/s10113-012-0344-z","http://dx.doi.org/10.1007/s10113-012-0344-z")</f>
        <v>http://dx.doi.org/10.1007/s10113-012-0344-z</v>
      </c>
      <c r="BG23" s="8" t="s">
        <v>969</v>
      </c>
      <c r="BH23" s="8" t="s">
        <v>969</v>
      </c>
      <c r="BI23" s="8">
        <v>10.0</v>
      </c>
      <c r="BJ23" s="8" t="s">
        <v>2712</v>
      </c>
      <c r="BK23" s="8" t="s">
        <v>1519</v>
      </c>
      <c r="BL23" s="8" t="s">
        <v>1268</v>
      </c>
      <c r="BM23" s="8" t="s">
        <v>2713</v>
      </c>
      <c r="BN23" s="8" t="s">
        <v>969</v>
      </c>
      <c r="BO23" s="8" t="s">
        <v>969</v>
      </c>
      <c r="BP23" s="8" t="s">
        <v>969</v>
      </c>
      <c r="BQ23" s="8" t="s">
        <v>969</v>
      </c>
      <c r="BR23" s="8" t="s">
        <v>2912</v>
      </c>
      <c r="BS23" s="8" t="s">
        <v>2714</v>
      </c>
      <c r="BT23" s="3" t="s">
        <v>3001</v>
      </c>
      <c r="BW23" s="8" t="s">
        <v>47</v>
      </c>
      <c r="BX23" s="3">
        <v>1.0</v>
      </c>
      <c r="BY23" s="8" t="str">
        <f>HYPERLINK("https%3A%2F%2Fwww.webofscience.com%2Fwos%2Fwoscc%2Ffull-record%2FWOS:000322671700008","View Full Record in Web of Science")</f>
        <v>View Full Record in Web of Science</v>
      </c>
    </row>
    <row r="24" ht="12.75" customHeight="1">
      <c r="A24" s="8" t="s">
        <v>967</v>
      </c>
      <c r="B24" s="8" t="s">
        <v>2622</v>
      </c>
      <c r="C24" s="8" t="s">
        <v>969</v>
      </c>
      <c r="D24" s="8" t="s">
        <v>969</v>
      </c>
      <c r="E24" s="8" t="s">
        <v>969</v>
      </c>
      <c r="F24" s="8" t="s">
        <v>2623</v>
      </c>
      <c r="G24" s="8" t="s">
        <v>969</v>
      </c>
      <c r="H24" s="8" t="s">
        <v>969</v>
      </c>
      <c r="I24" s="8" t="s">
        <v>2624</v>
      </c>
      <c r="J24" s="8" t="s">
        <v>2625</v>
      </c>
      <c r="K24" s="8" t="s">
        <v>969</v>
      </c>
      <c r="L24" s="8" t="s">
        <v>969</v>
      </c>
      <c r="M24" s="8" t="s">
        <v>972</v>
      </c>
      <c r="N24" s="8" t="s">
        <v>973</v>
      </c>
      <c r="O24" s="8" t="s">
        <v>969</v>
      </c>
      <c r="P24" s="8" t="s">
        <v>969</v>
      </c>
      <c r="Q24" s="8" t="s">
        <v>969</v>
      </c>
      <c r="R24" s="8" t="s">
        <v>969</v>
      </c>
      <c r="S24" s="8" t="s">
        <v>969</v>
      </c>
      <c r="T24" s="8" t="s">
        <v>2626</v>
      </c>
      <c r="U24" s="8" t="s">
        <v>2627</v>
      </c>
      <c r="V24" s="8" t="s">
        <v>2628</v>
      </c>
      <c r="W24" s="8" t="s">
        <v>2629</v>
      </c>
      <c r="X24" s="8" t="s">
        <v>2630</v>
      </c>
      <c r="Y24" s="8" t="s">
        <v>2631</v>
      </c>
      <c r="Z24" s="8" t="s">
        <v>2632</v>
      </c>
      <c r="AA24" s="8" t="s">
        <v>3002</v>
      </c>
      <c r="AB24" s="8" t="s">
        <v>2634</v>
      </c>
      <c r="AC24" s="8" t="s">
        <v>969</v>
      </c>
      <c r="AD24" s="8" t="s">
        <v>969</v>
      </c>
      <c r="AE24" s="8" t="s">
        <v>969</v>
      </c>
      <c r="AF24" s="8" t="s">
        <v>969</v>
      </c>
      <c r="AG24" s="8">
        <v>67.0</v>
      </c>
      <c r="AH24" s="8">
        <v>221.0</v>
      </c>
      <c r="AI24" s="8">
        <v>262.0</v>
      </c>
      <c r="AJ24" s="8">
        <v>1.0</v>
      </c>
      <c r="AK24" s="8">
        <v>132.0</v>
      </c>
      <c r="AL24" s="8" t="s">
        <v>1813</v>
      </c>
      <c r="AM24" s="8" t="s">
        <v>1261</v>
      </c>
      <c r="AN24" s="8" t="s">
        <v>1814</v>
      </c>
      <c r="AO24" s="8" t="s">
        <v>2635</v>
      </c>
      <c r="AP24" s="8" t="s">
        <v>2636</v>
      </c>
      <c r="AQ24" s="8" t="s">
        <v>969</v>
      </c>
      <c r="AR24" s="8" t="s">
        <v>2637</v>
      </c>
      <c r="AS24" s="8" t="s">
        <v>2638</v>
      </c>
      <c r="AT24" s="8" t="s">
        <v>1177</v>
      </c>
      <c r="AU24" s="8">
        <v>2013.0</v>
      </c>
      <c r="AV24" s="8">
        <v>49.0</v>
      </c>
      <c r="AW24" s="8" t="s">
        <v>969</v>
      </c>
      <c r="AX24" s="8" t="s">
        <v>969</v>
      </c>
      <c r="AY24" s="8" t="s">
        <v>969</v>
      </c>
      <c r="AZ24" s="8" t="s">
        <v>969</v>
      </c>
      <c r="BA24" s="8" t="s">
        <v>969</v>
      </c>
      <c r="BB24" s="8">
        <v>23.0</v>
      </c>
      <c r="BC24" s="8">
        <v>31.0</v>
      </c>
      <c r="BD24" s="8" t="s">
        <v>969</v>
      </c>
      <c r="BE24" s="8" t="s">
        <v>542</v>
      </c>
      <c r="BF24" s="13" t="str">
        <f>HYPERLINK("http://dx.doi.org/10.1016/j.actao.2013.02.007","http://dx.doi.org/10.1016/j.actao.2013.02.007")</f>
        <v>http://dx.doi.org/10.1016/j.actao.2013.02.007</v>
      </c>
      <c r="BG24" s="8" t="s">
        <v>969</v>
      </c>
      <c r="BH24" s="8" t="s">
        <v>969</v>
      </c>
      <c r="BI24" s="8">
        <v>9.0</v>
      </c>
      <c r="BJ24" s="8" t="s">
        <v>1267</v>
      </c>
      <c r="BK24" s="8" t="s">
        <v>988</v>
      </c>
      <c r="BL24" s="8" t="s">
        <v>1268</v>
      </c>
      <c r="BM24" s="8" t="s">
        <v>2639</v>
      </c>
      <c r="BN24" s="8" t="s">
        <v>969</v>
      </c>
      <c r="BO24" s="8" t="s">
        <v>969</v>
      </c>
      <c r="BP24" s="8" t="s">
        <v>969</v>
      </c>
      <c r="BQ24" s="8" t="s">
        <v>969</v>
      </c>
      <c r="BR24" s="8" t="s">
        <v>2912</v>
      </c>
      <c r="BS24" s="8" t="s">
        <v>2640</v>
      </c>
      <c r="BT24" s="3" t="s">
        <v>3001</v>
      </c>
      <c r="BW24" s="8" t="s">
        <v>51</v>
      </c>
      <c r="BX24" s="3">
        <v>1.0</v>
      </c>
      <c r="BY24" s="8" t="str">
        <f>HYPERLINK("https%3A%2F%2Fwww.webofscience.com%2Fwos%2Fwoscc%2Ffull-record%2FWOS:000319538700005","View Full Record in Web of Science")</f>
        <v>View Full Record in Web of Science</v>
      </c>
    </row>
    <row r="25" ht="12.75" customHeight="1">
      <c r="A25" s="8" t="s">
        <v>967</v>
      </c>
      <c r="B25" s="8" t="s">
        <v>2489</v>
      </c>
      <c r="C25" s="8" t="s">
        <v>969</v>
      </c>
      <c r="D25" s="8" t="s">
        <v>969</v>
      </c>
      <c r="E25" s="8" t="s">
        <v>969</v>
      </c>
      <c r="F25" s="8" t="s">
        <v>2490</v>
      </c>
      <c r="G25" s="8" t="s">
        <v>969</v>
      </c>
      <c r="H25" s="8" t="s">
        <v>969</v>
      </c>
      <c r="I25" s="8" t="s">
        <v>2491</v>
      </c>
      <c r="J25" s="8" t="s">
        <v>971</v>
      </c>
      <c r="K25" s="8" t="s">
        <v>969</v>
      </c>
      <c r="L25" s="8" t="s">
        <v>969</v>
      </c>
      <c r="M25" s="8" t="s">
        <v>972</v>
      </c>
      <c r="N25" s="8" t="s">
        <v>973</v>
      </c>
      <c r="O25" s="8" t="s">
        <v>969</v>
      </c>
      <c r="P25" s="8" t="s">
        <v>969</v>
      </c>
      <c r="Q25" s="8" t="s">
        <v>969</v>
      </c>
      <c r="R25" s="8" t="s">
        <v>969</v>
      </c>
      <c r="S25" s="8" t="s">
        <v>969</v>
      </c>
      <c r="T25" s="8" t="s">
        <v>2492</v>
      </c>
      <c r="U25" s="8" t="s">
        <v>2493</v>
      </c>
      <c r="V25" s="8" t="s">
        <v>2494</v>
      </c>
      <c r="W25" s="8" t="s">
        <v>2495</v>
      </c>
      <c r="X25" s="8" t="s">
        <v>2496</v>
      </c>
      <c r="Y25" s="8" t="s">
        <v>2497</v>
      </c>
      <c r="Z25" s="8" t="s">
        <v>2498</v>
      </c>
      <c r="AA25" s="8" t="s">
        <v>3003</v>
      </c>
      <c r="AB25" s="8" t="s">
        <v>3004</v>
      </c>
      <c r="AC25" s="8" t="s">
        <v>2501</v>
      </c>
      <c r="AD25" s="8" t="s">
        <v>2502</v>
      </c>
      <c r="AE25" s="8" t="s">
        <v>2503</v>
      </c>
      <c r="AF25" s="8" t="s">
        <v>969</v>
      </c>
      <c r="AG25" s="8">
        <v>66.0</v>
      </c>
      <c r="AH25" s="8">
        <v>63.0</v>
      </c>
      <c r="AI25" s="8">
        <v>75.0</v>
      </c>
      <c r="AJ25" s="8">
        <v>0.0</v>
      </c>
      <c r="AK25" s="8">
        <v>110.0</v>
      </c>
      <c r="AL25" s="8" t="s">
        <v>1091</v>
      </c>
      <c r="AM25" s="8" t="s">
        <v>1092</v>
      </c>
      <c r="AN25" s="8" t="s">
        <v>1093</v>
      </c>
      <c r="AO25" s="8" t="s">
        <v>983</v>
      </c>
      <c r="AP25" s="8" t="s">
        <v>1094</v>
      </c>
      <c r="AQ25" s="8" t="s">
        <v>969</v>
      </c>
      <c r="AR25" s="8" t="s">
        <v>1095</v>
      </c>
      <c r="AS25" s="8" t="s">
        <v>985</v>
      </c>
      <c r="AT25" s="8" t="s">
        <v>1285</v>
      </c>
      <c r="AU25" s="8">
        <v>2012.0</v>
      </c>
      <c r="AV25" s="8">
        <v>18.0</v>
      </c>
      <c r="AW25" s="8">
        <v>6.0</v>
      </c>
      <c r="AX25" s="8" t="s">
        <v>969</v>
      </c>
      <c r="AY25" s="8" t="s">
        <v>969</v>
      </c>
      <c r="AZ25" s="8" t="s">
        <v>969</v>
      </c>
      <c r="BA25" s="8" t="s">
        <v>969</v>
      </c>
      <c r="BB25" s="8">
        <v>1854.0</v>
      </c>
      <c r="BC25" s="8">
        <v>1865.0</v>
      </c>
      <c r="BD25" s="8" t="s">
        <v>969</v>
      </c>
      <c r="BE25" s="8" t="s">
        <v>731</v>
      </c>
      <c r="BF25" s="13" t="str">
        <f>HYPERLINK("http://dx.doi.org/10.1111/j.1365-2486.2012.02641.x","http://dx.doi.org/10.1111/j.1365-2486.2012.02641.x")</f>
        <v>http://dx.doi.org/10.1111/j.1365-2486.2012.02641.x</v>
      </c>
      <c r="BG25" s="8" t="s">
        <v>969</v>
      </c>
      <c r="BH25" s="8" t="s">
        <v>969</v>
      </c>
      <c r="BI25" s="8">
        <v>12.0</v>
      </c>
      <c r="BJ25" s="8" t="s">
        <v>987</v>
      </c>
      <c r="BK25" s="8" t="s">
        <v>988</v>
      </c>
      <c r="BL25" s="8" t="s">
        <v>989</v>
      </c>
      <c r="BM25" s="8" t="s">
        <v>2504</v>
      </c>
      <c r="BN25" s="8" t="s">
        <v>969</v>
      </c>
      <c r="BO25" s="8" t="s">
        <v>969</v>
      </c>
      <c r="BP25" s="8" t="s">
        <v>969</v>
      </c>
      <c r="BQ25" s="8" t="s">
        <v>969</v>
      </c>
      <c r="BR25" s="8" t="s">
        <v>2912</v>
      </c>
      <c r="BS25" s="8" t="s">
        <v>2505</v>
      </c>
      <c r="BT25" s="3" t="s">
        <v>3001</v>
      </c>
      <c r="BW25" s="8" t="s">
        <v>56</v>
      </c>
      <c r="BX25" s="3">
        <v>1.0</v>
      </c>
      <c r="BY25" s="8" t="str">
        <f>HYPERLINK("https%3A%2F%2Fwww.webofscience.com%2Fwos%2Fwoscc%2Ffull-record%2FWOS:000303763600008","View Full Record in Web of Science")</f>
        <v>View Full Record in Web of Science</v>
      </c>
    </row>
    <row r="26" ht="12.75" customHeight="1">
      <c r="A26" s="8" t="s">
        <v>967</v>
      </c>
      <c r="B26" s="8" t="s">
        <v>2215</v>
      </c>
      <c r="C26" s="8" t="s">
        <v>969</v>
      </c>
      <c r="D26" s="8" t="s">
        <v>969</v>
      </c>
      <c r="E26" s="8" t="s">
        <v>969</v>
      </c>
      <c r="F26" s="8" t="s">
        <v>2216</v>
      </c>
      <c r="G26" s="8" t="s">
        <v>969</v>
      </c>
      <c r="H26" s="8" t="s">
        <v>969</v>
      </c>
      <c r="I26" s="8" t="s">
        <v>2217</v>
      </c>
      <c r="J26" s="8" t="s">
        <v>2218</v>
      </c>
      <c r="K26" s="8" t="s">
        <v>969</v>
      </c>
      <c r="L26" s="8" t="s">
        <v>969</v>
      </c>
      <c r="M26" s="8" t="s">
        <v>972</v>
      </c>
      <c r="N26" s="8" t="s">
        <v>973</v>
      </c>
      <c r="O26" s="8" t="s">
        <v>969</v>
      </c>
      <c r="P26" s="8" t="s">
        <v>969</v>
      </c>
      <c r="Q26" s="8" t="s">
        <v>969</v>
      </c>
      <c r="R26" s="8" t="s">
        <v>969</v>
      </c>
      <c r="S26" s="8" t="s">
        <v>969</v>
      </c>
      <c r="T26" s="8" t="s">
        <v>2219</v>
      </c>
      <c r="U26" s="8" t="s">
        <v>2220</v>
      </c>
      <c r="V26" s="8" t="s">
        <v>2221</v>
      </c>
      <c r="W26" s="8" t="s">
        <v>2222</v>
      </c>
      <c r="X26" s="8" t="s">
        <v>2223</v>
      </c>
      <c r="Y26" s="8" t="s">
        <v>2224</v>
      </c>
      <c r="Z26" s="8" t="s">
        <v>2225</v>
      </c>
      <c r="AA26" s="8" t="s">
        <v>3005</v>
      </c>
      <c r="AB26" s="8" t="s">
        <v>2227</v>
      </c>
      <c r="AC26" s="8" t="s">
        <v>2228</v>
      </c>
      <c r="AD26" s="8" t="s">
        <v>2229</v>
      </c>
      <c r="AE26" s="8" t="s">
        <v>2230</v>
      </c>
      <c r="AF26" s="8" t="s">
        <v>969</v>
      </c>
      <c r="AG26" s="8">
        <v>41.0</v>
      </c>
      <c r="AH26" s="8">
        <v>26.0</v>
      </c>
      <c r="AI26" s="8">
        <v>36.0</v>
      </c>
      <c r="AJ26" s="8">
        <v>0.0</v>
      </c>
      <c r="AK26" s="8">
        <v>56.0</v>
      </c>
      <c r="AL26" s="8" t="s">
        <v>1091</v>
      </c>
      <c r="AM26" s="8" t="s">
        <v>1092</v>
      </c>
      <c r="AN26" s="8" t="s">
        <v>1093</v>
      </c>
      <c r="AO26" s="8" t="s">
        <v>2231</v>
      </c>
      <c r="AP26" s="8" t="s">
        <v>2232</v>
      </c>
      <c r="AQ26" s="8" t="s">
        <v>969</v>
      </c>
      <c r="AR26" s="8" t="s">
        <v>2233</v>
      </c>
      <c r="AS26" s="8" t="s">
        <v>2234</v>
      </c>
      <c r="AT26" s="8" t="s">
        <v>1285</v>
      </c>
      <c r="AU26" s="8">
        <v>2010.0</v>
      </c>
      <c r="AV26" s="8">
        <v>5.0</v>
      </c>
      <c r="AW26" s="8">
        <v>2.0</v>
      </c>
      <c r="AX26" s="8" t="s">
        <v>969</v>
      </c>
      <c r="AY26" s="8" t="s">
        <v>969</v>
      </c>
      <c r="AZ26" s="8" t="s">
        <v>969</v>
      </c>
      <c r="BA26" s="8" t="s">
        <v>969</v>
      </c>
      <c r="BB26" s="8">
        <v>154.0</v>
      </c>
      <c r="BC26" s="8">
        <v>163.0</v>
      </c>
      <c r="BD26" s="8" t="s">
        <v>969</v>
      </c>
      <c r="BE26" s="8" t="s">
        <v>788</v>
      </c>
      <c r="BF26" s="13" t="str">
        <f>HYPERLINK("http://dx.doi.org/10.1111/j.1749-4877.2010.00198.x","http://dx.doi.org/10.1111/j.1749-4877.2010.00198.x")</f>
        <v>http://dx.doi.org/10.1111/j.1749-4877.2010.00198.x</v>
      </c>
      <c r="BG26" s="8" t="s">
        <v>969</v>
      </c>
      <c r="BH26" s="8" t="s">
        <v>969</v>
      </c>
      <c r="BI26" s="8">
        <v>10.0</v>
      </c>
      <c r="BJ26" s="8" t="s">
        <v>1321</v>
      </c>
      <c r="BK26" s="8" t="s">
        <v>988</v>
      </c>
      <c r="BL26" s="8" t="s">
        <v>1321</v>
      </c>
      <c r="BM26" s="8" t="s">
        <v>2235</v>
      </c>
      <c r="BN26" s="8">
        <v>2.1392333E7</v>
      </c>
      <c r="BO26" s="8" t="s">
        <v>969</v>
      </c>
      <c r="BP26" s="8" t="s">
        <v>969</v>
      </c>
      <c r="BQ26" s="8" t="s">
        <v>969</v>
      </c>
      <c r="BR26" s="8" t="s">
        <v>2912</v>
      </c>
      <c r="BS26" s="8" t="s">
        <v>2236</v>
      </c>
      <c r="BT26" s="3" t="s">
        <v>3001</v>
      </c>
      <c r="BW26" s="8" t="s">
        <v>81</v>
      </c>
      <c r="BX26" s="3">
        <v>1.0</v>
      </c>
      <c r="BY26" s="8" t="str">
        <f>HYPERLINK("https%3A%2F%2Fwww.webofscience.com%2Fwos%2Fwoscc%2Ffull-record%2FWOS:000278345400009","View Full Record in Web of Science")</f>
        <v>View Full Record in Web of Science</v>
      </c>
    </row>
    <row r="27" ht="12.75" customHeight="1">
      <c r="A27" s="8" t="s">
        <v>967</v>
      </c>
      <c r="B27" s="8" t="s">
        <v>2737</v>
      </c>
      <c r="C27" s="8" t="s">
        <v>969</v>
      </c>
      <c r="D27" s="8" t="s">
        <v>969</v>
      </c>
      <c r="E27" s="8" t="s">
        <v>969</v>
      </c>
      <c r="F27" s="8" t="s">
        <v>2738</v>
      </c>
      <c r="G27" s="8" t="s">
        <v>969</v>
      </c>
      <c r="H27" s="8" t="s">
        <v>969</v>
      </c>
      <c r="I27" s="8" t="s">
        <v>2739</v>
      </c>
      <c r="J27" s="8" t="s">
        <v>971</v>
      </c>
      <c r="K27" s="8" t="s">
        <v>969</v>
      </c>
      <c r="L27" s="8" t="s">
        <v>969</v>
      </c>
      <c r="M27" s="8" t="s">
        <v>972</v>
      </c>
      <c r="N27" s="8" t="s">
        <v>973</v>
      </c>
      <c r="O27" s="8" t="s">
        <v>969</v>
      </c>
      <c r="P27" s="8" t="s">
        <v>969</v>
      </c>
      <c r="Q27" s="8" t="s">
        <v>969</v>
      </c>
      <c r="R27" s="8" t="s">
        <v>969</v>
      </c>
      <c r="S27" s="8" t="s">
        <v>969</v>
      </c>
      <c r="T27" s="8" t="s">
        <v>2740</v>
      </c>
      <c r="U27" s="8" t="s">
        <v>2741</v>
      </c>
      <c r="V27" s="8" t="s">
        <v>2742</v>
      </c>
      <c r="W27" s="8" t="s">
        <v>2743</v>
      </c>
      <c r="X27" s="8" t="s">
        <v>2744</v>
      </c>
      <c r="Y27" s="8" t="s">
        <v>2745</v>
      </c>
      <c r="Z27" s="8" t="s">
        <v>2455</v>
      </c>
      <c r="AA27" s="8" t="s">
        <v>3006</v>
      </c>
      <c r="AB27" s="8" t="s">
        <v>3007</v>
      </c>
      <c r="AC27" s="8" t="s">
        <v>3008</v>
      </c>
      <c r="AD27" s="8" t="s">
        <v>3009</v>
      </c>
      <c r="AE27" s="8" t="s">
        <v>2750</v>
      </c>
      <c r="AF27" s="8" t="s">
        <v>969</v>
      </c>
      <c r="AG27" s="8">
        <v>76.0</v>
      </c>
      <c r="AH27" s="8">
        <v>75.0</v>
      </c>
      <c r="AI27" s="8">
        <v>86.0</v>
      </c>
      <c r="AJ27" s="8">
        <v>0.0</v>
      </c>
      <c r="AK27" s="8">
        <v>259.0</v>
      </c>
      <c r="AL27" s="8" t="s">
        <v>1091</v>
      </c>
      <c r="AM27" s="8" t="s">
        <v>1092</v>
      </c>
      <c r="AN27" s="8" t="s">
        <v>1093</v>
      </c>
      <c r="AO27" s="8" t="s">
        <v>983</v>
      </c>
      <c r="AP27" s="8" t="s">
        <v>1094</v>
      </c>
      <c r="AQ27" s="8" t="s">
        <v>969</v>
      </c>
      <c r="AR27" s="8" t="s">
        <v>1095</v>
      </c>
      <c r="AS27" s="8" t="s">
        <v>985</v>
      </c>
      <c r="AT27" s="8" t="s">
        <v>1112</v>
      </c>
      <c r="AU27" s="8">
        <v>2013.0</v>
      </c>
      <c r="AV27" s="8">
        <v>19.0</v>
      </c>
      <c r="AW27" s="8">
        <v>10.0</v>
      </c>
      <c r="AX27" s="8" t="s">
        <v>969</v>
      </c>
      <c r="AY27" s="8" t="s">
        <v>969</v>
      </c>
      <c r="AZ27" s="8" t="s">
        <v>969</v>
      </c>
      <c r="BA27" s="8" t="s">
        <v>969</v>
      </c>
      <c r="BB27" s="8">
        <v>3224.0</v>
      </c>
      <c r="BC27" s="8">
        <v>3237.0</v>
      </c>
      <c r="BD27" s="8" t="s">
        <v>969</v>
      </c>
      <c r="BE27" s="8" t="s">
        <v>671</v>
      </c>
      <c r="BF27" s="13" t="str">
        <f>HYPERLINK("http://dx.doi.org/10.1111/gcb.12289","http://dx.doi.org/10.1111/gcb.12289")</f>
        <v>http://dx.doi.org/10.1111/gcb.12289</v>
      </c>
      <c r="BG27" s="8" t="s">
        <v>969</v>
      </c>
      <c r="BH27" s="8" t="s">
        <v>969</v>
      </c>
      <c r="BI27" s="8">
        <v>14.0</v>
      </c>
      <c r="BJ27" s="8" t="s">
        <v>987</v>
      </c>
      <c r="BK27" s="8" t="s">
        <v>988</v>
      </c>
      <c r="BL27" s="8" t="s">
        <v>989</v>
      </c>
      <c r="BM27" s="8" t="s">
        <v>2751</v>
      </c>
      <c r="BN27" s="8">
        <v>2.3907833E7</v>
      </c>
      <c r="BO27" s="8" t="s">
        <v>1247</v>
      </c>
      <c r="BP27" s="8" t="s">
        <v>969</v>
      </c>
      <c r="BQ27" s="8" t="s">
        <v>969</v>
      </c>
      <c r="BR27" s="8" t="s">
        <v>2912</v>
      </c>
      <c r="BS27" s="8" t="s">
        <v>2752</v>
      </c>
      <c r="BT27" s="3" t="s">
        <v>3010</v>
      </c>
      <c r="BU27" s="3" t="s">
        <v>3011</v>
      </c>
      <c r="BV27" s="8" t="s">
        <v>71</v>
      </c>
      <c r="BW27" s="8" t="s">
        <v>33</v>
      </c>
      <c r="BX27" s="3">
        <v>1.0</v>
      </c>
      <c r="BY27" s="8" t="str">
        <f>HYPERLINK("https%3A%2F%2Fwww.webofscience.com%2Fwos%2Fwoscc%2Ffull-record%2FWOS:000323844200027","View Full Record in Web of Science")</f>
        <v>View Full Record in Web of Science</v>
      </c>
    </row>
    <row r="28" ht="12.75" customHeight="1">
      <c r="A28" s="8" t="s">
        <v>967</v>
      </c>
      <c r="B28" s="8" t="s">
        <v>2446</v>
      </c>
      <c r="C28" s="8" t="s">
        <v>969</v>
      </c>
      <c r="D28" s="8" t="s">
        <v>969</v>
      </c>
      <c r="E28" s="8" t="s">
        <v>969</v>
      </c>
      <c r="F28" s="8" t="s">
        <v>2447</v>
      </c>
      <c r="G28" s="8" t="s">
        <v>969</v>
      </c>
      <c r="H28" s="8" t="s">
        <v>969</v>
      </c>
      <c r="I28" s="8" t="s">
        <v>2448</v>
      </c>
      <c r="J28" s="8" t="s">
        <v>971</v>
      </c>
      <c r="K28" s="8" t="s">
        <v>969</v>
      </c>
      <c r="L28" s="8" t="s">
        <v>969</v>
      </c>
      <c r="M28" s="8" t="s">
        <v>972</v>
      </c>
      <c r="N28" s="8" t="s">
        <v>973</v>
      </c>
      <c r="O28" s="8" t="s">
        <v>969</v>
      </c>
      <c r="P28" s="8" t="s">
        <v>969</v>
      </c>
      <c r="Q28" s="8" t="s">
        <v>969</v>
      </c>
      <c r="R28" s="8" t="s">
        <v>969</v>
      </c>
      <c r="S28" s="8" t="s">
        <v>969</v>
      </c>
      <c r="T28" s="8" t="s">
        <v>2449</v>
      </c>
      <c r="U28" s="8" t="s">
        <v>2450</v>
      </c>
      <c r="V28" s="8" t="s">
        <v>2451</v>
      </c>
      <c r="W28" s="8" t="s">
        <v>2452</v>
      </c>
      <c r="X28" s="8" t="s">
        <v>2453</v>
      </c>
      <c r="Y28" s="8" t="s">
        <v>2454</v>
      </c>
      <c r="Z28" s="8" t="s">
        <v>2455</v>
      </c>
      <c r="AA28" s="8" t="s">
        <v>3012</v>
      </c>
      <c r="AB28" s="8" t="s">
        <v>3013</v>
      </c>
      <c r="AC28" s="8" t="s">
        <v>3014</v>
      </c>
      <c r="AD28" s="8" t="s">
        <v>2459</v>
      </c>
      <c r="AE28" s="8" t="s">
        <v>2460</v>
      </c>
      <c r="AF28" s="8" t="s">
        <v>969</v>
      </c>
      <c r="AG28" s="8">
        <v>63.0</v>
      </c>
      <c r="AH28" s="8">
        <v>193.0</v>
      </c>
      <c r="AI28" s="8">
        <v>231.0</v>
      </c>
      <c r="AJ28" s="8">
        <v>2.0</v>
      </c>
      <c r="AK28" s="8">
        <v>255.0</v>
      </c>
      <c r="AL28" s="8" t="s">
        <v>1091</v>
      </c>
      <c r="AM28" s="8" t="s">
        <v>1092</v>
      </c>
      <c r="AN28" s="8" t="s">
        <v>1093</v>
      </c>
      <c r="AO28" s="8" t="s">
        <v>983</v>
      </c>
      <c r="AP28" s="8" t="s">
        <v>1094</v>
      </c>
      <c r="AQ28" s="8" t="s">
        <v>969</v>
      </c>
      <c r="AR28" s="8" t="s">
        <v>1095</v>
      </c>
      <c r="AS28" s="8" t="s">
        <v>985</v>
      </c>
      <c r="AT28" s="8" t="s">
        <v>1552</v>
      </c>
      <c r="AU28" s="8">
        <v>2012.0</v>
      </c>
      <c r="AV28" s="8">
        <v>18.0</v>
      </c>
      <c r="AW28" s="8">
        <v>4.0</v>
      </c>
      <c r="AX28" s="8" t="s">
        <v>969</v>
      </c>
      <c r="AY28" s="8" t="s">
        <v>969</v>
      </c>
      <c r="AZ28" s="8" t="s">
        <v>969</v>
      </c>
      <c r="BA28" s="8" t="s">
        <v>969</v>
      </c>
      <c r="BB28" s="8">
        <v>1357.0</v>
      </c>
      <c r="BC28" s="8">
        <v>1371.0</v>
      </c>
      <c r="BD28" s="8" t="s">
        <v>969</v>
      </c>
      <c r="BE28" s="8" t="s">
        <v>725</v>
      </c>
      <c r="BF28" s="13" t="str">
        <f>HYPERLINK("http://dx.doi.org/10.1111/j.1365-2486.2011.02614.x","http://dx.doi.org/10.1111/j.1365-2486.2011.02614.x")</f>
        <v>http://dx.doi.org/10.1111/j.1365-2486.2011.02614.x</v>
      </c>
      <c r="BG28" s="8" t="s">
        <v>969</v>
      </c>
      <c r="BH28" s="8" t="s">
        <v>969</v>
      </c>
      <c r="BI28" s="8">
        <v>15.0</v>
      </c>
      <c r="BJ28" s="8" t="s">
        <v>987</v>
      </c>
      <c r="BK28" s="8" t="s">
        <v>988</v>
      </c>
      <c r="BL28" s="8" t="s">
        <v>989</v>
      </c>
      <c r="BM28" s="8" t="s">
        <v>2461</v>
      </c>
      <c r="BN28" s="8" t="s">
        <v>969</v>
      </c>
      <c r="BO28" s="8" t="s">
        <v>969</v>
      </c>
      <c r="BP28" s="8" t="s">
        <v>969</v>
      </c>
      <c r="BQ28" s="8" t="s">
        <v>969</v>
      </c>
      <c r="BR28" s="8" t="s">
        <v>2912</v>
      </c>
      <c r="BS28" s="8" t="s">
        <v>2462</v>
      </c>
      <c r="BT28" s="3" t="s">
        <v>3010</v>
      </c>
      <c r="BU28" s="3" t="s">
        <v>3011</v>
      </c>
      <c r="BV28" s="8" t="s">
        <v>71</v>
      </c>
      <c r="BW28" s="8" t="s">
        <v>51</v>
      </c>
      <c r="BX28" s="3">
        <v>1.0</v>
      </c>
      <c r="BY28" s="8" t="str">
        <f>HYPERLINK("https%3A%2F%2Fwww.webofscience.com%2Fwos%2Fwoscc%2Ffull-record%2FWOS:000301533100013","View Full Record in Web of Science")</f>
        <v>View Full Record in Web of Science</v>
      </c>
    </row>
    <row r="29" ht="12.75" customHeight="1">
      <c r="A29" s="8" t="s">
        <v>967</v>
      </c>
      <c r="B29" s="8" t="s">
        <v>2328</v>
      </c>
      <c r="C29" s="8" t="s">
        <v>969</v>
      </c>
      <c r="D29" s="8" t="s">
        <v>969</v>
      </c>
      <c r="E29" s="8" t="s">
        <v>969</v>
      </c>
      <c r="F29" s="8" t="s">
        <v>2329</v>
      </c>
      <c r="G29" s="8" t="s">
        <v>969</v>
      </c>
      <c r="H29" s="8" t="s">
        <v>969</v>
      </c>
      <c r="I29" s="8" t="s">
        <v>2330</v>
      </c>
      <c r="J29" s="8" t="s">
        <v>2331</v>
      </c>
      <c r="K29" s="8" t="s">
        <v>969</v>
      </c>
      <c r="L29" s="8" t="s">
        <v>969</v>
      </c>
      <c r="M29" s="8" t="s">
        <v>972</v>
      </c>
      <c r="N29" s="8" t="s">
        <v>973</v>
      </c>
      <c r="O29" s="8" t="s">
        <v>969</v>
      </c>
      <c r="P29" s="8" t="s">
        <v>969</v>
      </c>
      <c r="Q29" s="8" t="s">
        <v>969</v>
      </c>
      <c r="R29" s="8" t="s">
        <v>969</v>
      </c>
      <c r="S29" s="8" t="s">
        <v>969</v>
      </c>
      <c r="T29" s="8" t="s">
        <v>2332</v>
      </c>
      <c r="U29" s="8" t="s">
        <v>2333</v>
      </c>
      <c r="V29" s="8" t="s">
        <v>2334</v>
      </c>
      <c r="W29" s="8" t="s">
        <v>2335</v>
      </c>
      <c r="X29" s="8" t="s">
        <v>2336</v>
      </c>
      <c r="Y29" s="8" t="s">
        <v>2337</v>
      </c>
      <c r="Z29" s="8" t="s">
        <v>2338</v>
      </c>
      <c r="AA29" s="8" t="s">
        <v>3015</v>
      </c>
      <c r="AB29" s="8" t="s">
        <v>3016</v>
      </c>
      <c r="AC29" s="8" t="s">
        <v>2341</v>
      </c>
      <c r="AD29" s="8" t="s">
        <v>2341</v>
      </c>
      <c r="AE29" s="8" t="s">
        <v>2342</v>
      </c>
      <c r="AF29" s="8" t="s">
        <v>969</v>
      </c>
      <c r="AG29" s="8">
        <v>56.0</v>
      </c>
      <c r="AH29" s="8">
        <v>135.0</v>
      </c>
      <c r="AI29" s="8">
        <v>150.0</v>
      </c>
      <c r="AJ29" s="8">
        <v>1.0</v>
      </c>
      <c r="AK29" s="8">
        <v>89.0</v>
      </c>
      <c r="AL29" s="8" t="s">
        <v>2343</v>
      </c>
      <c r="AM29" s="8" t="s">
        <v>2344</v>
      </c>
      <c r="AN29" s="8" t="s">
        <v>2345</v>
      </c>
      <c r="AO29" s="8" t="s">
        <v>2346</v>
      </c>
      <c r="AP29" s="8" t="s">
        <v>2347</v>
      </c>
      <c r="AQ29" s="8" t="s">
        <v>969</v>
      </c>
      <c r="AR29" s="8" t="s">
        <v>2348</v>
      </c>
      <c r="AS29" s="8" t="s">
        <v>2349</v>
      </c>
      <c r="AT29" s="8" t="s">
        <v>969</v>
      </c>
      <c r="AU29" s="8">
        <v>2011.0</v>
      </c>
      <c r="AV29" s="8">
        <v>62.0</v>
      </c>
      <c r="AW29" s="8">
        <v>9.0</v>
      </c>
      <c r="AX29" s="8" t="s">
        <v>969</v>
      </c>
      <c r="AY29" s="8" t="s">
        <v>969</v>
      </c>
      <c r="AZ29" s="8" t="s">
        <v>2350</v>
      </c>
      <c r="BA29" s="8" t="s">
        <v>969</v>
      </c>
      <c r="BB29" s="8">
        <v>1043.0</v>
      </c>
      <c r="BC29" s="8">
        <v>1061.0</v>
      </c>
      <c r="BD29" s="8" t="s">
        <v>969</v>
      </c>
      <c r="BE29" s="8" t="s">
        <v>632</v>
      </c>
      <c r="BF29" s="13" t="str">
        <f>HYPERLINK("http://dx.doi.org/10.1071/MF10286","http://dx.doi.org/10.1071/MF10286")</f>
        <v>http://dx.doi.org/10.1071/MF10286</v>
      </c>
      <c r="BG29" s="8" t="s">
        <v>969</v>
      </c>
      <c r="BH29" s="8" t="s">
        <v>969</v>
      </c>
      <c r="BI29" s="8">
        <v>19.0</v>
      </c>
      <c r="BJ29" s="8" t="s">
        <v>2351</v>
      </c>
      <c r="BK29" s="8" t="s">
        <v>988</v>
      </c>
      <c r="BL29" s="8" t="s">
        <v>2352</v>
      </c>
      <c r="BM29" s="8" t="s">
        <v>2353</v>
      </c>
      <c r="BN29" s="8" t="s">
        <v>969</v>
      </c>
      <c r="BO29" s="8" t="s">
        <v>1441</v>
      </c>
      <c r="BP29" s="8" t="s">
        <v>969</v>
      </c>
      <c r="BQ29" s="8" t="s">
        <v>969</v>
      </c>
      <c r="BR29" s="8" t="s">
        <v>2912</v>
      </c>
      <c r="BS29" s="8" t="s">
        <v>2354</v>
      </c>
      <c r="BT29" s="3" t="s">
        <v>3010</v>
      </c>
      <c r="BU29" s="3" t="s">
        <v>3011</v>
      </c>
      <c r="BV29" s="8" t="s">
        <v>71</v>
      </c>
      <c r="BW29" s="8" t="s">
        <v>67</v>
      </c>
      <c r="BX29" s="3">
        <v>1.0</v>
      </c>
      <c r="BY29" s="8" t="str">
        <f>HYPERLINK("https%3A%2F%2Fwww.webofscience.com%2Fwos%2Fwoscc%2Ffull-record%2FWOS:000295083900006","View Full Record in Web of Science")</f>
        <v>View Full Record in Web of Science</v>
      </c>
    </row>
    <row r="30" ht="12.75" customHeight="1">
      <c r="A30" s="8" t="s">
        <v>967</v>
      </c>
      <c r="B30" s="8" t="s">
        <v>2147</v>
      </c>
      <c r="C30" s="8" t="s">
        <v>969</v>
      </c>
      <c r="D30" s="8" t="s">
        <v>969</v>
      </c>
      <c r="E30" s="8" t="s">
        <v>969</v>
      </c>
      <c r="F30" s="8" t="s">
        <v>2148</v>
      </c>
      <c r="G30" s="8" t="s">
        <v>969</v>
      </c>
      <c r="H30" s="8" t="s">
        <v>969</v>
      </c>
      <c r="I30" s="8" t="s">
        <v>2149</v>
      </c>
      <c r="J30" s="8" t="s">
        <v>1427</v>
      </c>
      <c r="K30" s="8" t="s">
        <v>969</v>
      </c>
      <c r="L30" s="8" t="s">
        <v>969</v>
      </c>
      <c r="M30" s="8" t="s">
        <v>972</v>
      </c>
      <c r="N30" s="8" t="s">
        <v>973</v>
      </c>
      <c r="O30" s="8" t="s">
        <v>969</v>
      </c>
      <c r="P30" s="8" t="s">
        <v>969</v>
      </c>
      <c r="Q30" s="8" t="s">
        <v>969</v>
      </c>
      <c r="R30" s="8" t="s">
        <v>969</v>
      </c>
      <c r="S30" s="8" t="s">
        <v>969</v>
      </c>
      <c r="T30" s="8" t="s">
        <v>2150</v>
      </c>
      <c r="U30" s="8" t="s">
        <v>2151</v>
      </c>
      <c r="V30" s="8" t="s">
        <v>2152</v>
      </c>
      <c r="W30" s="8" t="s">
        <v>2153</v>
      </c>
      <c r="X30" s="8" t="s">
        <v>2154</v>
      </c>
      <c r="Y30" s="8" t="s">
        <v>2155</v>
      </c>
      <c r="Z30" s="8" t="s">
        <v>2156</v>
      </c>
      <c r="AA30" s="8" t="s">
        <v>3017</v>
      </c>
      <c r="AB30" s="8" t="s">
        <v>3018</v>
      </c>
      <c r="AC30" s="8" t="s">
        <v>2159</v>
      </c>
      <c r="AD30" s="8" t="s">
        <v>2160</v>
      </c>
      <c r="AE30" s="8" t="s">
        <v>2161</v>
      </c>
      <c r="AF30" s="8" t="s">
        <v>969</v>
      </c>
      <c r="AG30" s="8">
        <v>67.0</v>
      </c>
      <c r="AH30" s="8">
        <v>103.0</v>
      </c>
      <c r="AI30" s="8">
        <v>117.0</v>
      </c>
      <c r="AJ30" s="8">
        <v>0.0</v>
      </c>
      <c r="AK30" s="8">
        <v>81.0</v>
      </c>
      <c r="AL30" s="8" t="s">
        <v>1091</v>
      </c>
      <c r="AM30" s="8" t="s">
        <v>1092</v>
      </c>
      <c r="AN30" s="8" t="s">
        <v>1093</v>
      </c>
      <c r="AO30" s="8" t="s">
        <v>1437</v>
      </c>
      <c r="AP30" s="8" t="s">
        <v>1499</v>
      </c>
      <c r="AQ30" s="8" t="s">
        <v>969</v>
      </c>
      <c r="AR30" s="8" t="s">
        <v>1438</v>
      </c>
      <c r="AS30" s="8" t="s">
        <v>1439</v>
      </c>
      <c r="AT30" s="8" t="s">
        <v>1016</v>
      </c>
      <c r="AU30" s="8">
        <v>2010.0</v>
      </c>
      <c r="AV30" s="8">
        <v>16.0</v>
      </c>
      <c r="AW30" s="8">
        <v>1.0</v>
      </c>
      <c r="AX30" s="8" t="s">
        <v>969</v>
      </c>
      <c r="AY30" s="8" t="s">
        <v>969</v>
      </c>
      <c r="AZ30" s="8" t="s">
        <v>969</v>
      </c>
      <c r="BA30" s="8" t="s">
        <v>969</v>
      </c>
      <c r="BB30" s="8">
        <v>187.0</v>
      </c>
      <c r="BC30" s="8">
        <v>201.0</v>
      </c>
      <c r="BD30" s="8" t="s">
        <v>969</v>
      </c>
      <c r="BE30" s="8" t="s">
        <v>761</v>
      </c>
      <c r="BF30" s="13" t="str">
        <f>HYPERLINK("http://dx.doi.org/10.1111/j.1472-4642.2009.00623.x","http://dx.doi.org/10.1111/j.1472-4642.2009.00623.x")</f>
        <v>http://dx.doi.org/10.1111/j.1472-4642.2009.00623.x</v>
      </c>
      <c r="BG30" s="8" t="s">
        <v>969</v>
      </c>
      <c r="BH30" s="8" t="s">
        <v>969</v>
      </c>
      <c r="BI30" s="8">
        <v>15.0</v>
      </c>
      <c r="BJ30" s="8" t="s">
        <v>1286</v>
      </c>
      <c r="BK30" s="8" t="s">
        <v>988</v>
      </c>
      <c r="BL30" s="8" t="s">
        <v>989</v>
      </c>
      <c r="BM30" s="8" t="s">
        <v>2162</v>
      </c>
      <c r="BN30" s="8" t="s">
        <v>969</v>
      </c>
      <c r="BO30" s="8" t="s">
        <v>969</v>
      </c>
      <c r="BP30" s="8" t="s">
        <v>969</v>
      </c>
      <c r="BQ30" s="8" t="s">
        <v>969</v>
      </c>
      <c r="BR30" s="8" t="s">
        <v>2912</v>
      </c>
      <c r="BS30" s="8" t="s">
        <v>2163</v>
      </c>
      <c r="BT30" s="3" t="s">
        <v>3010</v>
      </c>
      <c r="BU30" s="3" t="s">
        <v>3011</v>
      </c>
      <c r="BV30" s="8" t="s">
        <v>71</v>
      </c>
      <c r="BW30" s="8" t="s">
        <v>51</v>
      </c>
      <c r="BX30" s="3">
        <v>1.0</v>
      </c>
      <c r="BY30" s="8" t="str">
        <f>HYPERLINK("https%3A%2F%2Fwww.webofscience.com%2Fwos%2Fwoscc%2Ffull-record%2FWOS:000273723100018","View Full Record in Web of Science")</f>
        <v>View Full Record in Web of Science</v>
      </c>
    </row>
    <row r="31" ht="12.75" customHeight="1">
      <c r="A31" s="8" t="s">
        <v>967</v>
      </c>
      <c r="B31" s="8" t="s">
        <v>1995</v>
      </c>
      <c r="C31" s="8" t="s">
        <v>969</v>
      </c>
      <c r="D31" s="8" t="s">
        <v>969</v>
      </c>
      <c r="E31" s="8" t="s">
        <v>969</v>
      </c>
      <c r="F31" s="8" t="s">
        <v>1996</v>
      </c>
      <c r="G31" s="8" t="s">
        <v>969</v>
      </c>
      <c r="H31" s="8" t="s">
        <v>969</v>
      </c>
      <c r="I31" s="8" t="s">
        <v>1997</v>
      </c>
      <c r="J31" s="8" t="s">
        <v>1998</v>
      </c>
      <c r="K31" s="8" t="s">
        <v>969</v>
      </c>
      <c r="L31" s="8" t="s">
        <v>969</v>
      </c>
      <c r="M31" s="8" t="s">
        <v>972</v>
      </c>
      <c r="N31" s="8" t="s">
        <v>973</v>
      </c>
      <c r="O31" s="8" t="s">
        <v>969</v>
      </c>
      <c r="P31" s="8" t="s">
        <v>969</v>
      </c>
      <c r="Q31" s="8" t="s">
        <v>969</v>
      </c>
      <c r="R31" s="8" t="s">
        <v>969</v>
      </c>
      <c r="S31" s="8" t="s">
        <v>969</v>
      </c>
      <c r="T31" s="8" t="s">
        <v>969</v>
      </c>
      <c r="U31" s="8" t="s">
        <v>1999</v>
      </c>
      <c r="V31" s="8" t="s">
        <v>2000</v>
      </c>
      <c r="W31" s="8" t="s">
        <v>2001</v>
      </c>
      <c r="X31" s="8" t="s">
        <v>1220</v>
      </c>
      <c r="Y31" s="8" t="s">
        <v>2002</v>
      </c>
      <c r="Z31" s="8" t="s">
        <v>2003</v>
      </c>
      <c r="AA31" s="8" t="s">
        <v>2004</v>
      </c>
      <c r="AB31" s="8" t="s">
        <v>2005</v>
      </c>
      <c r="AC31" s="8" t="s">
        <v>2006</v>
      </c>
      <c r="AD31" s="8" t="s">
        <v>2006</v>
      </c>
      <c r="AE31" s="8" t="s">
        <v>2007</v>
      </c>
      <c r="AF31" s="8" t="s">
        <v>969</v>
      </c>
      <c r="AG31" s="8">
        <v>64.0</v>
      </c>
      <c r="AH31" s="8">
        <v>17.0</v>
      </c>
      <c r="AI31" s="8">
        <v>19.0</v>
      </c>
      <c r="AJ31" s="8">
        <v>0.0</v>
      </c>
      <c r="AK31" s="8">
        <v>37.0</v>
      </c>
      <c r="AL31" s="8" t="s">
        <v>1755</v>
      </c>
      <c r="AM31" s="8" t="s">
        <v>1756</v>
      </c>
      <c r="AN31" s="8" t="s">
        <v>1757</v>
      </c>
      <c r="AO31" s="8" t="s">
        <v>2008</v>
      </c>
      <c r="AP31" s="8" t="s">
        <v>969</v>
      </c>
      <c r="AQ31" s="8" t="s">
        <v>969</v>
      </c>
      <c r="AR31" s="8" t="s">
        <v>2009</v>
      </c>
      <c r="AS31" s="8" t="s">
        <v>2010</v>
      </c>
      <c r="AT31" s="8" t="s">
        <v>2011</v>
      </c>
      <c r="AU31" s="8">
        <v>2008.0</v>
      </c>
      <c r="AV31" s="8">
        <v>81.0</v>
      </c>
      <c r="AW31" s="8">
        <v>6.0</v>
      </c>
      <c r="AX31" s="8" t="s">
        <v>969</v>
      </c>
      <c r="AY31" s="8" t="s">
        <v>969</v>
      </c>
      <c r="AZ31" s="8" t="s">
        <v>969</v>
      </c>
      <c r="BA31" s="8" t="s">
        <v>969</v>
      </c>
      <c r="BB31" s="8">
        <v>880.0</v>
      </c>
      <c r="BC31" s="8">
        <v>890.0</v>
      </c>
      <c r="BD31" s="8" t="s">
        <v>969</v>
      </c>
      <c r="BE31" s="8" t="s">
        <v>650</v>
      </c>
      <c r="BF31" s="13" t="str">
        <f>HYPERLINK("http://dx.doi.org/10.1086/588171","http://dx.doi.org/10.1086/588171")</f>
        <v>http://dx.doi.org/10.1086/588171</v>
      </c>
      <c r="BG31" s="8" t="s">
        <v>969</v>
      </c>
      <c r="BH31" s="8" t="s">
        <v>969</v>
      </c>
      <c r="BI31" s="8">
        <v>11.0</v>
      </c>
      <c r="BJ31" s="8" t="s">
        <v>2012</v>
      </c>
      <c r="BK31" s="8" t="s">
        <v>988</v>
      </c>
      <c r="BL31" s="8" t="s">
        <v>2012</v>
      </c>
      <c r="BM31" s="8" t="s">
        <v>2013</v>
      </c>
      <c r="BN31" s="8">
        <v>1.8937565E7</v>
      </c>
      <c r="BO31" s="8" t="s">
        <v>969</v>
      </c>
      <c r="BP31" s="8" t="s">
        <v>969</v>
      </c>
      <c r="BQ31" s="8" t="s">
        <v>969</v>
      </c>
      <c r="BR31" s="8" t="s">
        <v>2912</v>
      </c>
      <c r="BS31" s="8" t="s">
        <v>2014</v>
      </c>
      <c r="BT31" s="3" t="s">
        <v>3010</v>
      </c>
      <c r="BU31" s="3" t="s">
        <v>3011</v>
      </c>
      <c r="BV31" s="8" t="s">
        <v>71</v>
      </c>
      <c r="BW31" s="8" t="s">
        <v>56</v>
      </c>
      <c r="BX31" s="3">
        <v>1.0</v>
      </c>
      <c r="BY31" s="8" t="str">
        <f>HYPERLINK("https%3A%2F%2Fwww.webofscience.com%2Fwos%2Fwoscc%2Ffull-record%2FWOS:000260547400015","View Full Record in Web of Science")</f>
        <v>View Full Record in Web of Science</v>
      </c>
    </row>
    <row r="32" ht="12.75" customHeight="1">
      <c r="A32" s="8" t="s">
        <v>967</v>
      </c>
      <c r="B32" s="8" t="s">
        <v>1865</v>
      </c>
      <c r="C32" s="8" t="s">
        <v>969</v>
      </c>
      <c r="D32" s="8" t="s">
        <v>969</v>
      </c>
      <c r="E32" s="8" t="s">
        <v>969</v>
      </c>
      <c r="F32" s="8" t="s">
        <v>1866</v>
      </c>
      <c r="G32" s="8" t="s">
        <v>969</v>
      </c>
      <c r="H32" s="8" t="s">
        <v>969</v>
      </c>
      <c r="I32" s="8" t="s">
        <v>1867</v>
      </c>
      <c r="J32" s="8" t="s">
        <v>971</v>
      </c>
      <c r="K32" s="8" t="s">
        <v>969</v>
      </c>
      <c r="L32" s="8" t="s">
        <v>969</v>
      </c>
      <c r="M32" s="8" t="s">
        <v>972</v>
      </c>
      <c r="N32" s="8" t="s">
        <v>973</v>
      </c>
      <c r="O32" s="8" t="s">
        <v>969</v>
      </c>
      <c r="P32" s="8" t="s">
        <v>969</v>
      </c>
      <c r="Q32" s="8" t="s">
        <v>969</v>
      </c>
      <c r="R32" s="8" t="s">
        <v>969</v>
      </c>
      <c r="S32" s="8" t="s">
        <v>969</v>
      </c>
      <c r="T32" s="8" t="s">
        <v>1868</v>
      </c>
      <c r="U32" s="8" t="s">
        <v>1869</v>
      </c>
      <c r="V32" s="8" t="s">
        <v>1870</v>
      </c>
      <c r="W32" s="8" t="s">
        <v>1871</v>
      </c>
      <c r="X32" s="8" t="s">
        <v>1872</v>
      </c>
      <c r="Y32" s="8" t="s">
        <v>1873</v>
      </c>
      <c r="Z32" s="8" t="s">
        <v>1874</v>
      </c>
      <c r="AA32" s="8" t="s">
        <v>3019</v>
      </c>
      <c r="AB32" s="8" t="s">
        <v>3020</v>
      </c>
      <c r="AC32" s="8" t="s">
        <v>969</v>
      </c>
      <c r="AD32" s="8" t="s">
        <v>969</v>
      </c>
      <c r="AE32" s="8" t="s">
        <v>969</v>
      </c>
      <c r="AF32" s="8" t="s">
        <v>969</v>
      </c>
      <c r="AG32" s="8">
        <v>72.0</v>
      </c>
      <c r="AH32" s="8">
        <v>206.0</v>
      </c>
      <c r="AI32" s="8">
        <v>254.0</v>
      </c>
      <c r="AJ32" s="8">
        <v>7.0</v>
      </c>
      <c r="AK32" s="8">
        <v>146.0</v>
      </c>
      <c r="AL32" s="8" t="s">
        <v>1091</v>
      </c>
      <c r="AM32" s="8" t="s">
        <v>1092</v>
      </c>
      <c r="AN32" s="8" t="s">
        <v>1093</v>
      </c>
      <c r="AO32" s="8" t="s">
        <v>983</v>
      </c>
      <c r="AP32" s="8" t="s">
        <v>1094</v>
      </c>
      <c r="AQ32" s="8" t="s">
        <v>969</v>
      </c>
      <c r="AR32" s="8" t="s">
        <v>1095</v>
      </c>
      <c r="AS32" s="8" t="s">
        <v>985</v>
      </c>
      <c r="AT32" s="8" t="s">
        <v>1285</v>
      </c>
      <c r="AU32" s="8">
        <v>2008.0</v>
      </c>
      <c r="AV32" s="8">
        <v>14.0</v>
      </c>
      <c r="AW32" s="8">
        <v>6.0</v>
      </c>
      <c r="AX32" s="8" t="s">
        <v>969</v>
      </c>
      <c r="AY32" s="8" t="s">
        <v>969</v>
      </c>
      <c r="AZ32" s="8" t="s">
        <v>969</v>
      </c>
      <c r="BA32" s="8" t="s">
        <v>969</v>
      </c>
      <c r="BB32" s="8">
        <v>1337.0</v>
      </c>
      <c r="BC32" s="8">
        <v>1352.0</v>
      </c>
      <c r="BD32" s="8" t="s">
        <v>969</v>
      </c>
      <c r="BE32" s="8" t="s">
        <v>707</v>
      </c>
      <c r="BF32" s="13" t="str">
        <f>HYPERLINK("http://dx.doi.org/10.1111/j.1365-2486.2008.01559.x","http://dx.doi.org/10.1111/j.1365-2486.2008.01559.x")</f>
        <v>http://dx.doi.org/10.1111/j.1365-2486.2008.01559.x</v>
      </c>
      <c r="BG32" s="8" t="s">
        <v>969</v>
      </c>
      <c r="BH32" s="8" t="s">
        <v>969</v>
      </c>
      <c r="BI32" s="8">
        <v>16.0</v>
      </c>
      <c r="BJ32" s="8" t="s">
        <v>987</v>
      </c>
      <c r="BK32" s="8" t="s">
        <v>988</v>
      </c>
      <c r="BL32" s="8" t="s">
        <v>989</v>
      </c>
      <c r="BM32" s="8" t="s">
        <v>1877</v>
      </c>
      <c r="BN32" s="8" t="s">
        <v>969</v>
      </c>
      <c r="BO32" s="8" t="s">
        <v>969</v>
      </c>
      <c r="BP32" s="8" t="s">
        <v>969</v>
      </c>
      <c r="BQ32" s="8" t="s">
        <v>969</v>
      </c>
      <c r="BR32" s="8" t="s">
        <v>2912</v>
      </c>
      <c r="BS32" s="8" t="s">
        <v>1878</v>
      </c>
      <c r="BT32" s="3" t="s">
        <v>3010</v>
      </c>
      <c r="BU32" s="3" t="s">
        <v>3011</v>
      </c>
      <c r="BV32" s="8" t="s">
        <v>71</v>
      </c>
      <c r="BW32" s="8" t="s">
        <v>51</v>
      </c>
      <c r="BX32" s="3">
        <v>1.0</v>
      </c>
      <c r="BY32" s="8" t="str">
        <f>HYPERLINK("https%3A%2F%2Fwww.webofscience.com%2Fwos%2Fwoscc%2Ffull-record%2FWOS:000255707200011","View Full Record in Web of Science")</f>
        <v>View Full Record in Web of Science</v>
      </c>
    </row>
    <row r="33" ht="12.75" customHeight="1">
      <c r="A33" s="8" t="s">
        <v>967</v>
      </c>
      <c r="B33" s="8" t="s">
        <v>1690</v>
      </c>
      <c r="C33" s="8" t="s">
        <v>969</v>
      </c>
      <c r="D33" s="8" t="s">
        <v>969</v>
      </c>
      <c r="E33" s="8" t="s">
        <v>969</v>
      </c>
      <c r="F33" s="8" t="s">
        <v>1691</v>
      </c>
      <c r="G33" s="8" t="s">
        <v>969</v>
      </c>
      <c r="H33" s="8" t="s">
        <v>969</v>
      </c>
      <c r="I33" s="8" t="s">
        <v>1692</v>
      </c>
      <c r="J33" s="8" t="s">
        <v>971</v>
      </c>
      <c r="K33" s="8" t="s">
        <v>969</v>
      </c>
      <c r="L33" s="8" t="s">
        <v>969</v>
      </c>
      <c r="M33" s="8" t="s">
        <v>972</v>
      </c>
      <c r="N33" s="8" t="s">
        <v>973</v>
      </c>
      <c r="O33" s="8" t="s">
        <v>969</v>
      </c>
      <c r="P33" s="8" t="s">
        <v>969</v>
      </c>
      <c r="Q33" s="8" t="s">
        <v>969</v>
      </c>
      <c r="R33" s="8" t="s">
        <v>969</v>
      </c>
      <c r="S33" s="8" t="s">
        <v>969</v>
      </c>
      <c r="T33" s="8" t="s">
        <v>1693</v>
      </c>
      <c r="U33" s="8" t="s">
        <v>1694</v>
      </c>
      <c r="V33" s="8" t="s">
        <v>1695</v>
      </c>
      <c r="W33" s="8" t="s">
        <v>1696</v>
      </c>
      <c r="X33" s="8" t="s">
        <v>1697</v>
      </c>
      <c r="Y33" s="8" t="s">
        <v>1107</v>
      </c>
      <c r="Z33" s="8" t="s">
        <v>1698</v>
      </c>
      <c r="AA33" s="8" t="s">
        <v>3021</v>
      </c>
      <c r="AB33" s="8" t="s">
        <v>3022</v>
      </c>
      <c r="AC33" s="8" t="s">
        <v>969</v>
      </c>
      <c r="AD33" s="8" t="s">
        <v>969</v>
      </c>
      <c r="AE33" s="8" t="s">
        <v>969</v>
      </c>
      <c r="AF33" s="8" t="s">
        <v>969</v>
      </c>
      <c r="AG33" s="8">
        <v>77.0</v>
      </c>
      <c r="AH33" s="8">
        <v>154.0</v>
      </c>
      <c r="AI33" s="8">
        <v>187.0</v>
      </c>
      <c r="AJ33" s="8">
        <v>2.0</v>
      </c>
      <c r="AK33" s="8">
        <v>86.0</v>
      </c>
      <c r="AL33" s="8" t="s">
        <v>1010</v>
      </c>
      <c r="AM33" s="8" t="s">
        <v>1092</v>
      </c>
      <c r="AN33" s="8" t="s">
        <v>1093</v>
      </c>
      <c r="AO33" s="8" t="s">
        <v>983</v>
      </c>
      <c r="AP33" s="8" t="s">
        <v>1094</v>
      </c>
      <c r="AQ33" s="8" t="s">
        <v>969</v>
      </c>
      <c r="AR33" s="8" t="s">
        <v>1095</v>
      </c>
      <c r="AS33" s="8" t="s">
        <v>985</v>
      </c>
      <c r="AT33" s="8" t="s">
        <v>1096</v>
      </c>
      <c r="AU33" s="8">
        <v>2007.0</v>
      </c>
      <c r="AV33" s="8">
        <v>13.0</v>
      </c>
      <c r="AW33" s="8">
        <v>7.0</v>
      </c>
      <c r="AX33" s="8" t="s">
        <v>969</v>
      </c>
      <c r="AY33" s="8" t="s">
        <v>969</v>
      </c>
      <c r="AZ33" s="8" t="s">
        <v>969</v>
      </c>
      <c r="BA33" s="8" t="s">
        <v>969</v>
      </c>
      <c r="BB33" s="8">
        <v>1368.0</v>
      </c>
      <c r="BC33" s="8">
        <v>1385.0</v>
      </c>
      <c r="BD33" s="8" t="s">
        <v>969</v>
      </c>
      <c r="BE33" s="8" t="s">
        <v>698</v>
      </c>
      <c r="BF33" s="13" t="str">
        <f>HYPERLINK("http://dx.doi.org/10.1111/j.1365-2486.2007.01357.x","http://dx.doi.org/10.1111/j.1365-2486.2007.01357.x")</f>
        <v>http://dx.doi.org/10.1111/j.1365-2486.2007.01357.x</v>
      </c>
      <c r="BG33" s="8" t="s">
        <v>969</v>
      </c>
      <c r="BH33" s="8" t="s">
        <v>969</v>
      </c>
      <c r="BI33" s="8">
        <v>18.0</v>
      </c>
      <c r="BJ33" s="8" t="s">
        <v>987</v>
      </c>
      <c r="BK33" s="8" t="s">
        <v>988</v>
      </c>
      <c r="BL33" s="8" t="s">
        <v>989</v>
      </c>
      <c r="BM33" s="8" t="s">
        <v>1701</v>
      </c>
      <c r="BN33" s="8" t="s">
        <v>969</v>
      </c>
      <c r="BO33" s="8" t="s">
        <v>969</v>
      </c>
      <c r="BP33" s="8" t="s">
        <v>969</v>
      </c>
      <c r="BQ33" s="8" t="s">
        <v>969</v>
      </c>
      <c r="BR33" s="8" t="s">
        <v>2912</v>
      </c>
      <c r="BS33" s="8" t="s">
        <v>1702</v>
      </c>
      <c r="BT33" s="3" t="s">
        <v>3010</v>
      </c>
      <c r="BU33" s="3" t="s">
        <v>3011</v>
      </c>
      <c r="BV33" s="8" t="s">
        <v>71</v>
      </c>
      <c r="BW33" s="8" t="s">
        <v>33</v>
      </c>
      <c r="BX33" s="3">
        <v>1.0</v>
      </c>
      <c r="BY33" s="8" t="str">
        <f>HYPERLINK("https%3A%2F%2Fwww.webofscience.com%2Fwos%2Fwoscc%2Ffull-record%2FWOS:000248945800007","View Full Record in Web of Science")</f>
        <v>View Full Record in Web of Science</v>
      </c>
    </row>
    <row r="34" ht="12.75" customHeight="1">
      <c r="A34" s="8" t="s">
        <v>967</v>
      </c>
      <c r="B34" s="8" t="s">
        <v>1397</v>
      </c>
      <c r="C34" s="8" t="s">
        <v>969</v>
      </c>
      <c r="D34" s="8" t="s">
        <v>969</v>
      </c>
      <c r="E34" s="8" t="s">
        <v>969</v>
      </c>
      <c r="F34" s="8" t="s">
        <v>1397</v>
      </c>
      <c r="G34" s="8" t="s">
        <v>969</v>
      </c>
      <c r="H34" s="8" t="s">
        <v>969</v>
      </c>
      <c r="I34" s="8" t="s">
        <v>1398</v>
      </c>
      <c r="J34" s="8" t="s">
        <v>1183</v>
      </c>
      <c r="K34" s="8" t="s">
        <v>969</v>
      </c>
      <c r="L34" s="8" t="s">
        <v>969</v>
      </c>
      <c r="M34" s="8" t="s">
        <v>972</v>
      </c>
      <c r="N34" s="8" t="s">
        <v>973</v>
      </c>
      <c r="O34" s="8" t="s">
        <v>969</v>
      </c>
      <c r="P34" s="8" t="s">
        <v>969</v>
      </c>
      <c r="Q34" s="8" t="s">
        <v>969</v>
      </c>
      <c r="R34" s="8" t="s">
        <v>969</v>
      </c>
      <c r="S34" s="8" t="s">
        <v>969</v>
      </c>
      <c r="T34" s="8" t="s">
        <v>1399</v>
      </c>
      <c r="U34" s="8" t="s">
        <v>1400</v>
      </c>
      <c r="V34" s="8" t="s">
        <v>1401</v>
      </c>
      <c r="W34" s="8" t="s">
        <v>1402</v>
      </c>
      <c r="X34" s="8" t="s">
        <v>1403</v>
      </c>
      <c r="Y34" s="8" t="s">
        <v>1404</v>
      </c>
      <c r="Z34" s="8" t="s">
        <v>1405</v>
      </c>
      <c r="AA34" s="8" t="s">
        <v>3023</v>
      </c>
      <c r="AB34" s="8" t="s">
        <v>3024</v>
      </c>
      <c r="AC34" s="8" t="s">
        <v>969</v>
      </c>
      <c r="AD34" s="8" t="s">
        <v>969</v>
      </c>
      <c r="AE34" s="8" t="s">
        <v>969</v>
      </c>
      <c r="AF34" s="8" t="s">
        <v>969</v>
      </c>
      <c r="AG34" s="8">
        <v>43.0</v>
      </c>
      <c r="AH34" s="8">
        <v>86.0</v>
      </c>
      <c r="AI34" s="8">
        <v>97.0</v>
      </c>
      <c r="AJ34" s="8">
        <v>2.0</v>
      </c>
      <c r="AK34" s="8">
        <v>71.0</v>
      </c>
      <c r="AL34" s="8" t="s">
        <v>1192</v>
      </c>
      <c r="AM34" s="8" t="s">
        <v>981</v>
      </c>
      <c r="AN34" s="8" t="s">
        <v>1408</v>
      </c>
      <c r="AO34" s="8" t="s">
        <v>1195</v>
      </c>
      <c r="AP34" s="8" t="s">
        <v>969</v>
      </c>
      <c r="AQ34" s="8" t="s">
        <v>969</v>
      </c>
      <c r="AR34" s="8" t="s">
        <v>1197</v>
      </c>
      <c r="AS34" s="8" t="s">
        <v>1198</v>
      </c>
      <c r="AT34" s="8" t="s">
        <v>1112</v>
      </c>
      <c r="AU34" s="8">
        <v>2005.0</v>
      </c>
      <c r="AV34" s="8">
        <v>125.0</v>
      </c>
      <c r="AW34" s="8">
        <v>3.0</v>
      </c>
      <c r="AX34" s="8" t="s">
        <v>969</v>
      </c>
      <c r="AY34" s="8" t="s">
        <v>969</v>
      </c>
      <c r="AZ34" s="8" t="s">
        <v>969</v>
      </c>
      <c r="BA34" s="8" t="s">
        <v>969</v>
      </c>
      <c r="BB34" s="8">
        <v>335.0</v>
      </c>
      <c r="BC34" s="8">
        <v>343.0</v>
      </c>
      <c r="BD34" s="8" t="s">
        <v>969</v>
      </c>
      <c r="BE34" s="8" t="s">
        <v>548</v>
      </c>
      <c r="BF34" s="13" t="str">
        <f>HYPERLINK("http://dx.doi.org/10.1016/j.biocon.2005.04.003","http://dx.doi.org/10.1016/j.biocon.2005.04.003")</f>
        <v>http://dx.doi.org/10.1016/j.biocon.2005.04.003</v>
      </c>
      <c r="BG34" s="8" t="s">
        <v>969</v>
      </c>
      <c r="BH34" s="8" t="s">
        <v>969</v>
      </c>
      <c r="BI34" s="8">
        <v>9.0</v>
      </c>
      <c r="BJ34" s="8" t="s">
        <v>987</v>
      </c>
      <c r="BK34" s="8" t="s">
        <v>988</v>
      </c>
      <c r="BL34" s="8" t="s">
        <v>989</v>
      </c>
      <c r="BM34" s="8" t="s">
        <v>1409</v>
      </c>
      <c r="BN34" s="8" t="s">
        <v>969</v>
      </c>
      <c r="BO34" s="8" t="s">
        <v>969</v>
      </c>
      <c r="BP34" s="8" t="s">
        <v>969</v>
      </c>
      <c r="BQ34" s="8" t="s">
        <v>969</v>
      </c>
      <c r="BR34" s="8" t="s">
        <v>2912</v>
      </c>
      <c r="BS34" s="8" t="s">
        <v>1410</v>
      </c>
      <c r="BT34" s="3" t="s">
        <v>3010</v>
      </c>
      <c r="BU34" s="3" t="s">
        <v>3011</v>
      </c>
      <c r="BV34" s="8" t="s">
        <v>71</v>
      </c>
      <c r="BW34" s="8" t="s">
        <v>81</v>
      </c>
      <c r="BX34" s="3">
        <v>1.0</v>
      </c>
      <c r="BY34" s="8" t="str">
        <f>HYPERLINK("https%3A%2F%2Fwww.webofscience.com%2Fwos%2Fwoscc%2Ffull-record%2FWOS:000230357900006","View Full Record in Web of Science")</f>
        <v>View Full Record in Web of Science</v>
      </c>
    </row>
    <row r="35" ht="12.75" customHeight="1">
      <c r="A35" s="8" t="s">
        <v>967</v>
      </c>
      <c r="B35" s="8" t="s">
        <v>1411</v>
      </c>
      <c r="C35" s="8" t="s">
        <v>969</v>
      </c>
      <c r="D35" s="8" t="s">
        <v>969</v>
      </c>
      <c r="E35" s="8" t="s">
        <v>969</v>
      </c>
      <c r="F35" s="8" t="s">
        <v>1411</v>
      </c>
      <c r="G35" s="8" t="s">
        <v>969</v>
      </c>
      <c r="H35" s="8" t="s">
        <v>969</v>
      </c>
      <c r="I35" s="8" t="s">
        <v>1412</v>
      </c>
      <c r="J35" s="8" t="s">
        <v>1252</v>
      </c>
      <c r="K35" s="8" t="s">
        <v>969</v>
      </c>
      <c r="L35" s="8" t="s">
        <v>969</v>
      </c>
      <c r="M35" s="8" t="s">
        <v>972</v>
      </c>
      <c r="N35" s="8" t="s">
        <v>973</v>
      </c>
      <c r="O35" s="8" t="s">
        <v>969</v>
      </c>
      <c r="P35" s="8" t="s">
        <v>969</v>
      </c>
      <c r="Q35" s="8" t="s">
        <v>969</v>
      </c>
      <c r="R35" s="8" t="s">
        <v>969</v>
      </c>
      <c r="S35" s="8" t="s">
        <v>969</v>
      </c>
      <c r="T35" s="8" t="s">
        <v>1413</v>
      </c>
      <c r="U35" s="8" t="s">
        <v>1414</v>
      </c>
      <c r="V35" s="8" t="s">
        <v>1415</v>
      </c>
      <c r="W35" s="8" t="s">
        <v>1416</v>
      </c>
      <c r="X35" s="8" t="s">
        <v>1417</v>
      </c>
      <c r="Y35" s="8" t="s">
        <v>1418</v>
      </c>
      <c r="Z35" s="8" t="s">
        <v>1419</v>
      </c>
      <c r="AA35" s="8" t="s">
        <v>1108</v>
      </c>
      <c r="AB35" s="8" t="s">
        <v>1421</v>
      </c>
      <c r="AC35" s="8" t="s">
        <v>969</v>
      </c>
      <c r="AD35" s="8" t="s">
        <v>969</v>
      </c>
      <c r="AE35" s="8" t="s">
        <v>969</v>
      </c>
      <c r="AF35" s="8" t="s">
        <v>969</v>
      </c>
      <c r="AG35" s="8">
        <v>77.0</v>
      </c>
      <c r="AH35" s="8">
        <v>418.0</v>
      </c>
      <c r="AI35" s="8">
        <v>458.0</v>
      </c>
      <c r="AJ35" s="8">
        <v>2.0</v>
      </c>
      <c r="AK35" s="8">
        <v>177.0</v>
      </c>
      <c r="AL35" s="8" t="s">
        <v>1260</v>
      </c>
      <c r="AM35" s="8" t="s">
        <v>1261</v>
      </c>
      <c r="AN35" s="8" t="s">
        <v>1262</v>
      </c>
      <c r="AO35" s="8" t="s">
        <v>1263</v>
      </c>
      <c r="AP35" s="8" t="s">
        <v>969</v>
      </c>
      <c r="AQ35" s="8" t="s">
        <v>969</v>
      </c>
      <c r="AR35" s="8" t="s">
        <v>1264</v>
      </c>
      <c r="AS35" s="8" t="s">
        <v>1265</v>
      </c>
      <c r="AT35" s="8" t="s">
        <v>1422</v>
      </c>
      <c r="AU35" s="8">
        <v>2005.0</v>
      </c>
      <c r="AV35" s="8">
        <v>186.0</v>
      </c>
      <c r="AW35" s="8">
        <v>2.0</v>
      </c>
      <c r="AX35" s="8" t="s">
        <v>969</v>
      </c>
      <c r="AY35" s="8" t="s">
        <v>969</v>
      </c>
      <c r="AZ35" s="8" t="s">
        <v>969</v>
      </c>
      <c r="BA35" s="8" t="s">
        <v>969</v>
      </c>
      <c r="BB35" s="8">
        <v>250.0</v>
      </c>
      <c r="BC35" s="8">
        <v>269.0</v>
      </c>
      <c r="BD35" s="8" t="s">
        <v>969</v>
      </c>
      <c r="BE35" s="8" t="s">
        <v>560</v>
      </c>
      <c r="BF35" s="13" t="str">
        <f>HYPERLINK("http://dx.doi.org/10.1016/j.ecolmodel.2005.01.030","http://dx.doi.org/10.1016/j.ecolmodel.2005.01.030")</f>
        <v>http://dx.doi.org/10.1016/j.ecolmodel.2005.01.030</v>
      </c>
      <c r="BG35" s="8" t="s">
        <v>969</v>
      </c>
      <c r="BH35" s="8" t="s">
        <v>969</v>
      </c>
      <c r="BI35" s="8">
        <v>20.0</v>
      </c>
      <c r="BJ35" s="8" t="s">
        <v>1267</v>
      </c>
      <c r="BK35" s="8" t="s">
        <v>988</v>
      </c>
      <c r="BL35" s="8" t="s">
        <v>1268</v>
      </c>
      <c r="BM35" s="8" t="s">
        <v>1423</v>
      </c>
      <c r="BN35" s="8" t="s">
        <v>969</v>
      </c>
      <c r="BO35" s="8" t="s">
        <v>969</v>
      </c>
      <c r="BP35" s="8" t="s">
        <v>969</v>
      </c>
      <c r="BQ35" s="8" t="s">
        <v>969</v>
      </c>
      <c r="BR35" s="8" t="s">
        <v>2912</v>
      </c>
      <c r="BS35" s="8" t="s">
        <v>1424</v>
      </c>
      <c r="BT35" s="3" t="s">
        <v>3010</v>
      </c>
      <c r="BU35" s="3" t="s">
        <v>3011</v>
      </c>
      <c r="BV35" s="8" t="s">
        <v>71</v>
      </c>
      <c r="BW35" s="8" t="s">
        <v>33</v>
      </c>
      <c r="BX35" s="3">
        <v>1.0</v>
      </c>
      <c r="BY35" s="8" t="str">
        <f>HYPERLINK("https%3A%2F%2Fwww.webofscience.com%2Fwos%2Fwoscc%2Ffull-record%2FWOS:000230636400008","View Full Record in Web of Science")</f>
        <v>View Full Record in Web of Science</v>
      </c>
    </row>
    <row r="36" ht="12.75" customHeight="1">
      <c r="A36" s="8" t="s">
        <v>967</v>
      </c>
      <c r="B36" s="8" t="s">
        <v>1250</v>
      </c>
      <c r="C36" s="8" t="s">
        <v>969</v>
      </c>
      <c r="D36" s="8" t="s">
        <v>969</v>
      </c>
      <c r="E36" s="8" t="s">
        <v>969</v>
      </c>
      <c r="F36" s="8" t="s">
        <v>1250</v>
      </c>
      <c r="G36" s="8" t="s">
        <v>969</v>
      </c>
      <c r="H36" s="8" t="s">
        <v>969</v>
      </c>
      <c r="I36" s="8" t="s">
        <v>1251</v>
      </c>
      <c r="J36" s="8" t="s">
        <v>1252</v>
      </c>
      <c r="K36" s="8" t="s">
        <v>969</v>
      </c>
      <c r="L36" s="8" t="s">
        <v>969</v>
      </c>
      <c r="M36" s="8" t="s">
        <v>972</v>
      </c>
      <c r="N36" s="8" t="s">
        <v>973</v>
      </c>
      <c r="O36" s="8" t="s">
        <v>969</v>
      </c>
      <c r="P36" s="8" t="s">
        <v>969</v>
      </c>
      <c r="Q36" s="8" t="s">
        <v>969</v>
      </c>
      <c r="R36" s="8" t="s">
        <v>969</v>
      </c>
      <c r="S36" s="8" t="s">
        <v>969</v>
      </c>
      <c r="T36" s="8" t="s">
        <v>1253</v>
      </c>
      <c r="U36" s="8" t="s">
        <v>1254</v>
      </c>
      <c r="V36" s="8" t="s">
        <v>1255</v>
      </c>
      <c r="W36" s="8" t="s">
        <v>1256</v>
      </c>
      <c r="X36" s="8" t="s">
        <v>1220</v>
      </c>
      <c r="Y36" s="8" t="s">
        <v>1257</v>
      </c>
      <c r="Z36" s="8" t="s">
        <v>1258</v>
      </c>
      <c r="AA36" s="8" t="s">
        <v>969</v>
      </c>
      <c r="AB36" s="8" t="s">
        <v>1259</v>
      </c>
      <c r="AC36" s="8" t="s">
        <v>969</v>
      </c>
      <c r="AD36" s="8" t="s">
        <v>969</v>
      </c>
      <c r="AE36" s="8" t="s">
        <v>969</v>
      </c>
      <c r="AF36" s="8" t="s">
        <v>969</v>
      </c>
      <c r="AG36" s="8">
        <v>49.0</v>
      </c>
      <c r="AH36" s="8">
        <v>47.0</v>
      </c>
      <c r="AI36" s="8">
        <v>60.0</v>
      </c>
      <c r="AJ36" s="8">
        <v>2.0</v>
      </c>
      <c r="AK36" s="8">
        <v>70.0</v>
      </c>
      <c r="AL36" s="8" t="s">
        <v>1260</v>
      </c>
      <c r="AM36" s="8" t="s">
        <v>1261</v>
      </c>
      <c r="AN36" s="8" t="s">
        <v>1262</v>
      </c>
      <c r="AO36" s="8" t="s">
        <v>1263</v>
      </c>
      <c r="AP36" s="8" t="s">
        <v>969</v>
      </c>
      <c r="AQ36" s="8" t="s">
        <v>969</v>
      </c>
      <c r="AR36" s="8" t="s">
        <v>1264</v>
      </c>
      <c r="AS36" s="8" t="s">
        <v>1265</v>
      </c>
      <c r="AT36" s="8" t="s">
        <v>1266</v>
      </c>
      <c r="AU36" s="8">
        <v>2004.0</v>
      </c>
      <c r="AV36" s="8">
        <v>174.0</v>
      </c>
      <c r="AW36" s="8">
        <v>4.0</v>
      </c>
      <c r="AX36" s="8" t="s">
        <v>969</v>
      </c>
      <c r="AY36" s="8" t="s">
        <v>969</v>
      </c>
      <c r="AZ36" s="8" t="s">
        <v>969</v>
      </c>
      <c r="BA36" s="8" t="s">
        <v>969</v>
      </c>
      <c r="BB36" s="8">
        <v>347.0</v>
      </c>
      <c r="BC36" s="8">
        <v>357.0</v>
      </c>
      <c r="BD36" s="8" t="s">
        <v>969</v>
      </c>
      <c r="BE36" s="8" t="s">
        <v>557</v>
      </c>
      <c r="BF36" s="13" t="str">
        <f>HYPERLINK("http://dx.doi.org/10.1016/j.ecolmodel.2003.07.012","http://dx.doi.org/10.1016/j.ecolmodel.2003.07.012")</f>
        <v>http://dx.doi.org/10.1016/j.ecolmodel.2003.07.012</v>
      </c>
      <c r="BG36" s="8" t="s">
        <v>969</v>
      </c>
      <c r="BH36" s="8" t="s">
        <v>969</v>
      </c>
      <c r="BI36" s="8">
        <v>11.0</v>
      </c>
      <c r="BJ36" s="8" t="s">
        <v>1267</v>
      </c>
      <c r="BK36" s="8" t="s">
        <v>988</v>
      </c>
      <c r="BL36" s="8" t="s">
        <v>1268</v>
      </c>
      <c r="BM36" s="8" t="s">
        <v>1269</v>
      </c>
      <c r="BN36" s="8" t="s">
        <v>969</v>
      </c>
      <c r="BO36" s="8" t="s">
        <v>969</v>
      </c>
      <c r="BP36" s="8" t="s">
        <v>969</v>
      </c>
      <c r="BQ36" s="8" t="s">
        <v>969</v>
      </c>
      <c r="BR36" s="8" t="s">
        <v>2912</v>
      </c>
      <c r="BS36" s="8" t="s">
        <v>1270</v>
      </c>
      <c r="BT36" s="3" t="s">
        <v>3010</v>
      </c>
      <c r="BU36" s="3" t="s">
        <v>3011</v>
      </c>
      <c r="BV36" s="8" t="s">
        <v>71</v>
      </c>
      <c r="BW36" s="8" t="s">
        <v>88</v>
      </c>
      <c r="BX36" s="3">
        <v>1.0</v>
      </c>
      <c r="BY36" s="8" t="str">
        <f>HYPERLINK("https%3A%2F%2Fwww.webofscience.com%2Fwos%2Fwoscc%2Ffull-record%2FWOS:000221284100002","View Full Record in Web of Science")</f>
        <v>View Full Record in Web of Science</v>
      </c>
    </row>
    <row r="37" ht="12.75" customHeight="1">
      <c r="A37" s="8" t="s">
        <v>967</v>
      </c>
      <c r="B37" s="8" t="s">
        <v>1214</v>
      </c>
      <c r="C37" s="8" t="s">
        <v>969</v>
      </c>
      <c r="D37" s="8" t="s">
        <v>969</v>
      </c>
      <c r="E37" s="8" t="s">
        <v>969</v>
      </c>
      <c r="F37" s="8" t="s">
        <v>1214</v>
      </c>
      <c r="G37" s="8" t="s">
        <v>969</v>
      </c>
      <c r="H37" s="8" t="s">
        <v>969</v>
      </c>
      <c r="I37" s="8" t="s">
        <v>1215</v>
      </c>
      <c r="J37" s="8" t="s">
        <v>1120</v>
      </c>
      <c r="K37" s="8" t="s">
        <v>969</v>
      </c>
      <c r="L37" s="8" t="s">
        <v>969</v>
      </c>
      <c r="M37" s="8" t="s">
        <v>972</v>
      </c>
      <c r="N37" s="8" t="s">
        <v>973</v>
      </c>
      <c r="O37" s="8" t="s">
        <v>969</v>
      </c>
      <c r="P37" s="8" t="s">
        <v>969</v>
      </c>
      <c r="Q37" s="8" t="s">
        <v>969</v>
      </c>
      <c r="R37" s="8" t="s">
        <v>969</v>
      </c>
      <c r="S37" s="8" t="s">
        <v>969</v>
      </c>
      <c r="T37" s="8" t="s">
        <v>1216</v>
      </c>
      <c r="U37" s="8" t="s">
        <v>1217</v>
      </c>
      <c r="V37" s="8" t="s">
        <v>1218</v>
      </c>
      <c r="W37" s="8" t="s">
        <v>1219</v>
      </c>
      <c r="X37" s="8" t="s">
        <v>1220</v>
      </c>
      <c r="Y37" s="8" t="s">
        <v>1221</v>
      </c>
      <c r="Z37" s="8" t="s">
        <v>1222</v>
      </c>
      <c r="AA37" s="8" t="s">
        <v>3025</v>
      </c>
      <c r="AB37" s="8" t="s">
        <v>1224</v>
      </c>
      <c r="AC37" s="8" t="s">
        <v>969</v>
      </c>
      <c r="AD37" s="8" t="s">
        <v>969</v>
      </c>
      <c r="AE37" s="8" t="s">
        <v>969</v>
      </c>
      <c r="AF37" s="8" t="s">
        <v>969</v>
      </c>
      <c r="AG37" s="8">
        <v>38.0</v>
      </c>
      <c r="AH37" s="8">
        <v>390.0</v>
      </c>
      <c r="AI37" s="8">
        <v>471.0</v>
      </c>
      <c r="AJ37" s="8">
        <v>0.0</v>
      </c>
      <c r="AK37" s="8">
        <v>245.0</v>
      </c>
      <c r="AL37" s="8" t="s">
        <v>1130</v>
      </c>
      <c r="AM37" s="8" t="s">
        <v>1071</v>
      </c>
      <c r="AN37" s="8" t="s">
        <v>1131</v>
      </c>
      <c r="AO37" s="8" t="s">
        <v>1132</v>
      </c>
      <c r="AP37" s="8" t="s">
        <v>969</v>
      </c>
      <c r="AQ37" s="8" t="s">
        <v>969</v>
      </c>
      <c r="AR37" s="8" t="s">
        <v>1134</v>
      </c>
      <c r="AS37" s="8" t="s">
        <v>1135</v>
      </c>
      <c r="AT37" s="8" t="s">
        <v>1225</v>
      </c>
      <c r="AU37" s="8">
        <v>2003.0</v>
      </c>
      <c r="AV37" s="8">
        <v>270.0</v>
      </c>
      <c r="AW37" s="8">
        <v>1527.0</v>
      </c>
      <c r="AX37" s="8" t="s">
        <v>969</v>
      </c>
      <c r="AY37" s="8" t="s">
        <v>969</v>
      </c>
      <c r="AZ37" s="8" t="s">
        <v>969</v>
      </c>
      <c r="BA37" s="8" t="s">
        <v>969</v>
      </c>
      <c r="BB37" s="8">
        <v>1887.0</v>
      </c>
      <c r="BC37" s="8">
        <v>1892.0</v>
      </c>
      <c r="BD37" s="8" t="s">
        <v>969</v>
      </c>
      <c r="BE37" s="8" t="s">
        <v>659</v>
      </c>
      <c r="BF37" s="13" t="str">
        <f>HYPERLINK("http://dx.doi.org/10.1098/rspb.2003.2464","http://dx.doi.org/10.1098/rspb.2003.2464")</f>
        <v>http://dx.doi.org/10.1098/rspb.2003.2464</v>
      </c>
      <c r="BG37" s="8" t="s">
        <v>969</v>
      </c>
      <c r="BH37" s="8" t="s">
        <v>969</v>
      </c>
      <c r="BI37" s="8">
        <v>6.0</v>
      </c>
      <c r="BJ37" s="8" t="s">
        <v>1137</v>
      </c>
      <c r="BK37" s="8" t="s">
        <v>988</v>
      </c>
      <c r="BL37" s="8" t="s">
        <v>1138</v>
      </c>
      <c r="BM37" s="8" t="s">
        <v>1226</v>
      </c>
      <c r="BN37" s="8">
        <v>1.4561301E7</v>
      </c>
      <c r="BO37" s="8" t="s">
        <v>1227</v>
      </c>
      <c r="BP37" s="8" t="s">
        <v>969</v>
      </c>
      <c r="BQ37" s="8" t="s">
        <v>969</v>
      </c>
      <c r="BR37" s="8" t="s">
        <v>2912</v>
      </c>
      <c r="BS37" s="8" t="s">
        <v>1228</v>
      </c>
      <c r="BT37" s="3" t="s">
        <v>3010</v>
      </c>
      <c r="BU37" s="3" t="s">
        <v>3011</v>
      </c>
      <c r="BV37" s="8" t="s">
        <v>71</v>
      </c>
      <c r="BW37" s="8" t="s">
        <v>171</v>
      </c>
      <c r="BX37" s="3">
        <v>1.0</v>
      </c>
      <c r="BY37" s="8" t="str">
        <f>HYPERLINK("https%3A%2F%2Fwww.webofscience.com%2Fwos%2Fwoscc%2Ffull-record%2FWOS:000185482500003","View Full Record in Web of Science")</f>
        <v>View Full Record in Web of Science</v>
      </c>
    </row>
    <row r="38" ht="12.75" customHeight="1">
      <c r="A38" s="8" t="s">
        <v>967</v>
      </c>
      <c r="B38" s="8" t="s">
        <v>1100</v>
      </c>
      <c r="C38" s="8" t="s">
        <v>969</v>
      </c>
      <c r="D38" s="8" t="s">
        <v>969</v>
      </c>
      <c r="E38" s="8" t="s">
        <v>969</v>
      </c>
      <c r="F38" s="8" t="s">
        <v>1100</v>
      </c>
      <c r="G38" s="8" t="s">
        <v>969</v>
      </c>
      <c r="H38" s="8" t="s">
        <v>969</v>
      </c>
      <c r="I38" s="8" t="s">
        <v>1101</v>
      </c>
      <c r="J38" s="8" t="s">
        <v>971</v>
      </c>
      <c r="K38" s="8" t="s">
        <v>969</v>
      </c>
      <c r="L38" s="8" t="s">
        <v>969</v>
      </c>
      <c r="M38" s="8" t="s">
        <v>972</v>
      </c>
      <c r="N38" s="8" t="s">
        <v>973</v>
      </c>
      <c r="O38" s="8" t="s">
        <v>969</v>
      </c>
      <c r="P38" s="8" t="s">
        <v>969</v>
      </c>
      <c r="Q38" s="8" t="s">
        <v>969</v>
      </c>
      <c r="R38" s="8" t="s">
        <v>969</v>
      </c>
      <c r="S38" s="8" t="s">
        <v>969</v>
      </c>
      <c r="T38" s="8" t="s">
        <v>1102</v>
      </c>
      <c r="U38" s="8" t="s">
        <v>1103</v>
      </c>
      <c r="V38" s="8" t="s">
        <v>1104</v>
      </c>
      <c r="W38" s="8" t="s">
        <v>1105</v>
      </c>
      <c r="X38" s="8" t="s">
        <v>1106</v>
      </c>
      <c r="Y38" s="8" t="s">
        <v>1107</v>
      </c>
      <c r="Z38" s="8" t="s">
        <v>969</v>
      </c>
      <c r="AA38" s="8" t="s">
        <v>1420</v>
      </c>
      <c r="AB38" s="8" t="s">
        <v>3026</v>
      </c>
      <c r="AC38" s="8" t="s">
        <v>969</v>
      </c>
      <c r="AD38" s="8" t="s">
        <v>969</v>
      </c>
      <c r="AE38" s="8" t="s">
        <v>969</v>
      </c>
      <c r="AF38" s="8" t="s">
        <v>969</v>
      </c>
      <c r="AG38" s="8">
        <v>61.0</v>
      </c>
      <c r="AH38" s="8">
        <v>115.0</v>
      </c>
      <c r="AI38" s="8">
        <v>147.0</v>
      </c>
      <c r="AJ38" s="8">
        <v>0.0</v>
      </c>
      <c r="AK38" s="8">
        <v>92.0</v>
      </c>
      <c r="AL38" s="8" t="s">
        <v>1110</v>
      </c>
      <c r="AM38" s="8" t="s">
        <v>981</v>
      </c>
      <c r="AN38" s="8" t="s">
        <v>1111</v>
      </c>
      <c r="AO38" s="8" t="s">
        <v>983</v>
      </c>
      <c r="AP38" s="8" t="s">
        <v>969</v>
      </c>
      <c r="AQ38" s="8" t="s">
        <v>969</v>
      </c>
      <c r="AR38" s="8" t="s">
        <v>1095</v>
      </c>
      <c r="AS38" s="8" t="s">
        <v>985</v>
      </c>
      <c r="AT38" s="8" t="s">
        <v>1112</v>
      </c>
      <c r="AU38" s="8">
        <v>2002.0</v>
      </c>
      <c r="AV38" s="8">
        <v>8.0</v>
      </c>
      <c r="AW38" s="8">
        <v>10.0</v>
      </c>
      <c r="AX38" s="8" t="s">
        <v>969</v>
      </c>
      <c r="AY38" s="8" t="s">
        <v>969</v>
      </c>
      <c r="AZ38" s="8" t="s">
        <v>969</v>
      </c>
      <c r="BA38" s="8" t="s">
        <v>969</v>
      </c>
      <c r="BB38" s="8">
        <v>954.0</v>
      </c>
      <c r="BC38" s="8">
        <v>971.0</v>
      </c>
      <c r="BD38" s="8" t="s">
        <v>969</v>
      </c>
      <c r="BE38" s="8" t="s">
        <v>608</v>
      </c>
      <c r="BF38" s="13" t="str">
        <f>HYPERLINK("http://dx.doi.org/10.1046/j.1365-2486.2002.00490.x","http://dx.doi.org/10.1046/j.1365-2486.2002.00490.x")</f>
        <v>http://dx.doi.org/10.1046/j.1365-2486.2002.00490.x</v>
      </c>
      <c r="BG38" s="8" t="s">
        <v>969</v>
      </c>
      <c r="BH38" s="8" t="s">
        <v>969</v>
      </c>
      <c r="BI38" s="8">
        <v>18.0</v>
      </c>
      <c r="BJ38" s="8" t="s">
        <v>987</v>
      </c>
      <c r="BK38" s="8" t="s">
        <v>988</v>
      </c>
      <c r="BL38" s="8" t="s">
        <v>989</v>
      </c>
      <c r="BM38" s="8" t="s">
        <v>1113</v>
      </c>
      <c r="BN38" s="8" t="s">
        <v>969</v>
      </c>
      <c r="BO38" s="8" t="s">
        <v>969</v>
      </c>
      <c r="BP38" s="8" t="s">
        <v>969</v>
      </c>
      <c r="BQ38" s="8" t="s">
        <v>969</v>
      </c>
      <c r="BR38" s="8" t="s">
        <v>2912</v>
      </c>
      <c r="BS38" s="8" t="s">
        <v>1114</v>
      </c>
      <c r="BT38" s="3" t="s">
        <v>3010</v>
      </c>
      <c r="BU38" s="3" t="s">
        <v>3011</v>
      </c>
      <c r="BV38" s="8" t="s">
        <v>71</v>
      </c>
      <c r="BW38" s="8" t="s">
        <v>33</v>
      </c>
      <c r="BX38" s="3">
        <v>1.0</v>
      </c>
      <c r="BY38" s="8" t="str">
        <f>HYPERLINK("https%3A%2F%2Fwww.webofscience.com%2Fwos%2Fwoscc%2Ffull-record%2FWOS:000177853000003","View Full Record in Web of Science")</f>
        <v>View Full Record in Web of Science</v>
      </c>
    </row>
    <row r="39" ht="12.75" customHeight="1">
      <c r="A39" s="8" t="s">
        <v>967</v>
      </c>
      <c r="B39" s="8" t="s">
        <v>2852</v>
      </c>
      <c r="C39" s="8" t="s">
        <v>969</v>
      </c>
      <c r="D39" s="8" t="s">
        <v>969</v>
      </c>
      <c r="E39" s="8" t="s">
        <v>969</v>
      </c>
      <c r="F39" s="8" t="s">
        <v>2852</v>
      </c>
      <c r="G39" s="8" t="s">
        <v>969</v>
      </c>
      <c r="H39" s="8" t="s">
        <v>969</v>
      </c>
      <c r="I39" s="8" t="s">
        <v>2853</v>
      </c>
      <c r="J39" s="8" t="s">
        <v>2854</v>
      </c>
      <c r="K39" s="8" t="s">
        <v>969</v>
      </c>
      <c r="L39" s="8" t="s">
        <v>969</v>
      </c>
      <c r="M39" s="8" t="s">
        <v>972</v>
      </c>
      <c r="N39" s="8" t="s">
        <v>973</v>
      </c>
      <c r="O39" s="8" t="s">
        <v>969</v>
      </c>
      <c r="P39" s="8" t="s">
        <v>969</v>
      </c>
      <c r="Q39" s="8" t="s">
        <v>969</v>
      </c>
      <c r="R39" s="8" t="s">
        <v>969</v>
      </c>
      <c r="S39" s="8" t="s">
        <v>969</v>
      </c>
      <c r="T39" s="8" t="s">
        <v>2855</v>
      </c>
      <c r="U39" s="8" t="s">
        <v>2856</v>
      </c>
      <c r="V39" s="8" t="s">
        <v>2857</v>
      </c>
      <c r="W39" s="8" t="s">
        <v>2858</v>
      </c>
      <c r="X39" s="8" t="s">
        <v>2859</v>
      </c>
      <c r="Y39" s="8" t="s">
        <v>969</v>
      </c>
      <c r="Z39" s="8" t="s">
        <v>969</v>
      </c>
      <c r="AA39" s="8" t="s">
        <v>2860</v>
      </c>
      <c r="AB39" s="8" t="s">
        <v>3027</v>
      </c>
      <c r="AC39" s="8" t="s">
        <v>969</v>
      </c>
      <c r="AD39" s="8" t="s">
        <v>969</v>
      </c>
      <c r="AE39" s="8" t="s">
        <v>969</v>
      </c>
      <c r="AF39" s="8" t="s">
        <v>969</v>
      </c>
      <c r="AG39" s="8">
        <v>29.0</v>
      </c>
      <c r="AH39" s="8">
        <v>118.0</v>
      </c>
      <c r="AI39" s="8">
        <v>128.0</v>
      </c>
      <c r="AJ39" s="8">
        <v>0.0</v>
      </c>
      <c r="AK39" s="8">
        <v>46.0</v>
      </c>
      <c r="AL39" s="8" t="s">
        <v>980</v>
      </c>
      <c r="AM39" s="8" t="s">
        <v>981</v>
      </c>
      <c r="AN39" s="8" t="s">
        <v>2862</v>
      </c>
      <c r="AO39" s="8" t="s">
        <v>2863</v>
      </c>
      <c r="AP39" s="8" t="s">
        <v>969</v>
      </c>
      <c r="AQ39" s="8" t="s">
        <v>969</v>
      </c>
      <c r="AR39" s="8" t="s">
        <v>1161</v>
      </c>
      <c r="AS39" s="8" t="s">
        <v>2864</v>
      </c>
      <c r="AT39" s="8" t="s">
        <v>1016</v>
      </c>
      <c r="AU39" s="8">
        <v>1996.0</v>
      </c>
      <c r="AV39" s="8">
        <v>5.0</v>
      </c>
      <c r="AW39" s="8">
        <v>1.0</v>
      </c>
      <c r="AX39" s="8" t="s">
        <v>969</v>
      </c>
      <c r="AY39" s="8" t="s">
        <v>969</v>
      </c>
      <c r="AZ39" s="8" t="s">
        <v>969</v>
      </c>
      <c r="BA39" s="8" t="s">
        <v>969</v>
      </c>
      <c r="BB39" s="8">
        <v>23.0</v>
      </c>
      <c r="BC39" s="8">
        <v>29.0</v>
      </c>
      <c r="BD39" s="8" t="s">
        <v>969</v>
      </c>
      <c r="BE39" s="8" t="s">
        <v>845</v>
      </c>
      <c r="BF39" s="13" t="str">
        <f>HYPERLINK("http://dx.doi.org/10.2307/2997467","http://dx.doi.org/10.2307/2997467")</f>
        <v>http://dx.doi.org/10.2307/2997467</v>
      </c>
      <c r="BG39" s="8" t="s">
        <v>969</v>
      </c>
      <c r="BH39" s="8" t="s">
        <v>969</v>
      </c>
      <c r="BI39" s="8">
        <v>7.0</v>
      </c>
      <c r="BJ39" s="8" t="s">
        <v>1017</v>
      </c>
      <c r="BK39" s="8" t="s">
        <v>988</v>
      </c>
      <c r="BL39" s="8" t="s">
        <v>1018</v>
      </c>
      <c r="BM39" s="8" t="s">
        <v>2865</v>
      </c>
      <c r="BN39" s="8" t="s">
        <v>969</v>
      </c>
      <c r="BO39" s="8" t="s">
        <v>969</v>
      </c>
      <c r="BP39" s="8" t="s">
        <v>969</v>
      </c>
      <c r="BQ39" s="8" t="s">
        <v>969</v>
      </c>
      <c r="BR39" s="8" t="s">
        <v>2912</v>
      </c>
      <c r="BS39" s="8" t="s">
        <v>2866</v>
      </c>
      <c r="BT39" s="3" t="s">
        <v>3010</v>
      </c>
      <c r="BU39" s="3" t="s">
        <v>3011</v>
      </c>
      <c r="BV39" s="8" t="s">
        <v>71</v>
      </c>
      <c r="BW39" s="8" t="s">
        <v>51</v>
      </c>
      <c r="BX39" s="3">
        <v>1.0</v>
      </c>
      <c r="BY39" s="8" t="str">
        <f>HYPERLINK("https%3A%2F%2Fwww.webofscience.com%2Fwos%2Fwoscc%2Ffull-record%2FWOS:A1996UF43500005","View Full Record in Web of Science")</f>
        <v>View Full Record in Web of Science</v>
      </c>
    </row>
    <row r="40" ht="12.75" customHeight="1">
      <c r="A40" s="8" t="s">
        <v>967</v>
      </c>
      <c r="B40" s="8" t="s">
        <v>2831</v>
      </c>
      <c r="C40" s="8" t="s">
        <v>969</v>
      </c>
      <c r="D40" s="8" t="s">
        <v>969</v>
      </c>
      <c r="E40" s="8" t="s">
        <v>969</v>
      </c>
      <c r="F40" s="8" t="s">
        <v>2831</v>
      </c>
      <c r="G40" s="8" t="s">
        <v>969</v>
      </c>
      <c r="H40" s="8" t="s">
        <v>969</v>
      </c>
      <c r="I40" s="8" t="s">
        <v>2832</v>
      </c>
      <c r="J40" s="8" t="s">
        <v>1183</v>
      </c>
      <c r="K40" s="8" t="s">
        <v>969</v>
      </c>
      <c r="L40" s="8" t="s">
        <v>969</v>
      </c>
      <c r="M40" s="8" t="s">
        <v>972</v>
      </c>
      <c r="N40" s="8" t="s">
        <v>973</v>
      </c>
      <c r="O40" s="8" t="s">
        <v>969</v>
      </c>
      <c r="P40" s="8" t="s">
        <v>969</v>
      </c>
      <c r="Q40" s="8" t="s">
        <v>969</v>
      </c>
      <c r="R40" s="8" t="s">
        <v>969</v>
      </c>
      <c r="S40" s="8" t="s">
        <v>969</v>
      </c>
      <c r="T40" s="8" t="s">
        <v>2833</v>
      </c>
      <c r="U40" s="8" t="s">
        <v>2834</v>
      </c>
      <c r="V40" s="8" t="s">
        <v>2835</v>
      </c>
      <c r="W40" s="8" t="s">
        <v>2836</v>
      </c>
      <c r="X40" s="8" t="s">
        <v>969</v>
      </c>
      <c r="Y40" s="8" t="s">
        <v>969</v>
      </c>
      <c r="Z40" s="8" t="s">
        <v>969</v>
      </c>
      <c r="AA40" s="8" t="s">
        <v>969</v>
      </c>
      <c r="AB40" s="8" t="s">
        <v>969</v>
      </c>
      <c r="AC40" s="8" t="s">
        <v>969</v>
      </c>
      <c r="AD40" s="8" t="s">
        <v>969</v>
      </c>
      <c r="AE40" s="8" t="s">
        <v>969</v>
      </c>
      <c r="AF40" s="8" t="s">
        <v>969</v>
      </c>
      <c r="AG40" s="8">
        <v>47.0</v>
      </c>
      <c r="AH40" s="8">
        <v>111.0</v>
      </c>
      <c r="AI40" s="8">
        <v>121.0</v>
      </c>
      <c r="AJ40" s="8">
        <v>0.0</v>
      </c>
      <c r="AK40" s="8">
        <v>42.0</v>
      </c>
      <c r="AL40" s="8" t="s">
        <v>1192</v>
      </c>
      <c r="AM40" s="8" t="s">
        <v>981</v>
      </c>
      <c r="AN40" s="8" t="s">
        <v>2837</v>
      </c>
      <c r="AO40" s="8" t="s">
        <v>1195</v>
      </c>
      <c r="AP40" s="8" t="s">
        <v>969</v>
      </c>
      <c r="AQ40" s="8" t="s">
        <v>969</v>
      </c>
      <c r="AR40" s="8" t="s">
        <v>1197</v>
      </c>
      <c r="AS40" s="8" t="s">
        <v>1198</v>
      </c>
      <c r="AT40" s="8" t="s">
        <v>969</v>
      </c>
      <c r="AU40" s="8">
        <v>1995.0</v>
      </c>
      <c r="AV40" s="8">
        <v>72.0</v>
      </c>
      <c r="AW40" s="8">
        <v>3.0</v>
      </c>
      <c r="AX40" s="8" t="s">
        <v>969</v>
      </c>
      <c r="AY40" s="8" t="s">
        <v>969</v>
      </c>
      <c r="AZ40" s="8" t="s">
        <v>969</v>
      </c>
      <c r="BA40" s="8" t="s">
        <v>969</v>
      </c>
      <c r="BB40" s="8">
        <v>339.0</v>
      </c>
      <c r="BC40" s="8">
        <v>354.0</v>
      </c>
      <c r="BD40" s="8" t="s">
        <v>969</v>
      </c>
      <c r="BE40" s="8" t="s">
        <v>539</v>
      </c>
      <c r="BF40" s="13" t="str">
        <f>HYPERLINK("http://dx.doi.org/10.1016/0006-3207(94)00016-J","http://dx.doi.org/10.1016/0006-3207(94)00016-J")</f>
        <v>http://dx.doi.org/10.1016/0006-3207(94)00016-J</v>
      </c>
      <c r="BG40" s="8" t="s">
        <v>969</v>
      </c>
      <c r="BH40" s="8" t="s">
        <v>969</v>
      </c>
      <c r="BI40" s="8">
        <v>16.0</v>
      </c>
      <c r="BJ40" s="8" t="s">
        <v>987</v>
      </c>
      <c r="BK40" s="8" t="s">
        <v>988</v>
      </c>
      <c r="BL40" s="8" t="s">
        <v>989</v>
      </c>
      <c r="BM40" s="8" t="s">
        <v>2838</v>
      </c>
      <c r="BN40" s="8" t="s">
        <v>969</v>
      </c>
      <c r="BO40" s="8" t="s">
        <v>969</v>
      </c>
      <c r="BP40" s="8" t="s">
        <v>969</v>
      </c>
      <c r="BQ40" s="8" t="s">
        <v>969</v>
      </c>
      <c r="BR40" s="8" t="s">
        <v>2912</v>
      </c>
      <c r="BS40" s="8" t="s">
        <v>2839</v>
      </c>
      <c r="BT40" s="3" t="s">
        <v>3010</v>
      </c>
      <c r="BU40" s="3" t="s">
        <v>3011</v>
      </c>
      <c r="BV40" s="8" t="s">
        <v>71</v>
      </c>
      <c r="BW40" s="8" t="s">
        <v>72</v>
      </c>
      <c r="BX40" s="3">
        <v>1.0</v>
      </c>
      <c r="BY40" s="8" t="str">
        <f>HYPERLINK("https%3A%2F%2Fwww.webofscience.com%2Fwos%2Fwoscc%2Ffull-record%2FWOS:A1995RA24200001","View Full Record in Web of Science")</f>
        <v>View Full Record in Web of Science</v>
      </c>
    </row>
    <row r="41" ht="12.75" customHeight="1">
      <c r="A41" s="8" t="s">
        <v>967</v>
      </c>
      <c r="B41" s="8" t="s">
        <v>2770</v>
      </c>
      <c r="C41" s="8" t="s">
        <v>969</v>
      </c>
      <c r="D41" s="8" t="s">
        <v>969</v>
      </c>
      <c r="E41" s="8" t="s">
        <v>969</v>
      </c>
      <c r="F41" s="8" t="s">
        <v>2771</v>
      </c>
      <c r="G41" s="8" t="s">
        <v>969</v>
      </c>
      <c r="H41" s="8" t="s">
        <v>969</v>
      </c>
      <c r="I41" s="8" t="s">
        <v>2772</v>
      </c>
      <c r="J41" s="8" t="s">
        <v>1974</v>
      </c>
      <c r="K41" s="8" t="s">
        <v>969</v>
      </c>
      <c r="L41" s="8" t="s">
        <v>969</v>
      </c>
      <c r="M41" s="8" t="s">
        <v>972</v>
      </c>
      <c r="N41" s="8" t="s">
        <v>973</v>
      </c>
      <c r="O41" s="8" t="s">
        <v>969</v>
      </c>
      <c r="P41" s="8" t="s">
        <v>969</v>
      </c>
      <c r="Q41" s="8" t="s">
        <v>969</v>
      </c>
      <c r="R41" s="8" t="s">
        <v>969</v>
      </c>
      <c r="S41" s="8" t="s">
        <v>969</v>
      </c>
      <c r="T41" s="8" t="s">
        <v>969</v>
      </c>
      <c r="U41" s="8" t="s">
        <v>2773</v>
      </c>
      <c r="V41" s="8" t="s">
        <v>2774</v>
      </c>
      <c r="W41" s="8" t="s">
        <v>2775</v>
      </c>
      <c r="X41" s="8" t="s">
        <v>2776</v>
      </c>
      <c r="Y41" s="8" t="s">
        <v>2777</v>
      </c>
      <c r="Z41" s="8" t="s">
        <v>2778</v>
      </c>
      <c r="AA41" s="8" t="s">
        <v>3028</v>
      </c>
      <c r="AB41" s="8" t="s">
        <v>3029</v>
      </c>
      <c r="AC41" s="8" t="s">
        <v>2781</v>
      </c>
      <c r="AD41" s="8" t="s">
        <v>2782</v>
      </c>
      <c r="AE41" s="8" t="s">
        <v>2783</v>
      </c>
      <c r="AF41" s="8" t="s">
        <v>969</v>
      </c>
      <c r="AG41" s="8">
        <v>84.0</v>
      </c>
      <c r="AH41" s="8">
        <v>37.0</v>
      </c>
      <c r="AI41" s="8">
        <v>42.0</v>
      </c>
      <c r="AJ41" s="8">
        <v>0.0</v>
      </c>
      <c r="AK41" s="8">
        <v>42.0</v>
      </c>
      <c r="AL41" s="8" t="s">
        <v>1985</v>
      </c>
      <c r="AM41" s="8" t="s">
        <v>1986</v>
      </c>
      <c r="AN41" s="8" t="s">
        <v>1987</v>
      </c>
      <c r="AO41" s="8" t="s">
        <v>1988</v>
      </c>
      <c r="AP41" s="8" t="s">
        <v>969</v>
      </c>
      <c r="AQ41" s="8" t="s">
        <v>969</v>
      </c>
      <c r="AR41" s="8" t="s">
        <v>1974</v>
      </c>
      <c r="AS41" s="8" t="s">
        <v>1989</v>
      </c>
      <c r="AT41" s="8" t="s">
        <v>2784</v>
      </c>
      <c r="AU41" s="8">
        <v>2013.0</v>
      </c>
      <c r="AV41" s="8">
        <v>8.0</v>
      </c>
      <c r="AW41" s="8">
        <v>11.0</v>
      </c>
      <c r="AX41" s="8" t="s">
        <v>969</v>
      </c>
      <c r="AY41" s="8" t="s">
        <v>969</v>
      </c>
      <c r="AZ41" s="8" t="s">
        <v>969</v>
      </c>
      <c r="BA41" s="8" t="s">
        <v>969</v>
      </c>
      <c r="BB41" s="8" t="s">
        <v>969</v>
      </c>
      <c r="BC41" s="8" t="s">
        <v>969</v>
      </c>
      <c r="BD41" s="8" t="s">
        <v>2785</v>
      </c>
      <c r="BE41" s="8" t="s">
        <v>830</v>
      </c>
      <c r="BF41" s="13" t="str">
        <f>HYPERLINK("http://dx.doi.org/10.1371/journal.pone.0080531","http://dx.doi.org/10.1371/journal.pone.0080531")</f>
        <v>http://dx.doi.org/10.1371/journal.pone.0080531</v>
      </c>
      <c r="BG41" s="8" t="s">
        <v>969</v>
      </c>
      <c r="BH41" s="8" t="s">
        <v>969</v>
      </c>
      <c r="BI41" s="8">
        <v>10.0</v>
      </c>
      <c r="BJ41" s="8" t="s">
        <v>1076</v>
      </c>
      <c r="BK41" s="8" t="s">
        <v>988</v>
      </c>
      <c r="BL41" s="8" t="s">
        <v>1077</v>
      </c>
      <c r="BM41" s="8" t="s">
        <v>2786</v>
      </c>
      <c r="BN41" s="8">
        <v>2.4260411E7</v>
      </c>
      <c r="BO41" s="8" t="s">
        <v>1140</v>
      </c>
      <c r="BP41" s="8" t="s">
        <v>969</v>
      </c>
      <c r="BQ41" s="8" t="s">
        <v>969</v>
      </c>
      <c r="BR41" s="8" t="s">
        <v>2912</v>
      </c>
      <c r="BS41" s="8" t="s">
        <v>2787</v>
      </c>
      <c r="BT41" s="3" t="s">
        <v>3001</v>
      </c>
      <c r="BW41" s="8" t="s">
        <v>33</v>
      </c>
      <c r="BX41" s="3">
        <v>1.0</v>
      </c>
      <c r="BY41" s="8" t="str">
        <f>HYPERLINK("https%3A%2F%2Fwww.webofscience.com%2Fwos%2Fwoscc%2Ffull-record%2FWOS:000327258600069","View Full Record in Web of Science")</f>
        <v>View Full Record in Web of Science</v>
      </c>
    </row>
    <row r="42" ht="12.75" customHeight="1">
      <c r="A42" s="8" t="s">
        <v>967</v>
      </c>
      <c r="B42" s="8" t="s">
        <v>2675</v>
      </c>
      <c r="C42" s="8" t="s">
        <v>969</v>
      </c>
      <c r="D42" s="8" t="s">
        <v>969</v>
      </c>
      <c r="E42" s="8" t="s">
        <v>969</v>
      </c>
      <c r="F42" s="8" t="s">
        <v>2676</v>
      </c>
      <c r="G42" s="8" t="s">
        <v>969</v>
      </c>
      <c r="H42" s="8" t="s">
        <v>969</v>
      </c>
      <c r="I42" s="8" t="s">
        <v>2677</v>
      </c>
      <c r="J42" s="8" t="s">
        <v>1183</v>
      </c>
      <c r="K42" s="8" t="s">
        <v>969</v>
      </c>
      <c r="L42" s="8" t="s">
        <v>969</v>
      </c>
      <c r="M42" s="8" t="s">
        <v>972</v>
      </c>
      <c r="N42" s="8" t="s">
        <v>973</v>
      </c>
      <c r="O42" s="8" t="s">
        <v>969</v>
      </c>
      <c r="P42" s="8" t="s">
        <v>969</v>
      </c>
      <c r="Q42" s="8" t="s">
        <v>969</v>
      </c>
      <c r="R42" s="8" t="s">
        <v>969</v>
      </c>
      <c r="S42" s="8" t="s">
        <v>969</v>
      </c>
      <c r="T42" s="8" t="s">
        <v>2678</v>
      </c>
      <c r="U42" s="8" t="s">
        <v>2679</v>
      </c>
      <c r="V42" s="8" t="s">
        <v>2680</v>
      </c>
      <c r="W42" s="8" t="s">
        <v>2681</v>
      </c>
      <c r="X42" s="8" t="s">
        <v>2682</v>
      </c>
      <c r="Y42" s="8" t="s">
        <v>2683</v>
      </c>
      <c r="Z42" s="8" t="s">
        <v>2684</v>
      </c>
      <c r="AA42" s="8" t="s">
        <v>2685</v>
      </c>
      <c r="AB42" s="8" t="s">
        <v>2686</v>
      </c>
      <c r="AC42" s="8" t="s">
        <v>2687</v>
      </c>
      <c r="AD42" s="8" t="s">
        <v>2688</v>
      </c>
      <c r="AE42" s="8" t="s">
        <v>2689</v>
      </c>
      <c r="AF42" s="8" t="s">
        <v>969</v>
      </c>
      <c r="AG42" s="8">
        <v>75.0</v>
      </c>
      <c r="AH42" s="8">
        <v>103.0</v>
      </c>
      <c r="AI42" s="8">
        <v>116.0</v>
      </c>
      <c r="AJ42" s="8">
        <v>1.0</v>
      </c>
      <c r="AK42" s="8">
        <v>187.0</v>
      </c>
      <c r="AL42" s="8" t="s">
        <v>1192</v>
      </c>
      <c r="AM42" s="8" t="s">
        <v>1193</v>
      </c>
      <c r="AN42" s="8" t="s">
        <v>1194</v>
      </c>
      <c r="AO42" s="8" t="s">
        <v>1195</v>
      </c>
      <c r="AP42" s="8" t="s">
        <v>1196</v>
      </c>
      <c r="AQ42" s="8" t="s">
        <v>969</v>
      </c>
      <c r="AR42" s="8" t="s">
        <v>1197</v>
      </c>
      <c r="AS42" s="8" t="s">
        <v>1198</v>
      </c>
      <c r="AT42" s="8" t="s">
        <v>1552</v>
      </c>
      <c r="AU42" s="8">
        <v>2013.0</v>
      </c>
      <c r="AV42" s="8">
        <v>160.0</v>
      </c>
      <c r="AW42" s="8" t="s">
        <v>969</v>
      </c>
      <c r="AX42" s="8" t="s">
        <v>969</v>
      </c>
      <c r="AY42" s="8" t="s">
        <v>969</v>
      </c>
      <c r="AZ42" s="8" t="s">
        <v>969</v>
      </c>
      <c r="BA42" s="8" t="s">
        <v>969</v>
      </c>
      <c r="BB42" s="8">
        <v>225.0</v>
      </c>
      <c r="BC42" s="8">
        <v>233.0</v>
      </c>
      <c r="BD42" s="8" t="s">
        <v>969</v>
      </c>
      <c r="BE42" s="8" t="s">
        <v>554</v>
      </c>
      <c r="BF42" s="13" t="str">
        <f>HYPERLINK("http://dx.doi.org/10.1016/j.biocon.2013.02.001","http://dx.doi.org/10.1016/j.biocon.2013.02.001")</f>
        <v>http://dx.doi.org/10.1016/j.biocon.2013.02.001</v>
      </c>
      <c r="BG42" s="8" t="s">
        <v>969</v>
      </c>
      <c r="BH42" s="8" t="s">
        <v>969</v>
      </c>
      <c r="BI42" s="8">
        <v>9.0</v>
      </c>
      <c r="BJ42" s="8" t="s">
        <v>987</v>
      </c>
      <c r="BK42" s="8" t="s">
        <v>988</v>
      </c>
      <c r="BL42" s="8" t="s">
        <v>989</v>
      </c>
      <c r="BM42" s="8" t="s">
        <v>2690</v>
      </c>
      <c r="BN42" s="8" t="s">
        <v>969</v>
      </c>
      <c r="BO42" s="8" t="s">
        <v>969</v>
      </c>
      <c r="BP42" s="8" t="s">
        <v>969</v>
      </c>
      <c r="BQ42" s="8" t="s">
        <v>969</v>
      </c>
      <c r="BR42" s="8" t="s">
        <v>2912</v>
      </c>
      <c r="BS42" s="8" t="s">
        <v>2691</v>
      </c>
      <c r="BT42" s="3" t="s">
        <v>3001</v>
      </c>
      <c r="BW42" s="8" t="s">
        <v>33</v>
      </c>
      <c r="BX42" s="3">
        <v>1.0</v>
      </c>
      <c r="BY42" s="8" t="str">
        <f>HYPERLINK("https%3A%2F%2Fwww.webofscience.com%2Fwos%2Fwoscc%2Ffull-record%2FWOS:000320684700025","View Full Record in Web of Science")</f>
        <v>View Full Record in Web of Science</v>
      </c>
    </row>
    <row r="43" ht="12.75" customHeight="1">
      <c r="A43" s="8" t="s">
        <v>967</v>
      </c>
      <c r="B43" s="8" t="s">
        <v>2572</v>
      </c>
      <c r="C43" s="8" t="s">
        <v>969</v>
      </c>
      <c r="D43" s="8" t="s">
        <v>969</v>
      </c>
      <c r="E43" s="8" t="s">
        <v>969</v>
      </c>
      <c r="F43" s="8" t="s">
        <v>2573</v>
      </c>
      <c r="G43" s="8" t="s">
        <v>969</v>
      </c>
      <c r="H43" s="8" t="s">
        <v>969</v>
      </c>
      <c r="I43" s="8" t="s">
        <v>2574</v>
      </c>
      <c r="J43" s="8" t="s">
        <v>971</v>
      </c>
      <c r="K43" s="8" t="s">
        <v>969</v>
      </c>
      <c r="L43" s="8" t="s">
        <v>969</v>
      </c>
      <c r="M43" s="8" t="s">
        <v>972</v>
      </c>
      <c r="N43" s="8" t="s">
        <v>973</v>
      </c>
      <c r="O43" s="8" t="s">
        <v>969</v>
      </c>
      <c r="P43" s="8" t="s">
        <v>969</v>
      </c>
      <c r="Q43" s="8" t="s">
        <v>969</v>
      </c>
      <c r="R43" s="8" t="s">
        <v>969</v>
      </c>
      <c r="S43" s="8" t="s">
        <v>969</v>
      </c>
      <c r="T43" s="8" t="s">
        <v>2575</v>
      </c>
      <c r="U43" s="8" t="s">
        <v>2576</v>
      </c>
      <c r="V43" s="8" t="s">
        <v>2577</v>
      </c>
      <c r="W43" s="8" t="s">
        <v>2578</v>
      </c>
      <c r="X43" s="8" t="s">
        <v>3030</v>
      </c>
      <c r="Y43" s="8" t="s">
        <v>2315</v>
      </c>
      <c r="Z43" s="8" t="s">
        <v>2316</v>
      </c>
      <c r="AA43" s="8" t="s">
        <v>3031</v>
      </c>
      <c r="AB43" s="8" t="s">
        <v>3032</v>
      </c>
      <c r="AC43" s="8" t="s">
        <v>2582</v>
      </c>
      <c r="AD43" s="8" t="s">
        <v>2583</v>
      </c>
      <c r="AE43" s="8" t="s">
        <v>2584</v>
      </c>
      <c r="AF43" s="8" t="s">
        <v>969</v>
      </c>
      <c r="AG43" s="8">
        <v>96.0</v>
      </c>
      <c r="AH43" s="8">
        <v>163.0</v>
      </c>
      <c r="AI43" s="8">
        <v>185.0</v>
      </c>
      <c r="AJ43" s="8">
        <v>3.0</v>
      </c>
      <c r="AK43" s="8">
        <v>293.0</v>
      </c>
      <c r="AL43" s="8" t="s">
        <v>1091</v>
      </c>
      <c r="AM43" s="8" t="s">
        <v>1092</v>
      </c>
      <c r="AN43" s="8" t="s">
        <v>1093</v>
      </c>
      <c r="AO43" s="8" t="s">
        <v>983</v>
      </c>
      <c r="AP43" s="8" t="s">
        <v>1094</v>
      </c>
      <c r="AQ43" s="8" t="s">
        <v>969</v>
      </c>
      <c r="AR43" s="8" t="s">
        <v>1095</v>
      </c>
      <c r="AS43" s="8" t="s">
        <v>985</v>
      </c>
      <c r="AT43" s="8" t="s">
        <v>1055</v>
      </c>
      <c r="AU43" s="8">
        <v>2013.0</v>
      </c>
      <c r="AV43" s="8">
        <v>19.0</v>
      </c>
      <c r="AW43" s="8">
        <v>3.0</v>
      </c>
      <c r="AX43" s="8" t="s">
        <v>969</v>
      </c>
      <c r="AY43" s="8" t="s">
        <v>969</v>
      </c>
      <c r="AZ43" s="8" t="s">
        <v>969</v>
      </c>
      <c r="BA43" s="8" t="s">
        <v>969</v>
      </c>
      <c r="BB43" s="8">
        <v>752.0</v>
      </c>
      <c r="BC43" s="8">
        <v>762.0</v>
      </c>
      <c r="BD43" s="8" t="s">
        <v>969</v>
      </c>
      <c r="BE43" s="8" t="s">
        <v>668</v>
      </c>
      <c r="BF43" s="13" t="str">
        <f>HYPERLINK("http://dx.doi.org/10.1111/gcb.12107","http://dx.doi.org/10.1111/gcb.12107")</f>
        <v>http://dx.doi.org/10.1111/gcb.12107</v>
      </c>
      <c r="BG43" s="8" t="s">
        <v>969</v>
      </c>
      <c r="BH43" s="8" t="s">
        <v>969</v>
      </c>
      <c r="BI43" s="8">
        <v>11.0</v>
      </c>
      <c r="BJ43" s="8" t="s">
        <v>987</v>
      </c>
      <c r="BK43" s="8" t="s">
        <v>988</v>
      </c>
      <c r="BL43" s="8" t="s">
        <v>989</v>
      </c>
      <c r="BM43" s="8" t="s">
        <v>2585</v>
      </c>
      <c r="BN43" s="8">
        <v>2.3504833E7</v>
      </c>
      <c r="BO43" s="8" t="s">
        <v>969</v>
      </c>
      <c r="BP43" s="8" t="s">
        <v>969</v>
      </c>
      <c r="BQ43" s="8" t="s">
        <v>969</v>
      </c>
      <c r="BR43" s="8" t="s">
        <v>2912</v>
      </c>
      <c r="BS43" s="8" t="s">
        <v>2586</v>
      </c>
      <c r="BT43" s="3" t="s">
        <v>3001</v>
      </c>
      <c r="BW43" s="8" t="s">
        <v>33</v>
      </c>
      <c r="BX43" s="3">
        <v>1.0</v>
      </c>
      <c r="BY43" s="8" t="str">
        <f>HYPERLINK("https%3A%2F%2Fwww.webofscience.com%2Fwos%2Fwoscc%2Ffull-record%2FWOS:000314219700008","View Full Record in Web of Science")</f>
        <v>View Full Record in Web of Science</v>
      </c>
    </row>
    <row r="44" ht="12.75" customHeight="1">
      <c r="A44" s="8" t="s">
        <v>967</v>
      </c>
      <c r="B44" s="8" t="s">
        <v>2536</v>
      </c>
      <c r="C44" s="8" t="s">
        <v>969</v>
      </c>
      <c r="D44" s="8" t="s">
        <v>969</v>
      </c>
      <c r="E44" s="8" t="s">
        <v>969</v>
      </c>
      <c r="F44" s="8" t="s">
        <v>2537</v>
      </c>
      <c r="G44" s="8" t="s">
        <v>969</v>
      </c>
      <c r="H44" s="8" t="s">
        <v>969</v>
      </c>
      <c r="I44" s="8" t="s">
        <v>2538</v>
      </c>
      <c r="J44" s="8" t="s">
        <v>1974</v>
      </c>
      <c r="K44" s="8" t="s">
        <v>969</v>
      </c>
      <c r="L44" s="8" t="s">
        <v>969</v>
      </c>
      <c r="M44" s="8" t="s">
        <v>972</v>
      </c>
      <c r="N44" s="8" t="s">
        <v>973</v>
      </c>
      <c r="O44" s="8" t="s">
        <v>969</v>
      </c>
      <c r="P44" s="8" t="s">
        <v>969</v>
      </c>
      <c r="Q44" s="8" t="s">
        <v>969</v>
      </c>
      <c r="R44" s="8" t="s">
        <v>969</v>
      </c>
      <c r="S44" s="8" t="s">
        <v>969</v>
      </c>
      <c r="T44" s="8" t="s">
        <v>969</v>
      </c>
      <c r="U44" s="8" t="s">
        <v>2539</v>
      </c>
      <c r="V44" s="8" t="s">
        <v>2540</v>
      </c>
      <c r="W44" s="8" t="s">
        <v>2541</v>
      </c>
      <c r="X44" s="8" t="s">
        <v>2542</v>
      </c>
      <c r="Y44" s="8" t="s">
        <v>2543</v>
      </c>
      <c r="Z44" s="8" t="s">
        <v>2544</v>
      </c>
      <c r="AA44" s="8" t="s">
        <v>3033</v>
      </c>
      <c r="AB44" s="8" t="s">
        <v>3034</v>
      </c>
      <c r="AC44" s="8" t="s">
        <v>2547</v>
      </c>
      <c r="AD44" s="8" t="s">
        <v>2548</v>
      </c>
      <c r="AE44" s="8" t="s">
        <v>2549</v>
      </c>
      <c r="AF44" s="8" t="s">
        <v>969</v>
      </c>
      <c r="AG44" s="8">
        <v>40.0</v>
      </c>
      <c r="AH44" s="8">
        <v>61.0</v>
      </c>
      <c r="AI44" s="8">
        <v>68.0</v>
      </c>
      <c r="AJ44" s="8">
        <v>0.0</v>
      </c>
      <c r="AK44" s="8">
        <v>130.0</v>
      </c>
      <c r="AL44" s="8" t="s">
        <v>1985</v>
      </c>
      <c r="AM44" s="8" t="s">
        <v>1986</v>
      </c>
      <c r="AN44" s="8" t="s">
        <v>1987</v>
      </c>
      <c r="AO44" s="8" t="s">
        <v>1988</v>
      </c>
      <c r="AP44" s="8" t="s">
        <v>969</v>
      </c>
      <c r="AQ44" s="8" t="s">
        <v>969</v>
      </c>
      <c r="AR44" s="8" t="s">
        <v>1974</v>
      </c>
      <c r="AS44" s="8" t="s">
        <v>1989</v>
      </c>
      <c r="AT44" s="8" t="s">
        <v>2550</v>
      </c>
      <c r="AU44" s="8">
        <v>2012.0</v>
      </c>
      <c r="AV44" s="8">
        <v>7.0</v>
      </c>
      <c r="AW44" s="8">
        <v>12.0</v>
      </c>
      <c r="AX44" s="8" t="s">
        <v>969</v>
      </c>
      <c r="AY44" s="8" t="s">
        <v>969</v>
      </c>
      <c r="AZ44" s="8" t="s">
        <v>969</v>
      </c>
      <c r="BA44" s="8" t="s">
        <v>969</v>
      </c>
      <c r="BB44" s="8" t="s">
        <v>969</v>
      </c>
      <c r="BC44" s="8" t="s">
        <v>969</v>
      </c>
      <c r="BD44" s="8" t="s">
        <v>2551</v>
      </c>
      <c r="BE44" s="8" t="s">
        <v>818</v>
      </c>
      <c r="BF44" s="13" t="str">
        <f>HYPERLINK("http://dx.doi.org/10.1371/journal.pone.0052574","http://dx.doi.org/10.1371/journal.pone.0052574")</f>
        <v>http://dx.doi.org/10.1371/journal.pone.0052574</v>
      </c>
      <c r="BG44" s="8" t="s">
        <v>969</v>
      </c>
      <c r="BH44" s="8" t="s">
        <v>969</v>
      </c>
      <c r="BI44" s="8">
        <v>11.0</v>
      </c>
      <c r="BJ44" s="8" t="s">
        <v>1076</v>
      </c>
      <c r="BK44" s="8" t="s">
        <v>988</v>
      </c>
      <c r="BL44" s="8" t="s">
        <v>1077</v>
      </c>
      <c r="BM44" s="8" t="s">
        <v>2552</v>
      </c>
      <c r="BN44" s="8">
        <v>2.3285098E7</v>
      </c>
      <c r="BO44" s="8" t="s">
        <v>1993</v>
      </c>
      <c r="BP44" s="8" t="s">
        <v>969</v>
      </c>
      <c r="BQ44" s="8" t="s">
        <v>969</v>
      </c>
      <c r="BR44" s="8" t="s">
        <v>2912</v>
      </c>
      <c r="BS44" s="8" t="s">
        <v>2553</v>
      </c>
      <c r="BT44" s="3" t="s">
        <v>3001</v>
      </c>
      <c r="BW44" s="8" t="s">
        <v>56</v>
      </c>
      <c r="BX44" s="3">
        <v>1.0</v>
      </c>
      <c r="BY44" s="8" t="str">
        <f>HYPERLINK("https%3A%2F%2Fwww.webofscience.com%2Fwos%2Fwoscc%2Ffull-record%2FWOS:000312794500202","View Full Record in Web of Science")</f>
        <v>View Full Record in Web of Science</v>
      </c>
    </row>
    <row r="45" ht="12.75" customHeight="1">
      <c r="A45" s="8" t="s">
        <v>967</v>
      </c>
      <c r="B45" s="8" t="s">
        <v>2519</v>
      </c>
      <c r="C45" s="8" t="s">
        <v>969</v>
      </c>
      <c r="D45" s="8" t="s">
        <v>969</v>
      </c>
      <c r="E45" s="8" t="s">
        <v>969</v>
      </c>
      <c r="F45" s="8" t="s">
        <v>2520</v>
      </c>
      <c r="G45" s="8" t="s">
        <v>969</v>
      </c>
      <c r="H45" s="8" t="s">
        <v>969</v>
      </c>
      <c r="I45" s="8" t="s">
        <v>2521</v>
      </c>
      <c r="J45" s="8" t="s">
        <v>2358</v>
      </c>
      <c r="K45" s="8" t="s">
        <v>969</v>
      </c>
      <c r="L45" s="8" t="s">
        <v>969</v>
      </c>
      <c r="M45" s="8" t="s">
        <v>972</v>
      </c>
      <c r="N45" s="8" t="s">
        <v>973</v>
      </c>
      <c r="O45" s="8" t="s">
        <v>969</v>
      </c>
      <c r="P45" s="8" t="s">
        <v>969</v>
      </c>
      <c r="Q45" s="8" t="s">
        <v>969</v>
      </c>
      <c r="R45" s="8" t="s">
        <v>969</v>
      </c>
      <c r="S45" s="8" t="s">
        <v>969</v>
      </c>
      <c r="T45" s="8" t="s">
        <v>969</v>
      </c>
      <c r="U45" s="8" t="s">
        <v>2522</v>
      </c>
      <c r="V45" s="8" t="s">
        <v>2523</v>
      </c>
      <c r="W45" s="8" t="s">
        <v>2524</v>
      </c>
      <c r="X45" s="8" t="s">
        <v>3035</v>
      </c>
      <c r="Y45" s="8" t="s">
        <v>2526</v>
      </c>
      <c r="Z45" s="8" t="s">
        <v>2527</v>
      </c>
      <c r="AA45" s="8" t="s">
        <v>3036</v>
      </c>
      <c r="AB45" s="8" t="s">
        <v>3037</v>
      </c>
      <c r="AC45" s="8" t="s">
        <v>2530</v>
      </c>
      <c r="AD45" s="8" t="s">
        <v>2531</v>
      </c>
      <c r="AE45" s="8" t="s">
        <v>2532</v>
      </c>
      <c r="AF45" s="8" t="s">
        <v>969</v>
      </c>
      <c r="AG45" s="8">
        <v>30.0</v>
      </c>
      <c r="AH45" s="8">
        <v>627.0</v>
      </c>
      <c r="AI45" s="8">
        <v>691.0</v>
      </c>
      <c r="AJ45" s="8">
        <v>8.0</v>
      </c>
      <c r="AK45" s="8">
        <v>489.0</v>
      </c>
      <c r="AL45" s="8" t="s">
        <v>1070</v>
      </c>
      <c r="AM45" s="8" t="s">
        <v>1071</v>
      </c>
      <c r="AN45" s="8" t="s">
        <v>1072</v>
      </c>
      <c r="AO45" s="8" t="s">
        <v>2369</v>
      </c>
      <c r="AP45" s="8" t="s">
        <v>2370</v>
      </c>
      <c r="AQ45" s="8" t="s">
        <v>969</v>
      </c>
      <c r="AR45" s="8" t="s">
        <v>2371</v>
      </c>
      <c r="AS45" s="8" t="s">
        <v>2372</v>
      </c>
      <c r="AT45" s="8" t="s">
        <v>1211</v>
      </c>
      <c r="AU45" s="8">
        <v>2012.0</v>
      </c>
      <c r="AV45" s="8">
        <v>2.0</v>
      </c>
      <c r="AW45" s="8">
        <v>8.0</v>
      </c>
      <c r="AX45" s="8" t="s">
        <v>969</v>
      </c>
      <c r="AY45" s="8" t="s">
        <v>969</v>
      </c>
      <c r="AZ45" s="8" t="s">
        <v>969</v>
      </c>
      <c r="BA45" s="8" t="s">
        <v>969</v>
      </c>
      <c r="BB45" s="8">
        <v>619.0</v>
      </c>
      <c r="BC45" s="8">
        <v>622.0</v>
      </c>
      <c r="BD45" s="8" t="s">
        <v>969</v>
      </c>
      <c r="BE45" s="8" t="s">
        <v>2533</v>
      </c>
      <c r="BF45" s="13" t="str">
        <f>HYPERLINK("http://dx.doi.org/10.1038/NCLIMATE1514","http://dx.doi.org/10.1038/NCLIMATE1514")</f>
        <v>http://dx.doi.org/10.1038/NCLIMATE1514</v>
      </c>
      <c r="BG45" s="8" t="s">
        <v>969</v>
      </c>
      <c r="BH45" s="8" t="s">
        <v>969</v>
      </c>
      <c r="BI45" s="8">
        <v>4.0</v>
      </c>
      <c r="BJ45" s="8" t="s">
        <v>2374</v>
      </c>
      <c r="BK45" s="8" t="s">
        <v>1519</v>
      </c>
      <c r="BL45" s="8" t="s">
        <v>1038</v>
      </c>
      <c r="BM45" s="8" t="s">
        <v>2534</v>
      </c>
      <c r="BN45" s="8" t="s">
        <v>969</v>
      </c>
      <c r="BO45" s="8" t="s">
        <v>969</v>
      </c>
      <c r="BP45" s="8" t="s">
        <v>969</v>
      </c>
      <c r="BQ45" s="8" t="s">
        <v>969</v>
      </c>
      <c r="BR45" s="8" t="s">
        <v>2912</v>
      </c>
      <c r="BS45" s="8" t="s">
        <v>2535</v>
      </c>
      <c r="BT45" s="3" t="s">
        <v>3001</v>
      </c>
      <c r="BW45" s="8" t="s">
        <v>51</v>
      </c>
      <c r="BX45" s="3">
        <v>1.0</v>
      </c>
      <c r="BY45" s="8" t="str">
        <f>HYPERLINK("https%3A%2F%2Fwww.webofscience.com%2Fwos%2Fwoscc%2Ffull-record%2FWOS:000307369300020","View Full Record in Web of Science")</f>
        <v>View Full Record in Web of Science</v>
      </c>
    </row>
    <row r="46" ht="12.75" customHeight="1">
      <c r="A46" s="8" t="s">
        <v>967</v>
      </c>
      <c r="B46" s="8" t="s">
        <v>2432</v>
      </c>
      <c r="C46" s="8" t="s">
        <v>969</v>
      </c>
      <c r="D46" s="8" t="s">
        <v>969</v>
      </c>
      <c r="E46" s="8" t="s">
        <v>969</v>
      </c>
      <c r="F46" s="8" t="s">
        <v>2433</v>
      </c>
      <c r="G46" s="8" t="s">
        <v>969</v>
      </c>
      <c r="H46" s="8" t="s">
        <v>969</v>
      </c>
      <c r="I46" s="8" t="s">
        <v>2434</v>
      </c>
      <c r="J46" s="8" t="s">
        <v>1427</v>
      </c>
      <c r="K46" s="8" t="s">
        <v>969</v>
      </c>
      <c r="L46" s="8" t="s">
        <v>969</v>
      </c>
      <c r="M46" s="8" t="s">
        <v>972</v>
      </c>
      <c r="N46" s="8" t="s">
        <v>973</v>
      </c>
      <c r="O46" s="8" t="s">
        <v>969</v>
      </c>
      <c r="P46" s="8" t="s">
        <v>969</v>
      </c>
      <c r="Q46" s="8" t="s">
        <v>969</v>
      </c>
      <c r="R46" s="8" t="s">
        <v>969</v>
      </c>
      <c r="S46" s="8" t="s">
        <v>969</v>
      </c>
      <c r="T46" s="8" t="s">
        <v>2435</v>
      </c>
      <c r="U46" s="8" t="s">
        <v>2436</v>
      </c>
      <c r="V46" s="8" t="s">
        <v>2437</v>
      </c>
      <c r="W46" s="8" t="s">
        <v>2438</v>
      </c>
      <c r="X46" s="8" t="s">
        <v>2439</v>
      </c>
      <c r="Y46" s="8" t="s">
        <v>2440</v>
      </c>
      <c r="Z46" s="8" t="s">
        <v>2441</v>
      </c>
      <c r="AA46" s="8" t="s">
        <v>2442</v>
      </c>
      <c r="AB46" s="8" t="s">
        <v>2443</v>
      </c>
      <c r="AC46" s="8" t="s">
        <v>969</v>
      </c>
      <c r="AD46" s="8" t="s">
        <v>969</v>
      </c>
      <c r="AE46" s="8" t="s">
        <v>969</v>
      </c>
      <c r="AF46" s="8" t="s">
        <v>969</v>
      </c>
      <c r="AG46" s="8">
        <v>83.0</v>
      </c>
      <c r="AH46" s="8">
        <v>80.0</v>
      </c>
      <c r="AI46" s="8">
        <v>84.0</v>
      </c>
      <c r="AJ46" s="8">
        <v>0.0</v>
      </c>
      <c r="AK46" s="8">
        <v>152.0</v>
      </c>
      <c r="AL46" s="8" t="s">
        <v>1091</v>
      </c>
      <c r="AM46" s="8" t="s">
        <v>1092</v>
      </c>
      <c r="AN46" s="8" t="s">
        <v>1093</v>
      </c>
      <c r="AO46" s="8" t="s">
        <v>1437</v>
      </c>
      <c r="AP46" s="8" t="s">
        <v>1499</v>
      </c>
      <c r="AQ46" s="8" t="s">
        <v>969</v>
      </c>
      <c r="AR46" s="8" t="s">
        <v>1438</v>
      </c>
      <c r="AS46" s="8" t="s">
        <v>1439</v>
      </c>
      <c r="AT46" s="8" t="s">
        <v>1036</v>
      </c>
      <c r="AU46" s="8">
        <v>2012.0</v>
      </c>
      <c r="AV46" s="8">
        <v>18.0</v>
      </c>
      <c r="AW46" s="8">
        <v>2.0</v>
      </c>
      <c r="AX46" s="8" t="s">
        <v>969</v>
      </c>
      <c r="AY46" s="8" t="s">
        <v>969</v>
      </c>
      <c r="AZ46" s="8" t="s">
        <v>969</v>
      </c>
      <c r="BA46" s="8" t="s">
        <v>969</v>
      </c>
      <c r="BB46" s="8">
        <v>121.0</v>
      </c>
      <c r="BC46" s="8">
        <v>132.0</v>
      </c>
      <c r="BD46" s="8" t="s">
        <v>969</v>
      </c>
      <c r="BE46" s="8" t="s">
        <v>764</v>
      </c>
      <c r="BF46" s="13" t="str">
        <f>HYPERLINK("http://dx.doi.org/10.1111/j.1472-4642.2011.00827.x","http://dx.doi.org/10.1111/j.1472-4642.2011.00827.x")</f>
        <v>http://dx.doi.org/10.1111/j.1472-4642.2011.00827.x</v>
      </c>
      <c r="BG46" s="8" t="s">
        <v>969</v>
      </c>
      <c r="BH46" s="8" t="s">
        <v>969</v>
      </c>
      <c r="BI46" s="8">
        <v>12.0</v>
      </c>
      <c r="BJ46" s="8" t="s">
        <v>1286</v>
      </c>
      <c r="BK46" s="8" t="s">
        <v>988</v>
      </c>
      <c r="BL46" s="8" t="s">
        <v>989</v>
      </c>
      <c r="BM46" s="8" t="s">
        <v>2444</v>
      </c>
      <c r="BN46" s="8" t="s">
        <v>969</v>
      </c>
      <c r="BO46" s="8" t="s">
        <v>969</v>
      </c>
      <c r="BP46" s="8" t="s">
        <v>969</v>
      </c>
      <c r="BQ46" s="8" t="s">
        <v>969</v>
      </c>
      <c r="BR46" s="8" t="s">
        <v>2912</v>
      </c>
      <c r="BS46" s="8" t="s">
        <v>2445</v>
      </c>
      <c r="BT46" s="3" t="s">
        <v>3001</v>
      </c>
      <c r="BW46" s="8" t="s">
        <v>81</v>
      </c>
      <c r="BX46" s="3">
        <v>1.0</v>
      </c>
      <c r="BY46" s="8" t="str">
        <f>HYPERLINK("https%3A%2F%2Fwww.webofscience.com%2Fwos%2Fwoscc%2Ffull-record%2FWOS:000298874900003","View Full Record in Web of Science")</f>
        <v>View Full Record in Web of Science</v>
      </c>
    </row>
    <row r="47" ht="12.75" customHeight="1">
      <c r="A47" s="8" t="s">
        <v>967</v>
      </c>
      <c r="B47" s="8" t="s">
        <v>2416</v>
      </c>
      <c r="C47" s="8" t="s">
        <v>969</v>
      </c>
      <c r="D47" s="8" t="s">
        <v>969</v>
      </c>
      <c r="E47" s="8" t="s">
        <v>969</v>
      </c>
      <c r="F47" s="8" t="s">
        <v>2417</v>
      </c>
      <c r="G47" s="8" t="s">
        <v>969</v>
      </c>
      <c r="H47" s="8" t="s">
        <v>969</v>
      </c>
      <c r="I47" s="8" t="s">
        <v>2418</v>
      </c>
      <c r="J47" s="8" t="s">
        <v>1645</v>
      </c>
      <c r="K47" s="8" t="s">
        <v>969</v>
      </c>
      <c r="L47" s="8" t="s">
        <v>969</v>
      </c>
      <c r="M47" s="8" t="s">
        <v>972</v>
      </c>
      <c r="N47" s="8" t="s">
        <v>973</v>
      </c>
      <c r="O47" s="8" t="s">
        <v>969</v>
      </c>
      <c r="P47" s="8" t="s">
        <v>969</v>
      </c>
      <c r="Q47" s="8" t="s">
        <v>969</v>
      </c>
      <c r="R47" s="8" t="s">
        <v>969</v>
      </c>
      <c r="S47" s="8" t="s">
        <v>969</v>
      </c>
      <c r="T47" s="8" t="s">
        <v>2419</v>
      </c>
      <c r="U47" s="8" t="s">
        <v>2420</v>
      </c>
      <c r="V47" s="8" t="s">
        <v>2421</v>
      </c>
      <c r="W47" s="8" t="s">
        <v>2422</v>
      </c>
      <c r="X47" s="8" t="s">
        <v>3038</v>
      </c>
      <c r="Y47" s="8" t="s">
        <v>2424</v>
      </c>
      <c r="Z47" s="8" t="s">
        <v>2425</v>
      </c>
      <c r="AA47" s="8" t="s">
        <v>3039</v>
      </c>
      <c r="AB47" s="8" t="s">
        <v>3040</v>
      </c>
      <c r="AC47" s="8" t="s">
        <v>2428</v>
      </c>
      <c r="AD47" s="8" t="s">
        <v>2428</v>
      </c>
      <c r="AE47" s="8" t="s">
        <v>2429</v>
      </c>
      <c r="AF47" s="8" t="s">
        <v>969</v>
      </c>
      <c r="AG47" s="8">
        <v>60.0</v>
      </c>
      <c r="AH47" s="8">
        <v>76.0</v>
      </c>
      <c r="AI47" s="8">
        <v>81.0</v>
      </c>
      <c r="AJ47" s="8">
        <v>0.0</v>
      </c>
      <c r="AK47" s="8">
        <v>90.0</v>
      </c>
      <c r="AL47" s="8" t="s">
        <v>1609</v>
      </c>
      <c r="AM47" s="8" t="s">
        <v>1032</v>
      </c>
      <c r="AN47" s="8" t="s">
        <v>1210</v>
      </c>
      <c r="AO47" s="8" t="s">
        <v>1653</v>
      </c>
      <c r="AP47" s="8" t="s">
        <v>1654</v>
      </c>
      <c r="AQ47" s="8" t="s">
        <v>969</v>
      </c>
      <c r="AR47" s="8" t="s">
        <v>1655</v>
      </c>
      <c r="AS47" s="8" t="s">
        <v>1656</v>
      </c>
      <c r="AT47" s="8" t="s">
        <v>986</v>
      </c>
      <c r="AU47" s="8">
        <v>2011.0</v>
      </c>
      <c r="AV47" s="8">
        <v>20.0</v>
      </c>
      <c r="AW47" s="8">
        <v>13.0</v>
      </c>
      <c r="AX47" s="8" t="s">
        <v>969</v>
      </c>
      <c r="AY47" s="8" t="s">
        <v>969</v>
      </c>
      <c r="AZ47" s="8" t="s">
        <v>2350</v>
      </c>
      <c r="BA47" s="8" t="s">
        <v>969</v>
      </c>
      <c r="BB47" s="8">
        <v>3133.0</v>
      </c>
      <c r="BC47" s="8">
        <v>3146.0</v>
      </c>
      <c r="BD47" s="8" t="s">
        <v>969</v>
      </c>
      <c r="BE47" s="8" t="s">
        <v>533</v>
      </c>
      <c r="BF47" s="13" t="str">
        <f>HYPERLINK("http://dx.doi.org/10.1007/s10531-011-0140-y","http://dx.doi.org/10.1007/s10531-011-0140-y")</f>
        <v>http://dx.doi.org/10.1007/s10531-011-0140-y</v>
      </c>
      <c r="BG47" s="8" t="s">
        <v>969</v>
      </c>
      <c r="BH47" s="8" t="s">
        <v>969</v>
      </c>
      <c r="BI47" s="8">
        <v>14.0</v>
      </c>
      <c r="BJ47" s="8" t="s">
        <v>987</v>
      </c>
      <c r="BK47" s="8" t="s">
        <v>988</v>
      </c>
      <c r="BL47" s="8" t="s">
        <v>989</v>
      </c>
      <c r="BM47" s="8" t="s">
        <v>2430</v>
      </c>
      <c r="BN47" s="8" t="s">
        <v>969</v>
      </c>
      <c r="BO47" s="8" t="s">
        <v>969</v>
      </c>
      <c r="BP47" s="8" t="s">
        <v>969</v>
      </c>
      <c r="BQ47" s="8" t="s">
        <v>969</v>
      </c>
      <c r="BR47" s="8" t="s">
        <v>2912</v>
      </c>
      <c r="BS47" s="8" t="s">
        <v>2431</v>
      </c>
      <c r="BT47" s="3" t="s">
        <v>3001</v>
      </c>
      <c r="BW47" s="8" t="s">
        <v>33</v>
      </c>
      <c r="BX47" s="3">
        <v>1.0</v>
      </c>
      <c r="BY47" s="8" t="str">
        <f>HYPERLINK("https%3A%2F%2Fwww.webofscience.com%2Fwos%2Fwoscc%2Ffull-record%2FWOS:000297170900017","View Full Record in Web of Science")</f>
        <v>View Full Record in Web of Science</v>
      </c>
    </row>
    <row r="48" ht="12.75" customHeight="1">
      <c r="A48" s="8" t="s">
        <v>967</v>
      </c>
      <c r="B48" s="8" t="s">
        <v>2306</v>
      </c>
      <c r="C48" s="8" t="s">
        <v>969</v>
      </c>
      <c r="D48" s="8" t="s">
        <v>969</v>
      </c>
      <c r="E48" s="8" t="s">
        <v>969</v>
      </c>
      <c r="F48" s="8" t="s">
        <v>2307</v>
      </c>
      <c r="G48" s="8" t="s">
        <v>969</v>
      </c>
      <c r="H48" s="8" t="s">
        <v>969</v>
      </c>
      <c r="I48" s="8" t="s">
        <v>2308</v>
      </c>
      <c r="J48" s="8" t="s">
        <v>2309</v>
      </c>
      <c r="K48" s="8" t="s">
        <v>969</v>
      </c>
      <c r="L48" s="8" t="s">
        <v>969</v>
      </c>
      <c r="M48" s="8" t="s">
        <v>972</v>
      </c>
      <c r="N48" s="8" t="s">
        <v>973</v>
      </c>
      <c r="O48" s="8" t="s">
        <v>969</v>
      </c>
      <c r="P48" s="8" t="s">
        <v>969</v>
      </c>
      <c r="Q48" s="8" t="s">
        <v>969</v>
      </c>
      <c r="R48" s="8" t="s">
        <v>969</v>
      </c>
      <c r="S48" s="8" t="s">
        <v>969</v>
      </c>
      <c r="T48" s="8" t="s">
        <v>2310</v>
      </c>
      <c r="U48" s="8" t="s">
        <v>2311</v>
      </c>
      <c r="V48" s="8" t="s">
        <v>2312</v>
      </c>
      <c r="W48" s="8" t="s">
        <v>2313</v>
      </c>
      <c r="X48" s="8" t="s">
        <v>2423</v>
      </c>
      <c r="Y48" s="8" t="s">
        <v>2315</v>
      </c>
      <c r="Z48" s="8" t="s">
        <v>2316</v>
      </c>
      <c r="AA48" s="8" t="s">
        <v>3041</v>
      </c>
      <c r="AB48" s="8" t="s">
        <v>3042</v>
      </c>
      <c r="AC48" s="8" t="s">
        <v>2319</v>
      </c>
      <c r="AD48" s="8" t="s">
        <v>2319</v>
      </c>
      <c r="AE48" s="8" t="s">
        <v>2320</v>
      </c>
      <c r="AF48" s="8" t="s">
        <v>969</v>
      </c>
      <c r="AG48" s="8">
        <v>43.0</v>
      </c>
      <c r="AH48" s="8">
        <v>165.0</v>
      </c>
      <c r="AI48" s="8">
        <v>187.0</v>
      </c>
      <c r="AJ48" s="8">
        <v>1.0</v>
      </c>
      <c r="AK48" s="8">
        <v>150.0</v>
      </c>
      <c r="AL48" s="8" t="s">
        <v>1091</v>
      </c>
      <c r="AM48" s="8" t="s">
        <v>1092</v>
      </c>
      <c r="AN48" s="8" t="s">
        <v>1093</v>
      </c>
      <c r="AO48" s="8" t="s">
        <v>2321</v>
      </c>
      <c r="AP48" s="8" t="s">
        <v>2322</v>
      </c>
      <c r="AQ48" s="8" t="s">
        <v>969</v>
      </c>
      <c r="AR48" s="8" t="s">
        <v>2323</v>
      </c>
      <c r="AS48" s="8" t="s">
        <v>2324</v>
      </c>
      <c r="AT48" s="8" t="s">
        <v>1112</v>
      </c>
      <c r="AU48" s="8">
        <v>2011.0</v>
      </c>
      <c r="AV48" s="8">
        <v>56.0</v>
      </c>
      <c r="AW48" s="8">
        <v>10.0</v>
      </c>
      <c r="AX48" s="8" t="s">
        <v>969</v>
      </c>
      <c r="AY48" s="8" t="s">
        <v>969</v>
      </c>
      <c r="AZ48" s="8" t="s">
        <v>969</v>
      </c>
      <c r="BA48" s="8" t="s">
        <v>969</v>
      </c>
      <c r="BB48" s="8">
        <v>2009.0</v>
      </c>
      <c r="BC48" s="8">
        <v>2020.0</v>
      </c>
      <c r="BD48" s="8" t="s">
        <v>969</v>
      </c>
      <c r="BE48" s="8" t="s">
        <v>680</v>
      </c>
      <c r="BF48" s="13" t="str">
        <f>HYPERLINK("http://dx.doi.org/10.1111/j.1365-2427.2011.02631.x","http://dx.doi.org/10.1111/j.1365-2427.2011.02631.x")</f>
        <v>http://dx.doi.org/10.1111/j.1365-2427.2011.02631.x</v>
      </c>
      <c r="BG48" s="8" t="s">
        <v>969</v>
      </c>
      <c r="BH48" s="8" t="s">
        <v>969</v>
      </c>
      <c r="BI48" s="8">
        <v>12.0</v>
      </c>
      <c r="BJ48" s="8" t="s">
        <v>2325</v>
      </c>
      <c r="BK48" s="8" t="s">
        <v>988</v>
      </c>
      <c r="BL48" s="8" t="s">
        <v>2111</v>
      </c>
      <c r="BM48" s="8" t="s">
        <v>2326</v>
      </c>
      <c r="BN48" s="8" t="s">
        <v>969</v>
      </c>
      <c r="BO48" s="8" t="s">
        <v>969</v>
      </c>
      <c r="BP48" s="8" t="s">
        <v>969</v>
      </c>
      <c r="BQ48" s="8" t="s">
        <v>969</v>
      </c>
      <c r="BR48" s="8" t="s">
        <v>2912</v>
      </c>
      <c r="BS48" s="8" t="s">
        <v>2327</v>
      </c>
      <c r="BT48" s="3" t="s">
        <v>3001</v>
      </c>
      <c r="BW48" s="8" t="s">
        <v>33</v>
      </c>
      <c r="BX48" s="3">
        <v>1.0</v>
      </c>
      <c r="BY48" s="8" t="str">
        <f>HYPERLINK("https%3A%2F%2Fwww.webofscience.com%2Fwos%2Fwoscc%2Ffull-record%2FWOS:000295013800006","View Full Record in Web of Science")</f>
        <v>View Full Record in Web of Science</v>
      </c>
    </row>
    <row r="49" ht="12.75" customHeight="1">
      <c r="A49" s="8" t="s">
        <v>967</v>
      </c>
      <c r="B49" s="8" t="s">
        <v>2355</v>
      </c>
      <c r="C49" s="8" t="s">
        <v>969</v>
      </c>
      <c r="D49" s="8" t="s">
        <v>969</v>
      </c>
      <c r="E49" s="8" t="s">
        <v>969</v>
      </c>
      <c r="F49" s="8" t="s">
        <v>2356</v>
      </c>
      <c r="G49" s="8" t="s">
        <v>969</v>
      </c>
      <c r="H49" s="8" t="s">
        <v>969</v>
      </c>
      <c r="I49" s="8" t="s">
        <v>2357</v>
      </c>
      <c r="J49" s="8" t="s">
        <v>2358</v>
      </c>
      <c r="K49" s="8" t="s">
        <v>969</v>
      </c>
      <c r="L49" s="8" t="s">
        <v>969</v>
      </c>
      <c r="M49" s="8" t="s">
        <v>972</v>
      </c>
      <c r="N49" s="8" t="s">
        <v>973</v>
      </c>
      <c r="O49" s="8" t="s">
        <v>969</v>
      </c>
      <c r="P49" s="8" t="s">
        <v>969</v>
      </c>
      <c r="Q49" s="8" t="s">
        <v>969</v>
      </c>
      <c r="R49" s="8" t="s">
        <v>969</v>
      </c>
      <c r="S49" s="8" t="s">
        <v>969</v>
      </c>
      <c r="T49" s="8" t="s">
        <v>969</v>
      </c>
      <c r="U49" s="8" t="s">
        <v>2359</v>
      </c>
      <c r="V49" s="8" t="s">
        <v>2360</v>
      </c>
      <c r="W49" s="8" t="s">
        <v>2361</v>
      </c>
      <c r="X49" s="8" t="s">
        <v>3043</v>
      </c>
      <c r="Y49" s="8" t="s">
        <v>2363</v>
      </c>
      <c r="Z49" s="8" t="s">
        <v>2364</v>
      </c>
      <c r="AA49" s="8" t="s">
        <v>3044</v>
      </c>
      <c r="AB49" s="8" t="s">
        <v>3045</v>
      </c>
      <c r="AC49" s="8" t="s">
        <v>2367</v>
      </c>
      <c r="AD49" s="8" t="s">
        <v>2367</v>
      </c>
      <c r="AE49" s="8" t="s">
        <v>2368</v>
      </c>
      <c r="AF49" s="8" t="s">
        <v>969</v>
      </c>
      <c r="AG49" s="8">
        <v>30.0</v>
      </c>
      <c r="AH49" s="8">
        <v>312.0</v>
      </c>
      <c r="AI49" s="8">
        <v>334.0</v>
      </c>
      <c r="AJ49" s="8">
        <v>4.0</v>
      </c>
      <c r="AK49" s="8">
        <v>253.0</v>
      </c>
      <c r="AL49" s="8" t="s">
        <v>1070</v>
      </c>
      <c r="AM49" s="8" t="s">
        <v>1071</v>
      </c>
      <c r="AN49" s="8" t="s">
        <v>1072</v>
      </c>
      <c r="AO49" s="8" t="s">
        <v>2369</v>
      </c>
      <c r="AP49" s="8" t="s">
        <v>2370</v>
      </c>
      <c r="AQ49" s="8" t="s">
        <v>969</v>
      </c>
      <c r="AR49" s="8" t="s">
        <v>2371</v>
      </c>
      <c r="AS49" s="8" t="s">
        <v>2372</v>
      </c>
      <c r="AT49" s="8" t="s">
        <v>1300</v>
      </c>
      <c r="AU49" s="8">
        <v>2011.0</v>
      </c>
      <c r="AV49" s="8">
        <v>1.0</v>
      </c>
      <c r="AW49" s="8">
        <v>6.0</v>
      </c>
      <c r="AX49" s="8" t="s">
        <v>969</v>
      </c>
      <c r="AY49" s="8" t="s">
        <v>969</v>
      </c>
      <c r="AZ49" s="8" t="s">
        <v>969</v>
      </c>
      <c r="BA49" s="8" t="s">
        <v>969</v>
      </c>
      <c r="BB49" s="8">
        <v>313.0</v>
      </c>
      <c r="BC49" s="8">
        <v>318.0</v>
      </c>
      <c r="BD49" s="8" t="s">
        <v>969</v>
      </c>
      <c r="BE49" s="8" t="s">
        <v>2373</v>
      </c>
      <c r="BF49" s="13" t="str">
        <f>HYPERLINK("http://dx.doi.org/10.1038/NCLIMATE1191","http://dx.doi.org/10.1038/NCLIMATE1191")</f>
        <v>http://dx.doi.org/10.1038/NCLIMATE1191</v>
      </c>
      <c r="BG49" s="8" t="s">
        <v>969</v>
      </c>
      <c r="BH49" s="8" t="s">
        <v>969</v>
      </c>
      <c r="BI49" s="8">
        <v>6.0</v>
      </c>
      <c r="BJ49" s="8" t="s">
        <v>2374</v>
      </c>
      <c r="BK49" s="8" t="s">
        <v>1519</v>
      </c>
      <c r="BL49" s="8" t="s">
        <v>1038</v>
      </c>
      <c r="BM49" s="8" t="s">
        <v>2375</v>
      </c>
      <c r="BN49" s="8" t="s">
        <v>969</v>
      </c>
      <c r="BO49" s="8" t="s">
        <v>969</v>
      </c>
      <c r="BP49" s="8" t="s">
        <v>969</v>
      </c>
      <c r="BQ49" s="8" t="s">
        <v>969</v>
      </c>
      <c r="BR49" s="8" t="s">
        <v>2912</v>
      </c>
      <c r="BS49" s="8" t="s">
        <v>2376</v>
      </c>
      <c r="BT49" s="3" t="s">
        <v>3001</v>
      </c>
      <c r="BW49" s="8" t="s">
        <v>33</v>
      </c>
      <c r="BX49" s="3">
        <v>1.0</v>
      </c>
      <c r="BY49" s="8" t="str">
        <f>HYPERLINK("https%3A%2F%2Fwww.webofscience.com%2Fwos%2Fwoscc%2Ffull-record%2FWOS:000295799900018","View Full Record in Web of Science")</f>
        <v>View Full Record in Web of Science</v>
      </c>
    </row>
    <row r="50" ht="12.75" customHeight="1">
      <c r="A50" s="8" t="s">
        <v>967</v>
      </c>
      <c r="B50" s="8" t="s">
        <v>2271</v>
      </c>
      <c r="C50" s="8" t="s">
        <v>969</v>
      </c>
      <c r="D50" s="8" t="s">
        <v>969</v>
      </c>
      <c r="E50" s="8" t="s">
        <v>969</v>
      </c>
      <c r="F50" s="8" t="s">
        <v>2272</v>
      </c>
      <c r="G50" s="8" t="s">
        <v>969</v>
      </c>
      <c r="H50" s="8" t="s">
        <v>969</v>
      </c>
      <c r="I50" s="8" t="s">
        <v>2273</v>
      </c>
      <c r="J50" s="8" t="s">
        <v>1144</v>
      </c>
      <c r="K50" s="8" t="s">
        <v>969</v>
      </c>
      <c r="L50" s="8" t="s">
        <v>969</v>
      </c>
      <c r="M50" s="8" t="s">
        <v>972</v>
      </c>
      <c r="N50" s="8" t="s">
        <v>973</v>
      </c>
      <c r="O50" s="8" t="s">
        <v>969</v>
      </c>
      <c r="P50" s="8" t="s">
        <v>969</v>
      </c>
      <c r="Q50" s="8" t="s">
        <v>969</v>
      </c>
      <c r="R50" s="8" t="s">
        <v>969</v>
      </c>
      <c r="S50" s="8" t="s">
        <v>969</v>
      </c>
      <c r="T50" s="8" t="s">
        <v>2274</v>
      </c>
      <c r="U50" s="8" t="s">
        <v>2275</v>
      </c>
      <c r="V50" s="8" t="s">
        <v>2276</v>
      </c>
      <c r="W50" s="8" t="s">
        <v>2277</v>
      </c>
      <c r="X50" s="8" t="s">
        <v>2278</v>
      </c>
      <c r="Y50" s="8" t="s">
        <v>2279</v>
      </c>
      <c r="Z50" s="8" t="s">
        <v>2280</v>
      </c>
      <c r="AA50" s="8" t="s">
        <v>3046</v>
      </c>
      <c r="AB50" s="8" t="s">
        <v>2282</v>
      </c>
      <c r="AC50" s="8" t="s">
        <v>2283</v>
      </c>
      <c r="AD50" s="8" t="s">
        <v>2284</v>
      </c>
      <c r="AE50" s="8" t="s">
        <v>2285</v>
      </c>
      <c r="AF50" s="8" t="s">
        <v>969</v>
      </c>
      <c r="AG50" s="8">
        <v>64.0</v>
      </c>
      <c r="AH50" s="8">
        <v>269.0</v>
      </c>
      <c r="AI50" s="8">
        <v>295.0</v>
      </c>
      <c r="AJ50" s="8">
        <v>1.0</v>
      </c>
      <c r="AK50" s="8">
        <v>124.0</v>
      </c>
      <c r="AL50" s="8" t="s">
        <v>1091</v>
      </c>
      <c r="AM50" s="8" t="s">
        <v>1092</v>
      </c>
      <c r="AN50" s="8" t="s">
        <v>1093</v>
      </c>
      <c r="AO50" s="8" t="s">
        <v>1159</v>
      </c>
      <c r="AP50" s="8" t="s">
        <v>1160</v>
      </c>
      <c r="AQ50" s="8" t="s">
        <v>969</v>
      </c>
      <c r="AR50" s="8" t="s">
        <v>1161</v>
      </c>
      <c r="AS50" s="8" t="s">
        <v>1162</v>
      </c>
      <c r="AT50" s="8" t="s">
        <v>1300</v>
      </c>
      <c r="AU50" s="8">
        <v>2011.0</v>
      </c>
      <c r="AV50" s="8">
        <v>20.0</v>
      </c>
      <c r="AW50" s="8">
        <v>5.0</v>
      </c>
      <c r="AX50" s="8" t="s">
        <v>969</v>
      </c>
      <c r="AY50" s="8" t="s">
        <v>969</v>
      </c>
      <c r="AZ50" s="8" t="s">
        <v>969</v>
      </c>
      <c r="BA50" s="8" t="s">
        <v>969</v>
      </c>
      <c r="BB50" s="8">
        <v>766.0</v>
      </c>
      <c r="BC50" s="8">
        <v>778.0</v>
      </c>
      <c r="BD50" s="8" t="s">
        <v>969</v>
      </c>
      <c r="BE50" s="8" t="s">
        <v>758</v>
      </c>
      <c r="BF50" s="13" t="str">
        <f>HYPERLINK("http://dx.doi.org/10.1111/j.1466-8238.2010.00646.x","http://dx.doi.org/10.1111/j.1466-8238.2010.00646.x")</f>
        <v>http://dx.doi.org/10.1111/j.1466-8238.2010.00646.x</v>
      </c>
      <c r="BG50" s="8" t="s">
        <v>969</v>
      </c>
      <c r="BH50" s="8" t="s">
        <v>969</v>
      </c>
      <c r="BI50" s="8">
        <v>13.0</v>
      </c>
      <c r="BJ50" s="8" t="s">
        <v>1017</v>
      </c>
      <c r="BK50" s="8" t="s">
        <v>988</v>
      </c>
      <c r="BL50" s="8" t="s">
        <v>1018</v>
      </c>
      <c r="BM50" s="8" t="s">
        <v>2286</v>
      </c>
      <c r="BN50" s="8" t="s">
        <v>969</v>
      </c>
      <c r="BO50" s="8" t="s">
        <v>1247</v>
      </c>
      <c r="BP50" s="8" t="s">
        <v>969</v>
      </c>
      <c r="BQ50" s="8" t="s">
        <v>969</v>
      </c>
      <c r="BR50" s="8" t="s">
        <v>2912</v>
      </c>
      <c r="BS50" s="8" t="s">
        <v>2287</v>
      </c>
      <c r="BT50" s="3" t="s">
        <v>3001</v>
      </c>
      <c r="BW50" s="8" t="s">
        <v>51</v>
      </c>
      <c r="BX50" s="3">
        <v>1.0</v>
      </c>
      <c r="BY50" s="8" t="str">
        <f>HYPERLINK("https%3A%2F%2Fwww.webofscience.com%2Fwos%2Fwoscc%2Ffull-record%2FWOS:000293701300011","View Full Record in Web of Science")</f>
        <v>View Full Record in Web of Science</v>
      </c>
    </row>
    <row r="51" ht="12.75" customHeight="1">
      <c r="A51" s="8" t="s">
        <v>967</v>
      </c>
      <c r="B51" s="8" t="s">
        <v>2237</v>
      </c>
      <c r="C51" s="8" t="s">
        <v>969</v>
      </c>
      <c r="D51" s="8" t="s">
        <v>969</v>
      </c>
      <c r="E51" s="8" t="s">
        <v>969</v>
      </c>
      <c r="F51" s="8" t="s">
        <v>2238</v>
      </c>
      <c r="G51" s="8" t="s">
        <v>969</v>
      </c>
      <c r="H51" s="8" t="s">
        <v>969</v>
      </c>
      <c r="I51" s="8" t="s">
        <v>2239</v>
      </c>
      <c r="J51" s="8" t="s">
        <v>971</v>
      </c>
      <c r="K51" s="8" t="s">
        <v>969</v>
      </c>
      <c r="L51" s="8" t="s">
        <v>969</v>
      </c>
      <c r="M51" s="8" t="s">
        <v>972</v>
      </c>
      <c r="N51" s="8" t="s">
        <v>973</v>
      </c>
      <c r="O51" s="8" t="s">
        <v>969</v>
      </c>
      <c r="P51" s="8" t="s">
        <v>969</v>
      </c>
      <c r="Q51" s="8" t="s">
        <v>969</v>
      </c>
      <c r="R51" s="8" t="s">
        <v>969</v>
      </c>
      <c r="S51" s="8" t="s">
        <v>969</v>
      </c>
      <c r="T51" s="8" t="s">
        <v>2240</v>
      </c>
      <c r="U51" s="8" t="s">
        <v>2241</v>
      </c>
      <c r="V51" s="8" t="s">
        <v>2242</v>
      </c>
      <c r="W51" s="8" t="s">
        <v>2243</v>
      </c>
      <c r="X51" s="8" t="s">
        <v>3047</v>
      </c>
      <c r="Y51" s="8" t="s">
        <v>2245</v>
      </c>
      <c r="Z51" s="8" t="s">
        <v>2246</v>
      </c>
      <c r="AA51" s="8" t="s">
        <v>3048</v>
      </c>
      <c r="AB51" s="8" t="s">
        <v>3049</v>
      </c>
      <c r="AC51" s="8" t="s">
        <v>2249</v>
      </c>
      <c r="AD51" s="8" t="s">
        <v>2250</v>
      </c>
      <c r="AE51" s="8" t="s">
        <v>2251</v>
      </c>
      <c r="AF51" s="8" t="s">
        <v>969</v>
      </c>
      <c r="AG51" s="8">
        <v>67.0</v>
      </c>
      <c r="AH51" s="8">
        <v>522.0</v>
      </c>
      <c r="AI51" s="8">
        <v>580.0</v>
      </c>
      <c r="AJ51" s="8">
        <v>3.0</v>
      </c>
      <c r="AK51" s="8">
        <v>450.0</v>
      </c>
      <c r="AL51" s="8" t="s">
        <v>1091</v>
      </c>
      <c r="AM51" s="8" t="s">
        <v>1092</v>
      </c>
      <c r="AN51" s="8" t="s">
        <v>1093</v>
      </c>
      <c r="AO51" s="8" t="s">
        <v>983</v>
      </c>
      <c r="AP51" s="8" t="s">
        <v>1094</v>
      </c>
      <c r="AQ51" s="8" t="s">
        <v>969</v>
      </c>
      <c r="AR51" s="8" t="s">
        <v>1095</v>
      </c>
      <c r="AS51" s="8" t="s">
        <v>985</v>
      </c>
      <c r="AT51" s="8" t="s">
        <v>1096</v>
      </c>
      <c r="AU51" s="8">
        <v>2011.0</v>
      </c>
      <c r="AV51" s="8">
        <v>17.0</v>
      </c>
      <c r="AW51" s="8">
        <v>7.0</v>
      </c>
      <c r="AX51" s="8" t="s">
        <v>969</v>
      </c>
      <c r="AY51" s="8" t="s">
        <v>969</v>
      </c>
      <c r="AZ51" s="8" t="s">
        <v>969</v>
      </c>
      <c r="BA51" s="8" t="s">
        <v>969</v>
      </c>
      <c r="BB51" s="8">
        <v>2330.0</v>
      </c>
      <c r="BC51" s="8">
        <v>2341.0</v>
      </c>
      <c r="BD51" s="8" t="s">
        <v>969</v>
      </c>
      <c r="BE51" s="8" t="s">
        <v>722</v>
      </c>
      <c r="BF51" s="13" t="str">
        <f>HYPERLINK("http://dx.doi.org/10.1111/j.1365-2486.2010.02393.x","http://dx.doi.org/10.1111/j.1365-2486.2010.02393.x")</f>
        <v>http://dx.doi.org/10.1111/j.1365-2486.2010.02393.x</v>
      </c>
      <c r="BG51" s="8" t="s">
        <v>969</v>
      </c>
      <c r="BH51" s="8" t="s">
        <v>969</v>
      </c>
      <c r="BI51" s="8">
        <v>12.0</v>
      </c>
      <c r="BJ51" s="8" t="s">
        <v>987</v>
      </c>
      <c r="BK51" s="8" t="s">
        <v>988</v>
      </c>
      <c r="BL51" s="8" t="s">
        <v>989</v>
      </c>
      <c r="BM51" s="8" t="s">
        <v>2252</v>
      </c>
      <c r="BN51" s="8" t="s">
        <v>969</v>
      </c>
      <c r="BO51" s="8" t="s">
        <v>969</v>
      </c>
      <c r="BP51" s="8" t="s">
        <v>969</v>
      </c>
      <c r="BQ51" s="8" t="s">
        <v>969</v>
      </c>
      <c r="BR51" s="8" t="s">
        <v>2912</v>
      </c>
      <c r="BS51" s="8" t="s">
        <v>2253</v>
      </c>
      <c r="BT51" s="3" t="s">
        <v>3001</v>
      </c>
      <c r="BW51" s="8" t="s">
        <v>51</v>
      </c>
      <c r="BX51" s="3">
        <v>1.0</v>
      </c>
      <c r="BY51" s="8" t="str">
        <f>HYPERLINK("https%3A%2F%2Fwww.webofscience.com%2Fwos%2Fwoscc%2Ffull-record%2FWOS:000291221000006","View Full Record in Web of Science")</f>
        <v>View Full Record in Web of Science</v>
      </c>
    </row>
    <row r="52" ht="12.75" customHeight="1">
      <c r="A52" s="8" t="s">
        <v>967</v>
      </c>
      <c r="B52" s="8" t="s">
        <v>2164</v>
      </c>
      <c r="C52" s="8" t="s">
        <v>969</v>
      </c>
      <c r="D52" s="8" t="s">
        <v>969</v>
      </c>
      <c r="E52" s="8" t="s">
        <v>969</v>
      </c>
      <c r="F52" s="8" t="s">
        <v>2165</v>
      </c>
      <c r="G52" s="8" t="s">
        <v>969</v>
      </c>
      <c r="H52" s="8" t="s">
        <v>969</v>
      </c>
      <c r="I52" s="8" t="s">
        <v>2166</v>
      </c>
      <c r="J52" s="8" t="s">
        <v>1645</v>
      </c>
      <c r="K52" s="8" t="s">
        <v>969</v>
      </c>
      <c r="L52" s="8" t="s">
        <v>969</v>
      </c>
      <c r="M52" s="8" t="s">
        <v>972</v>
      </c>
      <c r="N52" s="8" t="s">
        <v>973</v>
      </c>
      <c r="O52" s="8" t="s">
        <v>969</v>
      </c>
      <c r="P52" s="8" t="s">
        <v>969</v>
      </c>
      <c r="Q52" s="8" t="s">
        <v>969</v>
      </c>
      <c r="R52" s="8" t="s">
        <v>969</v>
      </c>
      <c r="S52" s="8" t="s">
        <v>969</v>
      </c>
      <c r="T52" s="8" t="s">
        <v>2167</v>
      </c>
      <c r="U52" s="8" t="s">
        <v>2168</v>
      </c>
      <c r="V52" s="8" t="s">
        <v>2169</v>
      </c>
      <c r="W52" s="8" t="s">
        <v>2170</v>
      </c>
      <c r="X52" s="8" t="s">
        <v>2171</v>
      </c>
      <c r="Y52" s="8" t="s">
        <v>2172</v>
      </c>
      <c r="Z52" s="8" t="s">
        <v>2173</v>
      </c>
      <c r="AA52" s="8" t="s">
        <v>3050</v>
      </c>
      <c r="AB52" s="8" t="s">
        <v>3051</v>
      </c>
      <c r="AC52" s="8" t="s">
        <v>2176</v>
      </c>
      <c r="AD52" s="8" t="s">
        <v>2177</v>
      </c>
      <c r="AE52" s="8" t="s">
        <v>2178</v>
      </c>
      <c r="AF52" s="8" t="s">
        <v>969</v>
      </c>
      <c r="AG52" s="8">
        <v>89.0</v>
      </c>
      <c r="AH52" s="8">
        <v>66.0</v>
      </c>
      <c r="AI52" s="8">
        <v>80.0</v>
      </c>
      <c r="AJ52" s="8">
        <v>1.0</v>
      </c>
      <c r="AK52" s="8">
        <v>85.0</v>
      </c>
      <c r="AL52" s="8" t="s">
        <v>1609</v>
      </c>
      <c r="AM52" s="8" t="s">
        <v>1032</v>
      </c>
      <c r="AN52" s="8" t="s">
        <v>1210</v>
      </c>
      <c r="AO52" s="8" t="s">
        <v>1653</v>
      </c>
      <c r="AP52" s="8" t="s">
        <v>1654</v>
      </c>
      <c r="AQ52" s="8" t="s">
        <v>969</v>
      </c>
      <c r="AR52" s="8" t="s">
        <v>1655</v>
      </c>
      <c r="AS52" s="8" t="s">
        <v>1656</v>
      </c>
      <c r="AT52" s="8" t="s">
        <v>1055</v>
      </c>
      <c r="AU52" s="8">
        <v>2010.0</v>
      </c>
      <c r="AV52" s="8">
        <v>19.0</v>
      </c>
      <c r="AW52" s="8">
        <v>3.0</v>
      </c>
      <c r="AX52" s="8" t="s">
        <v>969</v>
      </c>
      <c r="AY52" s="8" t="s">
        <v>969</v>
      </c>
      <c r="AZ52" s="8" t="s">
        <v>969</v>
      </c>
      <c r="BA52" s="8" t="s">
        <v>969</v>
      </c>
      <c r="BB52" s="8">
        <v>695.0</v>
      </c>
      <c r="BC52" s="8">
        <v>723.0</v>
      </c>
      <c r="BD52" s="8" t="s">
        <v>969</v>
      </c>
      <c r="BE52" s="8" t="s">
        <v>530</v>
      </c>
      <c r="BF52" s="13" t="str">
        <f>HYPERLINK("http://dx.doi.org/10.1007/s10531-009-9728-x","http://dx.doi.org/10.1007/s10531-009-9728-x")</f>
        <v>http://dx.doi.org/10.1007/s10531-009-9728-x</v>
      </c>
      <c r="BG52" s="8" t="s">
        <v>969</v>
      </c>
      <c r="BH52" s="8" t="s">
        <v>969</v>
      </c>
      <c r="BI52" s="8">
        <v>29.0</v>
      </c>
      <c r="BJ52" s="8" t="s">
        <v>987</v>
      </c>
      <c r="BK52" s="8" t="s">
        <v>988</v>
      </c>
      <c r="BL52" s="8" t="s">
        <v>989</v>
      </c>
      <c r="BM52" s="8" t="s">
        <v>2179</v>
      </c>
      <c r="BN52" s="8" t="s">
        <v>969</v>
      </c>
      <c r="BO52" s="8" t="s">
        <v>969</v>
      </c>
      <c r="BP52" s="8" t="s">
        <v>969</v>
      </c>
      <c r="BQ52" s="8" t="s">
        <v>969</v>
      </c>
      <c r="BR52" s="8" t="s">
        <v>2912</v>
      </c>
      <c r="BS52" s="8" t="s">
        <v>2180</v>
      </c>
      <c r="BT52" s="3" t="s">
        <v>3001</v>
      </c>
      <c r="BW52" s="8" t="s">
        <v>33</v>
      </c>
      <c r="BX52" s="3">
        <v>1.0</v>
      </c>
      <c r="BY52" s="8" t="str">
        <f>HYPERLINK("https%3A%2F%2Fwww.webofscience.com%2Fwos%2Fwoscc%2Ffull-record%2FWOS:000274330800007","View Full Record in Web of Science")</f>
        <v>View Full Record in Web of Science</v>
      </c>
    </row>
    <row r="53" ht="12.75" customHeight="1">
      <c r="A53" s="8" t="s">
        <v>967</v>
      </c>
      <c r="B53" s="8" t="s">
        <v>2181</v>
      </c>
      <c r="C53" s="8" t="s">
        <v>969</v>
      </c>
      <c r="D53" s="8" t="s">
        <v>969</v>
      </c>
      <c r="E53" s="8" t="s">
        <v>969</v>
      </c>
      <c r="F53" s="8" t="s">
        <v>2182</v>
      </c>
      <c r="G53" s="8" t="s">
        <v>969</v>
      </c>
      <c r="H53" s="8" t="s">
        <v>969</v>
      </c>
      <c r="I53" s="8" t="s">
        <v>2183</v>
      </c>
      <c r="J53" s="8" t="s">
        <v>971</v>
      </c>
      <c r="K53" s="8" t="s">
        <v>969</v>
      </c>
      <c r="L53" s="8" t="s">
        <v>969</v>
      </c>
      <c r="M53" s="8" t="s">
        <v>972</v>
      </c>
      <c r="N53" s="8" t="s">
        <v>973</v>
      </c>
      <c r="O53" s="8" t="s">
        <v>969</v>
      </c>
      <c r="P53" s="8" t="s">
        <v>969</v>
      </c>
      <c r="Q53" s="8" t="s">
        <v>969</v>
      </c>
      <c r="R53" s="8" t="s">
        <v>969</v>
      </c>
      <c r="S53" s="8" t="s">
        <v>969</v>
      </c>
      <c r="T53" s="8" t="s">
        <v>2184</v>
      </c>
      <c r="U53" s="8" t="s">
        <v>2185</v>
      </c>
      <c r="V53" s="8" t="s">
        <v>2186</v>
      </c>
      <c r="W53" s="8" t="s">
        <v>2187</v>
      </c>
      <c r="X53" s="8" t="s">
        <v>2188</v>
      </c>
      <c r="Y53" s="8" t="s">
        <v>2189</v>
      </c>
      <c r="Z53" s="8" t="s">
        <v>2190</v>
      </c>
      <c r="AA53" s="8" t="s">
        <v>3052</v>
      </c>
      <c r="AB53" s="8" t="s">
        <v>3053</v>
      </c>
      <c r="AC53" s="8" t="s">
        <v>3054</v>
      </c>
      <c r="AD53" s="8" t="s">
        <v>3055</v>
      </c>
      <c r="AE53" s="8" t="s">
        <v>2195</v>
      </c>
      <c r="AF53" s="8" t="s">
        <v>969</v>
      </c>
      <c r="AG53" s="8">
        <v>54.0</v>
      </c>
      <c r="AH53" s="8">
        <v>206.0</v>
      </c>
      <c r="AI53" s="8">
        <v>246.0</v>
      </c>
      <c r="AJ53" s="8">
        <v>0.0</v>
      </c>
      <c r="AK53" s="8">
        <v>158.0</v>
      </c>
      <c r="AL53" s="8" t="s">
        <v>1091</v>
      </c>
      <c r="AM53" s="8" t="s">
        <v>1092</v>
      </c>
      <c r="AN53" s="8" t="s">
        <v>1093</v>
      </c>
      <c r="AO53" s="8" t="s">
        <v>983</v>
      </c>
      <c r="AP53" s="8" t="s">
        <v>1094</v>
      </c>
      <c r="AQ53" s="8" t="s">
        <v>969</v>
      </c>
      <c r="AR53" s="8" t="s">
        <v>1095</v>
      </c>
      <c r="AS53" s="8" t="s">
        <v>985</v>
      </c>
      <c r="AT53" s="8" t="s">
        <v>1036</v>
      </c>
      <c r="AU53" s="8">
        <v>2010.0</v>
      </c>
      <c r="AV53" s="8">
        <v>16.0</v>
      </c>
      <c r="AW53" s="8">
        <v>2.0</v>
      </c>
      <c r="AX53" s="8" t="s">
        <v>969</v>
      </c>
      <c r="AY53" s="8" t="s">
        <v>969</v>
      </c>
      <c r="AZ53" s="8" t="s">
        <v>969</v>
      </c>
      <c r="BA53" s="8" t="s">
        <v>969</v>
      </c>
      <c r="BB53" s="8">
        <v>561.0</v>
      </c>
      <c r="BC53" s="8">
        <v>576.0</v>
      </c>
      <c r="BD53" s="8" t="s">
        <v>969</v>
      </c>
      <c r="BE53" s="8" t="s">
        <v>716</v>
      </c>
      <c r="BF53" s="13" t="str">
        <f>HYPERLINK("http://dx.doi.org/10.1111/j.1365-2486.2009.02021.x","http://dx.doi.org/10.1111/j.1365-2486.2009.02021.x")</f>
        <v>http://dx.doi.org/10.1111/j.1365-2486.2009.02021.x</v>
      </c>
      <c r="BG53" s="8" t="s">
        <v>969</v>
      </c>
      <c r="BH53" s="8" t="s">
        <v>969</v>
      </c>
      <c r="BI53" s="8">
        <v>16.0</v>
      </c>
      <c r="BJ53" s="8" t="s">
        <v>987</v>
      </c>
      <c r="BK53" s="8" t="s">
        <v>988</v>
      </c>
      <c r="BL53" s="8" t="s">
        <v>989</v>
      </c>
      <c r="BM53" s="8" t="s">
        <v>2196</v>
      </c>
      <c r="BN53" s="8" t="s">
        <v>969</v>
      </c>
      <c r="BO53" s="8" t="s">
        <v>969</v>
      </c>
      <c r="BP53" s="8" t="s">
        <v>969</v>
      </c>
      <c r="BQ53" s="8" t="s">
        <v>969</v>
      </c>
      <c r="BR53" s="8" t="s">
        <v>2912</v>
      </c>
      <c r="BS53" s="8" t="s">
        <v>2197</v>
      </c>
      <c r="BT53" s="3" t="s">
        <v>3001</v>
      </c>
      <c r="BW53" s="8" t="s">
        <v>56</v>
      </c>
      <c r="BX53" s="3">
        <v>1.0</v>
      </c>
      <c r="BY53" s="8" t="str">
        <f>HYPERLINK("https%3A%2F%2Fwww.webofscience.com%2Fwos%2Fwoscc%2Ffull-record%2FWOS:000274419400007","View Full Record in Web of Science")</f>
        <v>View Full Record in Web of Science</v>
      </c>
    </row>
    <row r="54" ht="12.75" customHeight="1">
      <c r="A54" s="8" t="s">
        <v>967</v>
      </c>
      <c r="B54" s="8" t="s">
        <v>2114</v>
      </c>
      <c r="C54" s="8" t="s">
        <v>969</v>
      </c>
      <c r="D54" s="8" t="s">
        <v>969</v>
      </c>
      <c r="E54" s="8" t="s">
        <v>969</v>
      </c>
      <c r="F54" s="8" t="s">
        <v>2115</v>
      </c>
      <c r="G54" s="8" t="s">
        <v>969</v>
      </c>
      <c r="H54" s="8" t="s">
        <v>969</v>
      </c>
      <c r="I54" s="8" t="s">
        <v>2116</v>
      </c>
      <c r="J54" s="8" t="s">
        <v>971</v>
      </c>
      <c r="K54" s="8" t="s">
        <v>969</v>
      </c>
      <c r="L54" s="8" t="s">
        <v>969</v>
      </c>
      <c r="M54" s="8" t="s">
        <v>972</v>
      </c>
      <c r="N54" s="8" t="s">
        <v>973</v>
      </c>
      <c r="O54" s="8" t="s">
        <v>969</v>
      </c>
      <c r="P54" s="8" t="s">
        <v>969</v>
      </c>
      <c r="Q54" s="8" t="s">
        <v>969</v>
      </c>
      <c r="R54" s="8" t="s">
        <v>969</v>
      </c>
      <c r="S54" s="8" t="s">
        <v>969</v>
      </c>
      <c r="T54" s="8" t="s">
        <v>2117</v>
      </c>
      <c r="U54" s="8" t="s">
        <v>2118</v>
      </c>
      <c r="V54" s="8" t="s">
        <v>2119</v>
      </c>
      <c r="W54" s="8" t="s">
        <v>2120</v>
      </c>
      <c r="X54" s="8" t="s">
        <v>2121</v>
      </c>
      <c r="Y54" s="8" t="s">
        <v>2122</v>
      </c>
      <c r="Z54" s="8" t="s">
        <v>2123</v>
      </c>
      <c r="AA54" s="8" t="s">
        <v>3056</v>
      </c>
      <c r="AB54" s="8" t="s">
        <v>3057</v>
      </c>
      <c r="AC54" s="8" t="s">
        <v>2126</v>
      </c>
      <c r="AD54" s="8" t="s">
        <v>2127</v>
      </c>
      <c r="AE54" s="8" t="s">
        <v>2128</v>
      </c>
      <c r="AF54" s="8" t="s">
        <v>969</v>
      </c>
      <c r="AG54" s="8">
        <v>73.0</v>
      </c>
      <c r="AH54" s="8">
        <v>446.0</v>
      </c>
      <c r="AI54" s="8">
        <v>498.0</v>
      </c>
      <c r="AJ54" s="8">
        <v>2.0</v>
      </c>
      <c r="AK54" s="8">
        <v>300.0</v>
      </c>
      <c r="AL54" s="8" t="s">
        <v>1091</v>
      </c>
      <c r="AM54" s="8" t="s">
        <v>1092</v>
      </c>
      <c r="AN54" s="8" t="s">
        <v>1093</v>
      </c>
      <c r="AO54" s="8" t="s">
        <v>983</v>
      </c>
      <c r="AP54" s="8" t="s">
        <v>1094</v>
      </c>
      <c r="AQ54" s="8" t="s">
        <v>969</v>
      </c>
      <c r="AR54" s="8" t="s">
        <v>1095</v>
      </c>
      <c r="AS54" s="8" t="s">
        <v>985</v>
      </c>
      <c r="AT54" s="8" t="s">
        <v>1285</v>
      </c>
      <c r="AU54" s="8">
        <v>2009.0</v>
      </c>
      <c r="AV54" s="8">
        <v>15.0</v>
      </c>
      <c r="AW54" s="8">
        <v>6.0</v>
      </c>
      <c r="AX54" s="8" t="s">
        <v>969</v>
      </c>
      <c r="AY54" s="8" t="s">
        <v>969</v>
      </c>
      <c r="AZ54" s="8" t="s">
        <v>969</v>
      </c>
      <c r="BA54" s="8" t="s">
        <v>969</v>
      </c>
      <c r="BB54" s="8">
        <v>1557.0</v>
      </c>
      <c r="BC54" s="8">
        <v>1569.0</v>
      </c>
      <c r="BD54" s="8" t="s">
        <v>969</v>
      </c>
      <c r="BE54" s="8" t="s">
        <v>713</v>
      </c>
      <c r="BF54" s="13" t="str">
        <f>HYPERLINK("http://dx.doi.org/10.1111/j.1365-2486.2008.01766.x","http://dx.doi.org/10.1111/j.1365-2486.2008.01766.x")</f>
        <v>http://dx.doi.org/10.1111/j.1365-2486.2008.01766.x</v>
      </c>
      <c r="BG54" s="8" t="s">
        <v>969</v>
      </c>
      <c r="BH54" s="8" t="s">
        <v>969</v>
      </c>
      <c r="BI54" s="8">
        <v>13.0</v>
      </c>
      <c r="BJ54" s="8" t="s">
        <v>987</v>
      </c>
      <c r="BK54" s="8" t="s">
        <v>988</v>
      </c>
      <c r="BL54" s="8" t="s">
        <v>989</v>
      </c>
      <c r="BM54" s="8" t="s">
        <v>2129</v>
      </c>
      <c r="BN54" s="8" t="s">
        <v>969</v>
      </c>
      <c r="BO54" s="8" t="s">
        <v>969</v>
      </c>
      <c r="BP54" s="8" t="s">
        <v>969</v>
      </c>
      <c r="BQ54" s="8" t="s">
        <v>969</v>
      </c>
      <c r="BR54" s="8" t="s">
        <v>2912</v>
      </c>
      <c r="BS54" s="8" t="s">
        <v>2130</v>
      </c>
      <c r="BT54" s="3" t="s">
        <v>3001</v>
      </c>
      <c r="BW54" s="8" t="s">
        <v>51</v>
      </c>
      <c r="BX54" s="3">
        <v>1.0</v>
      </c>
      <c r="BY54" s="8" t="str">
        <f>HYPERLINK("https%3A%2F%2Fwww.webofscience.com%2Fwos%2Fwoscc%2Ffull-record%2FWOS:000265771400016","View Full Record in Web of Science")</f>
        <v>View Full Record in Web of Science</v>
      </c>
    </row>
    <row r="55" ht="12.75" customHeight="1">
      <c r="A55" s="8" t="s">
        <v>967</v>
      </c>
      <c r="B55" s="8" t="s">
        <v>2087</v>
      </c>
      <c r="C55" s="8" t="s">
        <v>969</v>
      </c>
      <c r="D55" s="8" t="s">
        <v>969</v>
      </c>
      <c r="E55" s="8" t="s">
        <v>969</v>
      </c>
      <c r="F55" s="8" t="s">
        <v>2088</v>
      </c>
      <c r="G55" s="8" t="s">
        <v>969</v>
      </c>
      <c r="H55" s="8" t="s">
        <v>969</v>
      </c>
      <c r="I55" s="8" t="s">
        <v>2089</v>
      </c>
      <c r="J55" s="8" t="s">
        <v>2090</v>
      </c>
      <c r="K55" s="8" t="s">
        <v>969</v>
      </c>
      <c r="L55" s="8" t="s">
        <v>969</v>
      </c>
      <c r="M55" s="8" t="s">
        <v>972</v>
      </c>
      <c r="N55" s="8" t="s">
        <v>973</v>
      </c>
      <c r="O55" s="8" t="s">
        <v>969</v>
      </c>
      <c r="P55" s="8" t="s">
        <v>969</v>
      </c>
      <c r="Q55" s="8" t="s">
        <v>969</v>
      </c>
      <c r="R55" s="8" t="s">
        <v>969</v>
      </c>
      <c r="S55" s="8" t="s">
        <v>969</v>
      </c>
      <c r="T55" s="8" t="s">
        <v>2091</v>
      </c>
      <c r="U55" s="8" t="s">
        <v>2092</v>
      </c>
      <c r="V55" s="8" t="s">
        <v>2093</v>
      </c>
      <c r="W55" s="8" t="s">
        <v>2094</v>
      </c>
      <c r="X55" s="8" t="s">
        <v>2095</v>
      </c>
      <c r="Y55" s="8" t="s">
        <v>2096</v>
      </c>
      <c r="Z55" s="8" t="s">
        <v>2097</v>
      </c>
      <c r="AA55" s="8" t="s">
        <v>3058</v>
      </c>
      <c r="AB55" s="8" t="s">
        <v>3059</v>
      </c>
      <c r="AC55" s="8" t="s">
        <v>2100</v>
      </c>
      <c r="AD55" s="8" t="s">
        <v>2101</v>
      </c>
      <c r="AE55" s="8" t="s">
        <v>2102</v>
      </c>
      <c r="AF55" s="8" t="s">
        <v>969</v>
      </c>
      <c r="AG55" s="8">
        <v>56.0</v>
      </c>
      <c r="AH55" s="8">
        <v>145.0</v>
      </c>
      <c r="AI55" s="8">
        <v>163.0</v>
      </c>
      <c r="AJ55" s="8">
        <v>1.0</v>
      </c>
      <c r="AK55" s="8">
        <v>88.0</v>
      </c>
      <c r="AL55" s="8" t="s">
        <v>2103</v>
      </c>
      <c r="AM55" s="8" t="s">
        <v>2104</v>
      </c>
      <c r="AN55" s="8" t="s">
        <v>2105</v>
      </c>
      <c r="AO55" s="8" t="s">
        <v>2106</v>
      </c>
      <c r="AP55" s="8" t="s">
        <v>2107</v>
      </c>
      <c r="AQ55" s="8" t="s">
        <v>969</v>
      </c>
      <c r="AR55" s="8" t="s">
        <v>2108</v>
      </c>
      <c r="AS55" s="8" t="s">
        <v>2109</v>
      </c>
      <c r="AT55" s="8" t="s">
        <v>1055</v>
      </c>
      <c r="AU55" s="8">
        <v>2009.0</v>
      </c>
      <c r="AV55" s="8">
        <v>71.0</v>
      </c>
      <c r="AW55" s="8">
        <v>1.0</v>
      </c>
      <c r="AX55" s="8" t="s">
        <v>969</v>
      </c>
      <c r="AY55" s="8" t="s">
        <v>969</v>
      </c>
      <c r="AZ55" s="8" t="s">
        <v>969</v>
      </c>
      <c r="BA55" s="8" t="s">
        <v>969</v>
      </c>
      <c r="BB55" s="8">
        <v>3.0</v>
      </c>
      <c r="BC55" s="8">
        <v>14.0</v>
      </c>
      <c r="BD55" s="8" t="s">
        <v>969</v>
      </c>
      <c r="BE55" s="8" t="s">
        <v>508</v>
      </c>
      <c r="BF55" s="13" t="str">
        <f>HYPERLINK("http://dx.doi.org/10.1007/s00027-009-9159-5","http://dx.doi.org/10.1007/s00027-009-9159-5")</f>
        <v>http://dx.doi.org/10.1007/s00027-009-9159-5</v>
      </c>
      <c r="BG55" s="8" t="s">
        <v>969</v>
      </c>
      <c r="BH55" s="8" t="s">
        <v>969</v>
      </c>
      <c r="BI55" s="8">
        <v>12.0</v>
      </c>
      <c r="BJ55" s="8" t="s">
        <v>2110</v>
      </c>
      <c r="BK55" s="8" t="s">
        <v>988</v>
      </c>
      <c r="BL55" s="8" t="s">
        <v>2111</v>
      </c>
      <c r="BM55" s="8" t="s">
        <v>2112</v>
      </c>
      <c r="BN55" s="8" t="s">
        <v>969</v>
      </c>
      <c r="BO55" s="8" t="s">
        <v>969</v>
      </c>
      <c r="BP55" s="8" t="s">
        <v>969</v>
      </c>
      <c r="BQ55" s="8" t="s">
        <v>969</v>
      </c>
      <c r="BR55" s="8" t="s">
        <v>2912</v>
      </c>
      <c r="BS55" s="8" t="s">
        <v>2113</v>
      </c>
      <c r="BT55" s="3" t="s">
        <v>3001</v>
      </c>
      <c r="BW55" s="8" t="s">
        <v>33</v>
      </c>
      <c r="BX55" s="3">
        <v>1.0</v>
      </c>
      <c r="BY55" s="8" t="str">
        <f>HYPERLINK("https%3A%2F%2Fwww.webofscience.com%2Fwos%2Fwoscc%2Ffull-record%2FWOS:000265087700002","View Full Record in Web of Science")</f>
        <v>View Full Record in Web of Science</v>
      </c>
    </row>
    <row r="56" ht="12.75" customHeight="1">
      <c r="A56" s="8" t="s">
        <v>967</v>
      </c>
      <c r="B56" s="8" t="s">
        <v>2070</v>
      </c>
      <c r="C56" s="8" t="s">
        <v>969</v>
      </c>
      <c r="D56" s="8" t="s">
        <v>969</v>
      </c>
      <c r="E56" s="8" t="s">
        <v>969</v>
      </c>
      <c r="F56" s="8" t="s">
        <v>2071</v>
      </c>
      <c r="G56" s="8" t="s">
        <v>969</v>
      </c>
      <c r="H56" s="8" t="s">
        <v>969</v>
      </c>
      <c r="I56" s="8" t="s">
        <v>2072</v>
      </c>
      <c r="J56" s="8" t="s">
        <v>1273</v>
      </c>
      <c r="K56" s="8" t="s">
        <v>969</v>
      </c>
      <c r="L56" s="8" t="s">
        <v>969</v>
      </c>
      <c r="M56" s="8" t="s">
        <v>972</v>
      </c>
      <c r="N56" s="8" t="s">
        <v>973</v>
      </c>
      <c r="O56" s="8" t="s">
        <v>969</v>
      </c>
      <c r="P56" s="8" t="s">
        <v>969</v>
      </c>
      <c r="Q56" s="8" t="s">
        <v>969</v>
      </c>
      <c r="R56" s="8" t="s">
        <v>969</v>
      </c>
      <c r="S56" s="8" t="s">
        <v>969</v>
      </c>
      <c r="T56" s="8" t="s">
        <v>969</v>
      </c>
      <c r="U56" s="8" t="s">
        <v>2073</v>
      </c>
      <c r="V56" s="8" t="s">
        <v>2074</v>
      </c>
      <c r="W56" s="8" t="s">
        <v>2075</v>
      </c>
      <c r="X56" s="8" t="s">
        <v>2076</v>
      </c>
      <c r="Y56" s="8" t="s">
        <v>2077</v>
      </c>
      <c r="Z56" s="8" t="s">
        <v>2078</v>
      </c>
      <c r="AA56" s="8" t="s">
        <v>3060</v>
      </c>
      <c r="AB56" s="8" t="s">
        <v>3061</v>
      </c>
      <c r="AC56" s="8" t="s">
        <v>2081</v>
      </c>
      <c r="AD56" s="8" t="s">
        <v>2082</v>
      </c>
      <c r="AE56" s="8" t="s">
        <v>2083</v>
      </c>
      <c r="AF56" s="8" t="s">
        <v>969</v>
      </c>
      <c r="AG56" s="8">
        <v>55.0</v>
      </c>
      <c r="AH56" s="8">
        <v>238.0</v>
      </c>
      <c r="AI56" s="8">
        <v>266.0</v>
      </c>
      <c r="AJ56" s="8">
        <v>3.0</v>
      </c>
      <c r="AK56" s="8">
        <v>122.0</v>
      </c>
      <c r="AL56" s="8" t="s">
        <v>1091</v>
      </c>
      <c r="AM56" s="8" t="s">
        <v>1092</v>
      </c>
      <c r="AN56" s="8" t="s">
        <v>1093</v>
      </c>
      <c r="AO56" s="8" t="s">
        <v>1282</v>
      </c>
      <c r="AP56" s="8" t="s">
        <v>1283</v>
      </c>
      <c r="AQ56" s="8" t="s">
        <v>969</v>
      </c>
      <c r="AR56" s="8" t="s">
        <v>1273</v>
      </c>
      <c r="AS56" s="8" t="s">
        <v>1284</v>
      </c>
      <c r="AT56" s="8" t="s">
        <v>1036</v>
      </c>
      <c r="AU56" s="8">
        <v>2009.0</v>
      </c>
      <c r="AV56" s="8">
        <v>32.0</v>
      </c>
      <c r="AW56" s="8">
        <v>1.0</v>
      </c>
      <c r="AX56" s="8" t="s">
        <v>969</v>
      </c>
      <c r="AY56" s="8" t="s">
        <v>969</v>
      </c>
      <c r="AZ56" s="8" t="s">
        <v>969</v>
      </c>
      <c r="BA56" s="8" t="s">
        <v>969</v>
      </c>
      <c r="BB56" s="8">
        <v>34.0</v>
      </c>
      <c r="BC56" s="8">
        <v>45.0</v>
      </c>
      <c r="BD56" s="8" t="s">
        <v>969</v>
      </c>
      <c r="BE56" s="8" t="s">
        <v>782</v>
      </c>
      <c r="BF56" s="13" t="str">
        <f>HYPERLINK("http://dx.doi.org/10.1111/j.1600-0587.2009.05789.x","http://dx.doi.org/10.1111/j.1600-0587.2009.05789.x")</f>
        <v>http://dx.doi.org/10.1111/j.1600-0587.2009.05789.x</v>
      </c>
      <c r="BG56" s="8" t="s">
        <v>969</v>
      </c>
      <c r="BH56" s="8" t="s">
        <v>969</v>
      </c>
      <c r="BI56" s="8">
        <v>12.0</v>
      </c>
      <c r="BJ56" s="8" t="s">
        <v>1286</v>
      </c>
      <c r="BK56" s="8" t="s">
        <v>988</v>
      </c>
      <c r="BL56" s="8" t="s">
        <v>989</v>
      </c>
      <c r="BM56" s="8" t="s">
        <v>2084</v>
      </c>
      <c r="BN56" s="8" t="s">
        <v>969</v>
      </c>
      <c r="BO56" s="8" t="s">
        <v>2085</v>
      </c>
      <c r="BP56" s="8" t="s">
        <v>969</v>
      </c>
      <c r="BQ56" s="8" t="s">
        <v>969</v>
      </c>
      <c r="BR56" s="8" t="s">
        <v>2912</v>
      </c>
      <c r="BS56" s="8" t="s">
        <v>2086</v>
      </c>
      <c r="BT56" s="3" t="s">
        <v>3001</v>
      </c>
      <c r="BW56" s="8" t="s">
        <v>51</v>
      </c>
      <c r="BX56" s="3">
        <v>1.0</v>
      </c>
      <c r="BY56" s="8" t="str">
        <f>HYPERLINK("https%3A%2F%2Fwww.webofscience.com%2Fwos%2Fwoscc%2Ffull-record%2FWOS:000264880300005","View Full Record in Web of Science")</f>
        <v>View Full Record in Web of Science</v>
      </c>
    </row>
    <row r="57" ht="12.75" customHeight="1">
      <c r="A57" s="8" t="s">
        <v>967</v>
      </c>
      <c r="B57" s="8" t="s">
        <v>2015</v>
      </c>
      <c r="C57" s="8" t="s">
        <v>969</v>
      </c>
      <c r="D57" s="8" t="s">
        <v>969</v>
      </c>
      <c r="E57" s="8" t="s">
        <v>969</v>
      </c>
      <c r="F57" s="8" t="s">
        <v>2016</v>
      </c>
      <c r="G57" s="8" t="s">
        <v>969</v>
      </c>
      <c r="H57" s="8" t="s">
        <v>969</v>
      </c>
      <c r="I57" s="8" t="s">
        <v>2017</v>
      </c>
      <c r="J57" s="8" t="s">
        <v>2018</v>
      </c>
      <c r="K57" s="8" t="s">
        <v>969</v>
      </c>
      <c r="L57" s="8" t="s">
        <v>969</v>
      </c>
      <c r="M57" s="8" t="s">
        <v>972</v>
      </c>
      <c r="N57" s="8" t="s">
        <v>973</v>
      </c>
      <c r="O57" s="8" t="s">
        <v>969</v>
      </c>
      <c r="P57" s="8" t="s">
        <v>969</v>
      </c>
      <c r="Q57" s="8" t="s">
        <v>969</v>
      </c>
      <c r="R57" s="8" t="s">
        <v>969</v>
      </c>
      <c r="S57" s="8" t="s">
        <v>969</v>
      </c>
      <c r="T57" s="8" t="s">
        <v>2019</v>
      </c>
      <c r="U57" s="8" t="s">
        <v>2020</v>
      </c>
      <c r="V57" s="8" t="s">
        <v>2021</v>
      </c>
      <c r="W57" s="8" t="s">
        <v>2022</v>
      </c>
      <c r="X57" s="8" t="s">
        <v>2023</v>
      </c>
      <c r="Y57" s="8" t="s">
        <v>2024</v>
      </c>
      <c r="Z57" s="8" t="s">
        <v>2025</v>
      </c>
      <c r="AA57" s="8" t="s">
        <v>3062</v>
      </c>
      <c r="AB57" s="8" t="s">
        <v>3063</v>
      </c>
      <c r="AC57" s="8" t="s">
        <v>2028</v>
      </c>
      <c r="AD57" s="8" t="s">
        <v>2029</v>
      </c>
      <c r="AE57" s="8" t="s">
        <v>2030</v>
      </c>
      <c r="AF57" s="8" t="s">
        <v>969</v>
      </c>
      <c r="AG57" s="8">
        <v>49.0</v>
      </c>
      <c r="AH57" s="8">
        <v>333.0</v>
      </c>
      <c r="AI57" s="8">
        <v>383.0</v>
      </c>
      <c r="AJ57" s="8">
        <v>1.0</v>
      </c>
      <c r="AK57" s="8">
        <v>203.0</v>
      </c>
      <c r="AL57" s="8" t="s">
        <v>2031</v>
      </c>
      <c r="AM57" s="8" t="s">
        <v>1388</v>
      </c>
      <c r="AN57" s="8" t="s">
        <v>2032</v>
      </c>
      <c r="AO57" s="8" t="s">
        <v>2033</v>
      </c>
      <c r="AP57" s="8" t="s">
        <v>2034</v>
      </c>
      <c r="AQ57" s="8" t="s">
        <v>969</v>
      </c>
      <c r="AR57" s="8" t="s">
        <v>2018</v>
      </c>
      <c r="AS57" s="8" t="s">
        <v>1267</v>
      </c>
      <c r="AT57" s="8" t="s">
        <v>986</v>
      </c>
      <c r="AU57" s="8">
        <v>2008.0</v>
      </c>
      <c r="AV57" s="8">
        <v>89.0</v>
      </c>
      <c r="AW57" s="8">
        <v>12.0</v>
      </c>
      <c r="AX57" s="8" t="s">
        <v>969</v>
      </c>
      <c r="AY57" s="8" t="s">
        <v>969</v>
      </c>
      <c r="AZ57" s="8" t="s">
        <v>969</v>
      </c>
      <c r="BA57" s="8" t="s">
        <v>969</v>
      </c>
      <c r="BB57" s="8">
        <v>3472.0</v>
      </c>
      <c r="BC57" s="8">
        <v>3479.0</v>
      </c>
      <c r="BD57" s="8" t="s">
        <v>969</v>
      </c>
      <c r="BE57" s="8" t="s">
        <v>836</v>
      </c>
      <c r="BF57" s="13" t="str">
        <f>HYPERLINK("http://dx.doi.org/10.1890/07-1748.1","http://dx.doi.org/10.1890/07-1748.1")</f>
        <v>http://dx.doi.org/10.1890/07-1748.1</v>
      </c>
      <c r="BG57" s="8" t="s">
        <v>969</v>
      </c>
      <c r="BH57" s="8" t="s">
        <v>969</v>
      </c>
      <c r="BI57" s="8">
        <v>8.0</v>
      </c>
      <c r="BJ57" s="8" t="s">
        <v>1267</v>
      </c>
      <c r="BK57" s="8" t="s">
        <v>988</v>
      </c>
      <c r="BL57" s="8" t="s">
        <v>1268</v>
      </c>
      <c r="BM57" s="8" t="s">
        <v>2035</v>
      </c>
      <c r="BN57" s="8">
        <v>1.9137952E7</v>
      </c>
      <c r="BO57" s="8" t="s">
        <v>969</v>
      </c>
      <c r="BP57" s="8" t="s">
        <v>969</v>
      </c>
      <c r="BQ57" s="8" t="s">
        <v>969</v>
      </c>
      <c r="BR57" s="8" t="s">
        <v>2912</v>
      </c>
      <c r="BS57" s="8" t="s">
        <v>2036</v>
      </c>
      <c r="BT57" s="3" t="s">
        <v>3001</v>
      </c>
      <c r="BW57" s="8" t="s">
        <v>96</v>
      </c>
      <c r="BX57" s="3">
        <v>1.0</v>
      </c>
      <c r="BY57" s="8" t="str">
        <f>HYPERLINK("https%3A%2F%2Fwww.webofscience.com%2Fwos%2Fwoscc%2Ffull-record%2FWOS:000261524000021","View Full Record in Web of Science")</f>
        <v>View Full Record in Web of Science</v>
      </c>
    </row>
    <row r="58" ht="12.75" customHeight="1">
      <c r="A58" s="8" t="s">
        <v>967</v>
      </c>
      <c r="B58" s="8" t="s">
        <v>1926</v>
      </c>
      <c r="C58" s="8" t="s">
        <v>969</v>
      </c>
      <c r="D58" s="8" t="s">
        <v>969</v>
      </c>
      <c r="E58" s="8" t="s">
        <v>969</v>
      </c>
      <c r="F58" s="8" t="s">
        <v>1927</v>
      </c>
      <c r="G58" s="8" t="s">
        <v>969</v>
      </c>
      <c r="H58" s="8" t="s">
        <v>969</v>
      </c>
      <c r="I58" s="8" t="s">
        <v>1928</v>
      </c>
      <c r="J58" s="8" t="s">
        <v>1929</v>
      </c>
      <c r="K58" s="8" t="s">
        <v>969</v>
      </c>
      <c r="L58" s="8" t="s">
        <v>969</v>
      </c>
      <c r="M58" s="8" t="s">
        <v>972</v>
      </c>
      <c r="N58" s="8" t="s">
        <v>973</v>
      </c>
      <c r="O58" s="8" t="s">
        <v>969</v>
      </c>
      <c r="P58" s="8" t="s">
        <v>969</v>
      </c>
      <c r="Q58" s="8" t="s">
        <v>969</v>
      </c>
      <c r="R58" s="8" t="s">
        <v>969</v>
      </c>
      <c r="S58" s="8" t="s">
        <v>969</v>
      </c>
      <c r="T58" s="8" t="s">
        <v>1930</v>
      </c>
      <c r="U58" s="8" t="s">
        <v>1931</v>
      </c>
      <c r="V58" s="8" t="s">
        <v>1932</v>
      </c>
      <c r="W58" s="8" t="s">
        <v>1933</v>
      </c>
      <c r="X58" s="8" t="s">
        <v>3064</v>
      </c>
      <c r="Y58" s="8" t="s">
        <v>1935</v>
      </c>
      <c r="Z58" s="8" t="s">
        <v>1936</v>
      </c>
      <c r="AA58" s="8" t="s">
        <v>3065</v>
      </c>
      <c r="AB58" s="8" t="s">
        <v>3066</v>
      </c>
      <c r="AC58" s="8" t="s">
        <v>1939</v>
      </c>
      <c r="AD58" s="8" t="s">
        <v>1940</v>
      </c>
      <c r="AE58" s="8" t="s">
        <v>1941</v>
      </c>
      <c r="AF58" s="8" t="s">
        <v>969</v>
      </c>
      <c r="AG58" s="8">
        <v>20.0</v>
      </c>
      <c r="AH58" s="8">
        <v>129.0</v>
      </c>
      <c r="AI58" s="8">
        <v>162.0</v>
      </c>
      <c r="AJ58" s="8">
        <v>4.0</v>
      </c>
      <c r="AK58" s="8">
        <v>126.0</v>
      </c>
      <c r="AL58" s="8" t="s">
        <v>1130</v>
      </c>
      <c r="AM58" s="8" t="s">
        <v>1071</v>
      </c>
      <c r="AN58" s="8" t="s">
        <v>1131</v>
      </c>
      <c r="AO58" s="8" t="s">
        <v>1942</v>
      </c>
      <c r="AP58" s="8" t="s">
        <v>969</v>
      </c>
      <c r="AQ58" s="8" t="s">
        <v>969</v>
      </c>
      <c r="AR58" s="8" t="s">
        <v>1943</v>
      </c>
      <c r="AS58" s="8" t="s">
        <v>1944</v>
      </c>
      <c r="AT58" s="8" t="s">
        <v>1945</v>
      </c>
      <c r="AU58" s="8">
        <v>2008.0</v>
      </c>
      <c r="AV58" s="8">
        <v>4.0</v>
      </c>
      <c r="AW58" s="8">
        <v>5.0</v>
      </c>
      <c r="AX58" s="8" t="s">
        <v>969</v>
      </c>
      <c r="AY58" s="8" t="s">
        <v>969</v>
      </c>
      <c r="AZ58" s="8" t="s">
        <v>969</v>
      </c>
      <c r="BA58" s="8" t="s">
        <v>969</v>
      </c>
      <c r="BB58" s="8">
        <v>564.0</v>
      </c>
      <c r="BC58" s="8">
        <v>567.0</v>
      </c>
      <c r="BD58" s="8" t="s">
        <v>969</v>
      </c>
      <c r="BE58" s="8" t="s">
        <v>653</v>
      </c>
      <c r="BF58" s="13" t="str">
        <f>HYPERLINK("http://dx.doi.org/10.1098/rsbl.2008.0231","http://dx.doi.org/10.1098/rsbl.2008.0231")</f>
        <v>http://dx.doi.org/10.1098/rsbl.2008.0231</v>
      </c>
      <c r="BG58" s="8" t="s">
        <v>969</v>
      </c>
      <c r="BH58" s="8" t="s">
        <v>969</v>
      </c>
      <c r="BI58" s="8">
        <v>4.0</v>
      </c>
      <c r="BJ58" s="8" t="s">
        <v>1137</v>
      </c>
      <c r="BK58" s="8" t="s">
        <v>988</v>
      </c>
      <c r="BL58" s="8" t="s">
        <v>1138</v>
      </c>
      <c r="BM58" s="8" t="s">
        <v>1946</v>
      </c>
      <c r="BN58" s="8">
        <v>1.8664416E7</v>
      </c>
      <c r="BO58" s="8" t="s">
        <v>1227</v>
      </c>
      <c r="BP58" s="8" t="s">
        <v>969</v>
      </c>
      <c r="BQ58" s="8" t="s">
        <v>969</v>
      </c>
      <c r="BR58" s="8" t="s">
        <v>2912</v>
      </c>
      <c r="BS58" s="8" t="s">
        <v>1947</v>
      </c>
      <c r="BT58" s="3" t="s">
        <v>3001</v>
      </c>
      <c r="BW58" s="8" t="s">
        <v>51</v>
      </c>
      <c r="BX58" s="3">
        <v>1.0</v>
      </c>
      <c r="BY58" s="8" t="str">
        <f>HYPERLINK("https%3A%2F%2Fwww.webofscience.com%2Fwos%2Fwoscc%2Ffull-record%2FWOS:000259085900035","View Full Record in Web of Science")</f>
        <v>View Full Record in Web of Science</v>
      </c>
    </row>
    <row r="59" ht="12.75" customHeight="1">
      <c r="A59" s="8" t="s">
        <v>967</v>
      </c>
      <c r="B59" s="8" t="s">
        <v>3067</v>
      </c>
      <c r="C59" s="8" t="s">
        <v>969</v>
      </c>
      <c r="D59" s="8" t="s">
        <v>969</v>
      </c>
      <c r="E59" s="8" t="s">
        <v>969</v>
      </c>
      <c r="F59" s="8" t="s">
        <v>3068</v>
      </c>
      <c r="G59" s="8" t="s">
        <v>969</v>
      </c>
      <c r="H59" s="8" t="s">
        <v>969</v>
      </c>
      <c r="I59" s="8" t="s">
        <v>3069</v>
      </c>
      <c r="J59" s="8" t="s">
        <v>971</v>
      </c>
      <c r="K59" s="8" t="s">
        <v>969</v>
      </c>
      <c r="L59" s="8" t="s">
        <v>969</v>
      </c>
      <c r="M59" s="8" t="s">
        <v>972</v>
      </c>
      <c r="N59" s="8" t="s">
        <v>2924</v>
      </c>
      <c r="O59" s="8" t="s">
        <v>969</v>
      </c>
      <c r="P59" s="8" t="s">
        <v>969</v>
      </c>
      <c r="Q59" s="8" t="s">
        <v>969</v>
      </c>
      <c r="R59" s="8" t="s">
        <v>969</v>
      </c>
      <c r="S59" s="8" t="s">
        <v>969</v>
      </c>
      <c r="T59" s="8" t="s">
        <v>3070</v>
      </c>
      <c r="U59" s="8" t="s">
        <v>3071</v>
      </c>
      <c r="V59" s="8" t="s">
        <v>3072</v>
      </c>
      <c r="W59" s="8" t="s">
        <v>3073</v>
      </c>
      <c r="X59" s="8" t="s">
        <v>3074</v>
      </c>
      <c r="Y59" s="8" t="s">
        <v>3075</v>
      </c>
      <c r="Z59" s="8" t="s">
        <v>3076</v>
      </c>
      <c r="AA59" s="8" t="s">
        <v>3077</v>
      </c>
      <c r="AB59" s="8" t="s">
        <v>3078</v>
      </c>
      <c r="AC59" s="8" t="s">
        <v>3079</v>
      </c>
      <c r="AD59" s="8" t="s">
        <v>1240</v>
      </c>
      <c r="AE59" s="8" t="s">
        <v>969</v>
      </c>
      <c r="AF59" s="8" t="s">
        <v>969</v>
      </c>
      <c r="AG59" s="8">
        <v>114.0</v>
      </c>
      <c r="AH59" s="8">
        <v>190.0</v>
      </c>
      <c r="AI59" s="8">
        <v>222.0</v>
      </c>
      <c r="AJ59" s="8">
        <v>1.0</v>
      </c>
      <c r="AK59" s="8">
        <v>122.0</v>
      </c>
      <c r="AL59" s="8" t="s">
        <v>1091</v>
      </c>
      <c r="AM59" s="8" t="s">
        <v>1092</v>
      </c>
      <c r="AN59" s="8" t="s">
        <v>1093</v>
      </c>
      <c r="AO59" s="8" t="s">
        <v>983</v>
      </c>
      <c r="AP59" s="8" t="s">
        <v>1094</v>
      </c>
      <c r="AQ59" s="8" t="s">
        <v>969</v>
      </c>
      <c r="AR59" s="8" t="s">
        <v>1095</v>
      </c>
      <c r="AS59" s="8" t="s">
        <v>985</v>
      </c>
      <c r="AT59" s="8" t="s">
        <v>1177</v>
      </c>
      <c r="AU59" s="8">
        <v>2008.0</v>
      </c>
      <c r="AV59" s="8">
        <v>14.0</v>
      </c>
      <c r="AW59" s="8">
        <v>5.0</v>
      </c>
      <c r="AX59" s="8" t="s">
        <v>969</v>
      </c>
      <c r="AY59" s="8" t="s">
        <v>969</v>
      </c>
      <c r="AZ59" s="8" t="s">
        <v>969</v>
      </c>
      <c r="BA59" s="8" t="s">
        <v>969</v>
      </c>
      <c r="BB59" s="8">
        <v>1089.0</v>
      </c>
      <c r="BC59" s="8">
        <v>1103.0</v>
      </c>
      <c r="BD59" s="8" t="s">
        <v>969</v>
      </c>
      <c r="BE59" s="8" t="s">
        <v>704</v>
      </c>
      <c r="BF59" s="13" t="str">
        <f>HYPERLINK("http://dx.doi.org/10.1111/j.1365-2486.2008.01553.x","http://dx.doi.org/10.1111/j.1365-2486.2008.01553.x")</f>
        <v>http://dx.doi.org/10.1111/j.1365-2486.2008.01553.x</v>
      </c>
      <c r="BG59" s="8" t="s">
        <v>969</v>
      </c>
      <c r="BH59" s="8" t="s">
        <v>969</v>
      </c>
      <c r="BI59" s="8">
        <v>15.0</v>
      </c>
      <c r="BJ59" s="8" t="s">
        <v>987</v>
      </c>
      <c r="BK59" s="8" t="s">
        <v>988</v>
      </c>
      <c r="BL59" s="8" t="s">
        <v>989</v>
      </c>
      <c r="BM59" s="8" t="s">
        <v>3080</v>
      </c>
      <c r="BN59" s="8" t="s">
        <v>969</v>
      </c>
      <c r="BO59" s="8" t="s">
        <v>969</v>
      </c>
      <c r="BP59" s="8" t="s">
        <v>969</v>
      </c>
      <c r="BQ59" s="8" t="s">
        <v>969</v>
      </c>
      <c r="BR59" s="8" t="s">
        <v>2912</v>
      </c>
      <c r="BS59" s="8" t="s">
        <v>3081</v>
      </c>
      <c r="BT59" s="3" t="s">
        <v>3001</v>
      </c>
      <c r="BW59" s="8" t="s">
        <v>51</v>
      </c>
      <c r="BX59" s="3">
        <v>1.0</v>
      </c>
      <c r="BY59" s="8" t="str">
        <f>HYPERLINK("https%3A%2F%2Fwww.webofscience.com%2Fwos%2Fwoscc%2Ffull-record%2FWOS:000255463600012","View Full Record in Web of Science")</f>
        <v>View Full Record in Web of Science</v>
      </c>
    </row>
    <row r="60" ht="12.75" customHeight="1">
      <c r="A60" s="8" t="s">
        <v>967</v>
      </c>
      <c r="B60" s="8" t="s">
        <v>1899</v>
      </c>
      <c r="C60" s="8" t="s">
        <v>969</v>
      </c>
      <c r="D60" s="8" t="s">
        <v>969</v>
      </c>
      <c r="E60" s="8" t="s">
        <v>969</v>
      </c>
      <c r="F60" s="8" t="s">
        <v>1900</v>
      </c>
      <c r="G60" s="8" t="s">
        <v>969</v>
      </c>
      <c r="H60" s="8" t="s">
        <v>969</v>
      </c>
      <c r="I60" s="8" t="s">
        <v>1901</v>
      </c>
      <c r="J60" s="8" t="s">
        <v>1183</v>
      </c>
      <c r="K60" s="8" t="s">
        <v>969</v>
      </c>
      <c r="L60" s="8" t="s">
        <v>969</v>
      </c>
      <c r="M60" s="8" t="s">
        <v>972</v>
      </c>
      <c r="N60" s="8" t="s">
        <v>973</v>
      </c>
      <c r="O60" s="8" t="s">
        <v>969</v>
      </c>
      <c r="P60" s="8" t="s">
        <v>969</v>
      </c>
      <c r="Q60" s="8" t="s">
        <v>969</v>
      </c>
      <c r="R60" s="8" t="s">
        <v>969</v>
      </c>
      <c r="S60" s="8" t="s">
        <v>969</v>
      </c>
      <c r="T60" s="8" t="s">
        <v>1902</v>
      </c>
      <c r="U60" s="8" t="s">
        <v>1903</v>
      </c>
      <c r="V60" s="8" t="s">
        <v>1904</v>
      </c>
      <c r="W60" s="8" t="s">
        <v>1905</v>
      </c>
      <c r="X60" s="8" t="s">
        <v>1906</v>
      </c>
      <c r="Y60" s="8" t="s">
        <v>1907</v>
      </c>
      <c r="Z60" s="8" t="s">
        <v>1908</v>
      </c>
      <c r="AA60" s="8" t="s">
        <v>3082</v>
      </c>
      <c r="AB60" s="8" t="s">
        <v>3083</v>
      </c>
      <c r="AC60" s="8" t="s">
        <v>969</v>
      </c>
      <c r="AD60" s="8" t="s">
        <v>969</v>
      </c>
      <c r="AE60" s="8" t="s">
        <v>969</v>
      </c>
      <c r="AF60" s="8" t="s">
        <v>969</v>
      </c>
      <c r="AG60" s="8">
        <v>66.0</v>
      </c>
      <c r="AH60" s="8">
        <v>115.0</v>
      </c>
      <c r="AI60" s="8">
        <v>137.0</v>
      </c>
      <c r="AJ60" s="8">
        <v>3.0</v>
      </c>
      <c r="AK60" s="8">
        <v>105.0</v>
      </c>
      <c r="AL60" s="8" t="s">
        <v>1192</v>
      </c>
      <c r="AM60" s="8" t="s">
        <v>981</v>
      </c>
      <c r="AN60" s="8" t="s">
        <v>1408</v>
      </c>
      <c r="AO60" s="8" t="s">
        <v>1195</v>
      </c>
      <c r="AP60" s="8" t="s">
        <v>1196</v>
      </c>
      <c r="AQ60" s="8" t="s">
        <v>969</v>
      </c>
      <c r="AR60" s="8" t="s">
        <v>1197</v>
      </c>
      <c r="AS60" s="8" t="s">
        <v>1198</v>
      </c>
      <c r="AT60" s="8" t="s">
        <v>1177</v>
      </c>
      <c r="AU60" s="8">
        <v>2008.0</v>
      </c>
      <c r="AV60" s="8">
        <v>141.0</v>
      </c>
      <c r="AW60" s="8">
        <v>5.0</v>
      </c>
      <c r="AX60" s="8" t="s">
        <v>969</v>
      </c>
      <c r="AY60" s="8" t="s">
        <v>969</v>
      </c>
      <c r="AZ60" s="8" t="s">
        <v>969</v>
      </c>
      <c r="BA60" s="8" t="s">
        <v>969</v>
      </c>
      <c r="BB60" s="8">
        <v>1343.0</v>
      </c>
      <c r="BC60" s="8">
        <v>1353.0</v>
      </c>
      <c r="BD60" s="8" t="s">
        <v>969</v>
      </c>
      <c r="BE60" s="8" t="s">
        <v>551</v>
      </c>
      <c r="BF60" s="13" t="str">
        <f>HYPERLINK("http://dx.doi.org/10.1016/j.biocon.2008.03.007","http://dx.doi.org/10.1016/j.biocon.2008.03.007")</f>
        <v>http://dx.doi.org/10.1016/j.biocon.2008.03.007</v>
      </c>
      <c r="BG60" s="8" t="s">
        <v>969</v>
      </c>
      <c r="BH60" s="8" t="s">
        <v>969</v>
      </c>
      <c r="BI60" s="8">
        <v>11.0</v>
      </c>
      <c r="BJ60" s="8" t="s">
        <v>987</v>
      </c>
      <c r="BK60" s="8" t="s">
        <v>988</v>
      </c>
      <c r="BL60" s="8" t="s">
        <v>989</v>
      </c>
      <c r="BM60" s="8" t="s">
        <v>1910</v>
      </c>
      <c r="BN60" s="8" t="s">
        <v>969</v>
      </c>
      <c r="BO60" s="8" t="s">
        <v>969</v>
      </c>
      <c r="BP60" s="8" t="s">
        <v>969</v>
      </c>
      <c r="BQ60" s="8" t="s">
        <v>969</v>
      </c>
      <c r="BR60" s="8" t="s">
        <v>2912</v>
      </c>
      <c r="BS60" s="8" t="s">
        <v>1911</v>
      </c>
      <c r="BT60" s="3" t="s">
        <v>3001</v>
      </c>
      <c r="BW60" s="8" t="s">
        <v>81</v>
      </c>
      <c r="BX60" s="3">
        <v>1.0</v>
      </c>
      <c r="BY60" s="8" t="str">
        <f>HYPERLINK("https%3A%2F%2Fwww.webofscience.com%2Fwos%2Fwoscc%2Ffull-record%2FWOS:000257008400017","View Full Record in Web of Science")</f>
        <v>View Full Record in Web of Science</v>
      </c>
    </row>
    <row r="61" ht="12.75" customHeight="1">
      <c r="A61" s="8" t="s">
        <v>967</v>
      </c>
      <c r="B61" s="8" t="s">
        <v>1823</v>
      </c>
      <c r="C61" s="8" t="s">
        <v>969</v>
      </c>
      <c r="D61" s="8" t="s">
        <v>969</v>
      </c>
      <c r="E61" s="8" t="s">
        <v>969</v>
      </c>
      <c r="F61" s="8" t="s">
        <v>1824</v>
      </c>
      <c r="G61" s="8" t="s">
        <v>969</v>
      </c>
      <c r="H61" s="8" t="s">
        <v>969</v>
      </c>
      <c r="I61" s="8" t="s">
        <v>1825</v>
      </c>
      <c r="J61" s="8" t="s">
        <v>1826</v>
      </c>
      <c r="K61" s="8" t="s">
        <v>969</v>
      </c>
      <c r="L61" s="8" t="s">
        <v>969</v>
      </c>
      <c r="M61" s="8" t="s">
        <v>972</v>
      </c>
      <c r="N61" s="8" t="s">
        <v>973</v>
      </c>
      <c r="O61" s="8" t="s">
        <v>969</v>
      </c>
      <c r="P61" s="8" t="s">
        <v>969</v>
      </c>
      <c r="Q61" s="8" t="s">
        <v>969</v>
      </c>
      <c r="R61" s="8" t="s">
        <v>969</v>
      </c>
      <c r="S61" s="8" t="s">
        <v>969</v>
      </c>
      <c r="T61" s="8" t="s">
        <v>1827</v>
      </c>
      <c r="U61" s="8" t="s">
        <v>1828</v>
      </c>
      <c r="V61" s="8" t="s">
        <v>1829</v>
      </c>
      <c r="W61" s="8" t="s">
        <v>1830</v>
      </c>
      <c r="X61" s="8" t="s">
        <v>1831</v>
      </c>
      <c r="Y61" s="8" t="s">
        <v>1832</v>
      </c>
      <c r="Z61" s="8" t="s">
        <v>1833</v>
      </c>
      <c r="AA61" s="8" t="s">
        <v>3084</v>
      </c>
      <c r="AB61" s="8" t="s">
        <v>1835</v>
      </c>
      <c r="AC61" s="8" t="s">
        <v>969</v>
      </c>
      <c r="AD61" s="8" t="s">
        <v>969</v>
      </c>
      <c r="AE61" s="8" t="s">
        <v>969</v>
      </c>
      <c r="AF61" s="8" t="s">
        <v>969</v>
      </c>
      <c r="AG61" s="8">
        <v>43.0</v>
      </c>
      <c r="AH61" s="8">
        <v>238.0</v>
      </c>
      <c r="AI61" s="8">
        <v>270.0</v>
      </c>
      <c r="AJ61" s="8">
        <v>0.0</v>
      </c>
      <c r="AK61" s="8">
        <v>69.0</v>
      </c>
      <c r="AL61" s="8" t="s">
        <v>1091</v>
      </c>
      <c r="AM61" s="8" t="s">
        <v>1092</v>
      </c>
      <c r="AN61" s="8" t="s">
        <v>1093</v>
      </c>
      <c r="AO61" s="8" t="s">
        <v>1836</v>
      </c>
      <c r="AP61" s="8" t="s">
        <v>1837</v>
      </c>
      <c r="AQ61" s="8" t="s">
        <v>969</v>
      </c>
      <c r="AR61" s="8" t="s">
        <v>1838</v>
      </c>
      <c r="AS61" s="8" t="s">
        <v>1839</v>
      </c>
      <c r="AT61" s="8" t="s">
        <v>1552</v>
      </c>
      <c r="AU61" s="8">
        <v>2008.0</v>
      </c>
      <c r="AV61" s="8">
        <v>11.0</v>
      </c>
      <c r="AW61" s="8">
        <v>2.0</v>
      </c>
      <c r="AX61" s="8" t="s">
        <v>969</v>
      </c>
      <c r="AY61" s="8" t="s">
        <v>969</v>
      </c>
      <c r="AZ61" s="8" t="s">
        <v>969</v>
      </c>
      <c r="BA61" s="8" t="s">
        <v>969</v>
      </c>
      <c r="BB61" s="8">
        <v>169.0</v>
      </c>
      <c r="BC61" s="8">
        <v>178.0</v>
      </c>
      <c r="BD61" s="8" t="s">
        <v>969</v>
      </c>
      <c r="BE61" s="8" t="s">
        <v>851</v>
      </c>
      <c r="BF61" s="13" t="str">
        <f>HYPERLINK("http://dx.doi.org/10.3170/2008-7-18348","http://dx.doi.org/10.3170/2008-7-18348")</f>
        <v>http://dx.doi.org/10.3170/2008-7-18348</v>
      </c>
      <c r="BG61" s="8" t="s">
        <v>969</v>
      </c>
      <c r="BH61" s="8" t="s">
        <v>969</v>
      </c>
      <c r="BI61" s="8">
        <v>10.0</v>
      </c>
      <c r="BJ61" s="8" t="s">
        <v>1840</v>
      </c>
      <c r="BK61" s="8" t="s">
        <v>988</v>
      </c>
      <c r="BL61" s="8" t="s">
        <v>1841</v>
      </c>
      <c r="BM61" s="8" t="s">
        <v>1842</v>
      </c>
      <c r="BN61" s="8" t="s">
        <v>969</v>
      </c>
      <c r="BO61" s="8" t="s">
        <v>969</v>
      </c>
      <c r="BP61" s="8" t="s">
        <v>969</v>
      </c>
      <c r="BQ61" s="8" t="s">
        <v>969</v>
      </c>
      <c r="BR61" s="8" t="s">
        <v>2912</v>
      </c>
      <c r="BS61" s="8" t="s">
        <v>1843</v>
      </c>
      <c r="BT61" s="3" t="s">
        <v>3001</v>
      </c>
      <c r="BW61" s="8" t="s">
        <v>51</v>
      </c>
      <c r="BX61" s="3">
        <v>1.0</v>
      </c>
      <c r="BY61" s="8" t="str">
        <f>HYPERLINK("https%3A%2F%2Fwww.webofscience.com%2Fwos%2Fwoscc%2Ffull-record%2FWOS:000255229600003","View Full Record in Web of Science")</f>
        <v>View Full Record in Web of Science</v>
      </c>
    </row>
    <row r="62" ht="12.75" customHeight="1">
      <c r="A62" s="8" t="s">
        <v>967</v>
      </c>
      <c r="B62" s="8" t="s">
        <v>1782</v>
      </c>
      <c r="C62" s="8" t="s">
        <v>969</v>
      </c>
      <c r="D62" s="8" t="s">
        <v>969</v>
      </c>
      <c r="E62" s="8" t="s">
        <v>969</v>
      </c>
      <c r="F62" s="8" t="s">
        <v>1783</v>
      </c>
      <c r="G62" s="8" t="s">
        <v>969</v>
      </c>
      <c r="H62" s="8" t="s">
        <v>969</v>
      </c>
      <c r="I62" s="8" t="s">
        <v>1784</v>
      </c>
      <c r="J62" s="8" t="s">
        <v>971</v>
      </c>
      <c r="K62" s="8" t="s">
        <v>969</v>
      </c>
      <c r="L62" s="8" t="s">
        <v>969</v>
      </c>
      <c r="M62" s="8" t="s">
        <v>972</v>
      </c>
      <c r="N62" s="8" t="s">
        <v>973</v>
      </c>
      <c r="O62" s="8" t="s">
        <v>969</v>
      </c>
      <c r="P62" s="8" t="s">
        <v>969</v>
      </c>
      <c r="Q62" s="8" t="s">
        <v>969</v>
      </c>
      <c r="R62" s="8" t="s">
        <v>969</v>
      </c>
      <c r="S62" s="8" t="s">
        <v>969</v>
      </c>
      <c r="T62" s="8" t="s">
        <v>1785</v>
      </c>
      <c r="U62" s="8" t="s">
        <v>1786</v>
      </c>
      <c r="V62" s="8" t="s">
        <v>1787</v>
      </c>
      <c r="W62" s="8" t="s">
        <v>1788</v>
      </c>
      <c r="X62" s="8" t="s">
        <v>1789</v>
      </c>
      <c r="Y62" s="8" t="s">
        <v>1790</v>
      </c>
      <c r="Z62" s="8" t="s">
        <v>1791</v>
      </c>
      <c r="AA62" s="8" t="s">
        <v>3085</v>
      </c>
      <c r="AB62" s="8" t="s">
        <v>3083</v>
      </c>
      <c r="AC62" s="8" t="s">
        <v>969</v>
      </c>
      <c r="AD62" s="8" t="s">
        <v>969</v>
      </c>
      <c r="AE62" s="8" t="s">
        <v>969</v>
      </c>
      <c r="AF62" s="8" t="s">
        <v>969</v>
      </c>
      <c r="AG62" s="8">
        <v>49.0</v>
      </c>
      <c r="AH62" s="8">
        <v>136.0</v>
      </c>
      <c r="AI62" s="8">
        <v>155.0</v>
      </c>
      <c r="AJ62" s="8">
        <v>1.0</v>
      </c>
      <c r="AK62" s="8">
        <v>53.0</v>
      </c>
      <c r="AL62" s="8" t="s">
        <v>1091</v>
      </c>
      <c r="AM62" s="8" t="s">
        <v>1092</v>
      </c>
      <c r="AN62" s="8" t="s">
        <v>1093</v>
      </c>
      <c r="AO62" s="8" t="s">
        <v>983</v>
      </c>
      <c r="AP62" s="8" t="s">
        <v>1094</v>
      </c>
      <c r="AQ62" s="8" t="s">
        <v>969</v>
      </c>
      <c r="AR62" s="8" t="s">
        <v>1095</v>
      </c>
      <c r="AS62" s="8" t="s">
        <v>985</v>
      </c>
      <c r="AT62" s="8" t="s">
        <v>1055</v>
      </c>
      <c r="AU62" s="8">
        <v>2008.0</v>
      </c>
      <c r="AV62" s="8">
        <v>14.0</v>
      </c>
      <c r="AW62" s="8">
        <v>3.0</v>
      </c>
      <c r="AX62" s="8" t="s">
        <v>969</v>
      </c>
      <c r="AY62" s="8" t="s">
        <v>969</v>
      </c>
      <c r="AZ62" s="8" t="s">
        <v>969</v>
      </c>
      <c r="BA62" s="8" t="s">
        <v>969</v>
      </c>
      <c r="BB62" s="8">
        <v>483.0</v>
      </c>
      <c r="BC62" s="8">
        <v>494.0</v>
      </c>
      <c r="BD62" s="8" t="s">
        <v>969</v>
      </c>
      <c r="BE62" s="8" t="s">
        <v>701</v>
      </c>
      <c r="BF62" s="13" t="str">
        <f>HYPERLINK("http://dx.doi.org/10.1111/j.1365-2486.2007.01527.x","http://dx.doi.org/10.1111/j.1365-2486.2007.01527.x")</f>
        <v>http://dx.doi.org/10.1111/j.1365-2486.2007.01527.x</v>
      </c>
      <c r="BG62" s="8" t="s">
        <v>969</v>
      </c>
      <c r="BH62" s="8" t="s">
        <v>969</v>
      </c>
      <c r="BI62" s="8">
        <v>12.0</v>
      </c>
      <c r="BJ62" s="8" t="s">
        <v>987</v>
      </c>
      <c r="BK62" s="8" t="s">
        <v>988</v>
      </c>
      <c r="BL62" s="8" t="s">
        <v>989</v>
      </c>
      <c r="BM62" s="8" t="s">
        <v>1794</v>
      </c>
      <c r="BN62" s="8" t="s">
        <v>969</v>
      </c>
      <c r="BO62" s="8" t="s">
        <v>969</v>
      </c>
      <c r="BP62" s="8" t="s">
        <v>969</v>
      </c>
      <c r="BQ62" s="8" t="s">
        <v>969</v>
      </c>
      <c r="BR62" s="8" t="s">
        <v>2912</v>
      </c>
      <c r="BS62" s="8" t="s">
        <v>1795</v>
      </c>
      <c r="BT62" s="3" t="s">
        <v>3001</v>
      </c>
      <c r="BW62" s="8" t="s">
        <v>33</v>
      </c>
      <c r="BX62" s="3">
        <v>1.0</v>
      </c>
      <c r="BY62" s="8" t="str">
        <f>HYPERLINK("https%3A%2F%2Fwww.webofscience.com%2Fwos%2Fwoscc%2Ffull-record%2FWOS:000252929900004","View Full Record in Web of Science")</f>
        <v>View Full Record in Web of Science</v>
      </c>
    </row>
    <row r="63" ht="12.75" customHeight="1">
      <c r="A63" s="8" t="s">
        <v>967</v>
      </c>
      <c r="B63" s="8" t="s">
        <v>1971</v>
      </c>
      <c r="C63" s="8" t="s">
        <v>969</v>
      </c>
      <c r="D63" s="8" t="s">
        <v>969</v>
      </c>
      <c r="E63" s="8" t="s">
        <v>969</v>
      </c>
      <c r="F63" s="8" t="s">
        <v>1972</v>
      </c>
      <c r="G63" s="8" t="s">
        <v>969</v>
      </c>
      <c r="H63" s="8" t="s">
        <v>969</v>
      </c>
      <c r="I63" s="8" t="s">
        <v>1973</v>
      </c>
      <c r="J63" s="8" t="s">
        <v>1974</v>
      </c>
      <c r="K63" s="8" t="s">
        <v>969</v>
      </c>
      <c r="L63" s="8" t="s">
        <v>969</v>
      </c>
      <c r="M63" s="8" t="s">
        <v>972</v>
      </c>
      <c r="N63" s="8" t="s">
        <v>973</v>
      </c>
      <c r="O63" s="8" t="s">
        <v>969</v>
      </c>
      <c r="P63" s="8" t="s">
        <v>969</v>
      </c>
      <c r="Q63" s="8" t="s">
        <v>969</v>
      </c>
      <c r="R63" s="8" t="s">
        <v>969</v>
      </c>
      <c r="S63" s="8" t="s">
        <v>969</v>
      </c>
      <c r="T63" s="8" t="s">
        <v>969</v>
      </c>
      <c r="U63" s="8" t="s">
        <v>969</v>
      </c>
      <c r="V63" s="8" t="s">
        <v>1975</v>
      </c>
      <c r="W63" s="8" t="s">
        <v>1976</v>
      </c>
      <c r="X63" s="8" t="s">
        <v>1977</v>
      </c>
      <c r="Y63" s="8" t="s">
        <v>1978</v>
      </c>
      <c r="Z63" s="8" t="s">
        <v>1979</v>
      </c>
      <c r="AA63" s="8" t="s">
        <v>1980</v>
      </c>
      <c r="AB63" s="8" t="s">
        <v>1981</v>
      </c>
      <c r="AC63" s="8" t="s">
        <v>1982</v>
      </c>
      <c r="AD63" s="8" t="s">
        <v>1983</v>
      </c>
      <c r="AE63" s="8" t="s">
        <v>1984</v>
      </c>
      <c r="AF63" s="8" t="s">
        <v>969</v>
      </c>
      <c r="AG63" s="8">
        <v>47.0</v>
      </c>
      <c r="AH63" s="8">
        <v>220.0</v>
      </c>
      <c r="AI63" s="8">
        <v>245.0</v>
      </c>
      <c r="AJ63" s="8">
        <v>0.0</v>
      </c>
      <c r="AK63" s="8">
        <v>96.0</v>
      </c>
      <c r="AL63" s="8" t="s">
        <v>1985</v>
      </c>
      <c r="AM63" s="8" t="s">
        <v>1986</v>
      </c>
      <c r="AN63" s="8" t="s">
        <v>1987</v>
      </c>
      <c r="AO63" s="8" t="s">
        <v>1988</v>
      </c>
      <c r="AP63" s="8" t="s">
        <v>969</v>
      </c>
      <c r="AQ63" s="8" t="s">
        <v>969</v>
      </c>
      <c r="AR63" s="8" t="s">
        <v>1974</v>
      </c>
      <c r="AS63" s="8" t="s">
        <v>1989</v>
      </c>
      <c r="AT63" s="8" t="s">
        <v>1990</v>
      </c>
      <c r="AU63" s="8">
        <v>2008.0</v>
      </c>
      <c r="AV63" s="8">
        <v>3.0</v>
      </c>
      <c r="AW63" s="8">
        <v>1.0</v>
      </c>
      <c r="AX63" s="8" t="s">
        <v>969</v>
      </c>
      <c r="AY63" s="8" t="s">
        <v>969</v>
      </c>
      <c r="AZ63" s="8" t="s">
        <v>969</v>
      </c>
      <c r="BA63" s="8" t="s">
        <v>969</v>
      </c>
      <c r="BB63" s="8" t="s">
        <v>969</v>
      </c>
      <c r="BC63" s="8" t="s">
        <v>969</v>
      </c>
      <c r="BD63" s="8" t="s">
        <v>1991</v>
      </c>
      <c r="BE63" s="8" t="s">
        <v>809</v>
      </c>
      <c r="BF63" s="13" t="str">
        <f>HYPERLINK("http://dx.doi.org/10.1371/journal.pone.0001439","http://dx.doi.org/10.1371/journal.pone.0001439")</f>
        <v>http://dx.doi.org/10.1371/journal.pone.0001439</v>
      </c>
      <c r="BG63" s="8" t="s">
        <v>969</v>
      </c>
      <c r="BH63" s="8" t="s">
        <v>969</v>
      </c>
      <c r="BI63" s="8">
        <v>11.0</v>
      </c>
      <c r="BJ63" s="8" t="s">
        <v>1076</v>
      </c>
      <c r="BK63" s="8" t="s">
        <v>988</v>
      </c>
      <c r="BL63" s="8" t="s">
        <v>1077</v>
      </c>
      <c r="BM63" s="8" t="s">
        <v>1992</v>
      </c>
      <c r="BN63" s="8">
        <v>1.819725E7</v>
      </c>
      <c r="BO63" s="8" t="s">
        <v>1993</v>
      </c>
      <c r="BP63" s="8" t="s">
        <v>969</v>
      </c>
      <c r="BQ63" s="8" t="s">
        <v>969</v>
      </c>
      <c r="BR63" s="8" t="s">
        <v>2912</v>
      </c>
      <c r="BS63" s="8" t="s">
        <v>1994</v>
      </c>
      <c r="BT63" s="3" t="s">
        <v>3001</v>
      </c>
      <c r="BW63" s="8" t="s">
        <v>81</v>
      </c>
      <c r="BX63" s="3">
        <v>1.0</v>
      </c>
      <c r="BY63" s="8" t="str">
        <f>HYPERLINK("https%3A%2F%2Fwww.webofscience.com%2Fwos%2Fwoscc%2Ffull-record%2FWOS:000260503800011","View Full Record in Web of Science")</f>
        <v>View Full Record in Web of Science</v>
      </c>
    </row>
    <row r="64" ht="12.75" customHeight="1">
      <c r="A64" s="8" t="s">
        <v>967</v>
      </c>
      <c r="B64" s="8" t="s">
        <v>1703</v>
      </c>
      <c r="C64" s="8" t="s">
        <v>969</v>
      </c>
      <c r="D64" s="8" t="s">
        <v>969</v>
      </c>
      <c r="E64" s="8" t="s">
        <v>969</v>
      </c>
      <c r="F64" s="8" t="s">
        <v>1704</v>
      </c>
      <c r="G64" s="8" t="s">
        <v>969</v>
      </c>
      <c r="H64" s="8" t="s">
        <v>969</v>
      </c>
      <c r="I64" s="8" t="s">
        <v>1705</v>
      </c>
      <c r="J64" s="8" t="s">
        <v>1645</v>
      </c>
      <c r="K64" s="8" t="s">
        <v>969</v>
      </c>
      <c r="L64" s="8" t="s">
        <v>969</v>
      </c>
      <c r="M64" s="8" t="s">
        <v>972</v>
      </c>
      <c r="N64" s="8" t="s">
        <v>973</v>
      </c>
      <c r="O64" s="8" t="s">
        <v>969</v>
      </c>
      <c r="P64" s="8" t="s">
        <v>969</v>
      </c>
      <c r="Q64" s="8" t="s">
        <v>969</v>
      </c>
      <c r="R64" s="8" t="s">
        <v>969</v>
      </c>
      <c r="S64" s="8" t="s">
        <v>969</v>
      </c>
      <c r="T64" s="8" t="s">
        <v>1706</v>
      </c>
      <c r="U64" s="8" t="s">
        <v>1707</v>
      </c>
      <c r="V64" s="8" t="s">
        <v>1708</v>
      </c>
      <c r="W64" s="8" t="s">
        <v>1709</v>
      </c>
      <c r="X64" s="8" t="s">
        <v>1710</v>
      </c>
      <c r="Y64" s="8" t="s">
        <v>1711</v>
      </c>
      <c r="Z64" s="8" t="s">
        <v>1712</v>
      </c>
      <c r="AA64" s="8" t="s">
        <v>3086</v>
      </c>
      <c r="AB64" s="8" t="s">
        <v>3087</v>
      </c>
      <c r="AC64" s="8" t="s">
        <v>969</v>
      </c>
      <c r="AD64" s="8" t="s">
        <v>969</v>
      </c>
      <c r="AE64" s="8" t="s">
        <v>969</v>
      </c>
      <c r="AF64" s="8" t="s">
        <v>969</v>
      </c>
      <c r="AG64" s="8">
        <v>56.0</v>
      </c>
      <c r="AH64" s="8">
        <v>156.0</v>
      </c>
      <c r="AI64" s="8">
        <v>175.0</v>
      </c>
      <c r="AJ64" s="8">
        <v>2.0</v>
      </c>
      <c r="AK64" s="8">
        <v>124.0</v>
      </c>
      <c r="AL64" s="8" t="s">
        <v>1609</v>
      </c>
      <c r="AM64" s="8" t="s">
        <v>1032</v>
      </c>
      <c r="AN64" s="8" t="s">
        <v>1210</v>
      </c>
      <c r="AO64" s="8" t="s">
        <v>1653</v>
      </c>
      <c r="AP64" s="8" t="s">
        <v>969</v>
      </c>
      <c r="AQ64" s="8" t="s">
        <v>969</v>
      </c>
      <c r="AR64" s="8" t="s">
        <v>1655</v>
      </c>
      <c r="AS64" s="8" t="s">
        <v>1656</v>
      </c>
      <c r="AT64" s="8" t="s">
        <v>986</v>
      </c>
      <c r="AU64" s="8">
        <v>2007.0</v>
      </c>
      <c r="AV64" s="8">
        <v>16.0</v>
      </c>
      <c r="AW64" s="8">
        <v>13.0</v>
      </c>
      <c r="AX64" s="8" t="s">
        <v>969</v>
      </c>
      <c r="AY64" s="8" t="s">
        <v>969</v>
      </c>
      <c r="AZ64" s="8" t="s">
        <v>969</v>
      </c>
      <c r="BA64" s="8" t="s">
        <v>969</v>
      </c>
      <c r="BB64" s="8">
        <v>3803.0</v>
      </c>
      <c r="BC64" s="8">
        <v>3816.0</v>
      </c>
      <c r="BD64" s="8" t="s">
        <v>969</v>
      </c>
      <c r="BE64" s="8" t="s">
        <v>527</v>
      </c>
      <c r="BF64" s="13" t="str">
        <f>HYPERLINK("http://dx.doi.org/10.1007/s10531-007-9181-7","http://dx.doi.org/10.1007/s10531-007-9181-7")</f>
        <v>http://dx.doi.org/10.1007/s10531-007-9181-7</v>
      </c>
      <c r="BG64" s="8" t="s">
        <v>969</v>
      </c>
      <c r="BH64" s="8" t="s">
        <v>969</v>
      </c>
      <c r="BI64" s="8">
        <v>14.0</v>
      </c>
      <c r="BJ64" s="8" t="s">
        <v>987</v>
      </c>
      <c r="BK64" s="8" t="s">
        <v>988</v>
      </c>
      <c r="BL64" s="8" t="s">
        <v>989</v>
      </c>
      <c r="BM64" s="8" t="s">
        <v>1715</v>
      </c>
      <c r="BN64" s="8" t="s">
        <v>969</v>
      </c>
      <c r="BO64" s="8" t="s">
        <v>969</v>
      </c>
      <c r="BP64" s="8" t="s">
        <v>969</v>
      </c>
      <c r="BQ64" s="8" t="s">
        <v>969</v>
      </c>
      <c r="BR64" s="8" t="s">
        <v>2912</v>
      </c>
      <c r="BS64" s="8" t="s">
        <v>1716</v>
      </c>
      <c r="BT64" s="3" t="s">
        <v>3001</v>
      </c>
      <c r="BW64" s="8" t="s">
        <v>56</v>
      </c>
      <c r="BX64" s="3">
        <v>1.0</v>
      </c>
      <c r="BY64" s="8" t="str">
        <f>HYPERLINK("https%3A%2F%2Fwww.webofscience.com%2Fwos%2Fwoscc%2Ffull-record%2FWOS:000250301400007","View Full Record in Web of Science")</f>
        <v>View Full Record in Web of Science</v>
      </c>
    </row>
    <row r="65" ht="12.75" customHeight="1">
      <c r="A65" s="8" t="s">
        <v>967</v>
      </c>
      <c r="B65" s="8" t="s">
        <v>1659</v>
      </c>
      <c r="C65" s="8" t="s">
        <v>969</v>
      </c>
      <c r="D65" s="8" t="s">
        <v>969</v>
      </c>
      <c r="E65" s="8" t="s">
        <v>969</v>
      </c>
      <c r="F65" s="8" t="s">
        <v>1660</v>
      </c>
      <c r="G65" s="8" t="s">
        <v>969</v>
      </c>
      <c r="H65" s="8" t="s">
        <v>969</v>
      </c>
      <c r="I65" s="8" t="s">
        <v>1661</v>
      </c>
      <c r="J65" s="8" t="s">
        <v>1662</v>
      </c>
      <c r="K65" s="8" t="s">
        <v>969</v>
      </c>
      <c r="L65" s="8" t="s">
        <v>969</v>
      </c>
      <c r="M65" s="8" t="s">
        <v>972</v>
      </c>
      <c r="N65" s="8" t="s">
        <v>973</v>
      </c>
      <c r="O65" s="8" t="s">
        <v>969</v>
      </c>
      <c r="P65" s="8" t="s">
        <v>969</v>
      </c>
      <c r="Q65" s="8" t="s">
        <v>969</v>
      </c>
      <c r="R65" s="8" t="s">
        <v>969</v>
      </c>
      <c r="S65" s="8" t="s">
        <v>969</v>
      </c>
      <c r="T65" s="8" t="s">
        <v>1663</v>
      </c>
      <c r="U65" s="8" t="s">
        <v>1664</v>
      </c>
      <c r="V65" s="8" t="s">
        <v>1665</v>
      </c>
      <c r="W65" s="8" t="s">
        <v>1649</v>
      </c>
      <c r="X65" s="8" t="s">
        <v>1650</v>
      </c>
      <c r="Y65" s="8" t="s">
        <v>1666</v>
      </c>
      <c r="Z65" s="8" t="s">
        <v>1667</v>
      </c>
      <c r="AA65" s="8" t="s">
        <v>1668</v>
      </c>
      <c r="AB65" s="8" t="s">
        <v>1669</v>
      </c>
      <c r="AC65" s="8" t="s">
        <v>969</v>
      </c>
      <c r="AD65" s="8" t="s">
        <v>969</v>
      </c>
      <c r="AE65" s="8" t="s">
        <v>969</v>
      </c>
      <c r="AF65" s="8" t="s">
        <v>969</v>
      </c>
      <c r="AG65" s="8">
        <v>52.0</v>
      </c>
      <c r="AH65" s="8">
        <v>35.0</v>
      </c>
      <c r="AI65" s="8">
        <v>37.0</v>
      </c>
      <c r="AJ65" s="8">
        <v>0.0</v>
      </c>
      <c r="AK65" s="8">
        <v>41.0</v>
      </c>
      <c r="AL65" s="8" t="s">
        <v>1670</v>
      </c>
      <c r="AM65" s="8" t="s">
        <v>1671</v>
      </c>
      <c r="AN65" s="8" t="s">
        <v>1672</v>
      </c>
      <c r="AO65" s="8" t="s">
        <v>1673</v>
      </c>
      <c r="AP65" s="8" t="s">
        <v>1674</v>
      </c>
      <c r="AQ65" s="8" t="s">
        <v>969</v>
      </c>
      <c r="AR65" s="8" t="s">
        <v>1675</v>
      </c>
      <c r="AS65" s="8" t="s">
        <v>1676</v>
      </c>
      <c r="AT65" s="8" t="s">
        <v>969</v>
      </c>
      <c r="AU65" s="8">
        <v>2007.0</v>
      </c>
      <c r="AV65" s="8">
        <v>15.0</v>
      </c>
      <c r="AW65" s="8">
        <v>1.0</v>
      </c>
      <c r="AX65" s="8" t="s">
        <v>969</v>
      </c>
      <c r="AY65" s="8" t="s">
        <v>969</v>
      </c>
      <c r="AZ65" s="8" t="s">
        <v>969</v>
      </c>
      <c r="BA65" s="8" t="s">
        <v>969</v>
      </c>
      <c r="BB65" s="8">
        <v>41.0</v>
      </c>
      <c r="BC65" s="8">
        <v>53.0</v>
      </c>
      <c r="BD65" s="8" t="s">
        <v>969</v>
      </c>
      <c r="BE65" s="8" t="s">
        <v>578</v>
      </c>
      <c r="BF65" s="13" t="str">
        <f>HYPERLINK("http://dx.doi.org/10.1016/j.jnc.2006.09.001","http://dx.doi.org/10.1016/j.jnc.2006.09.001")</f>
        <v>http://dx.doi.org/10.1016/j.jnc.2006.09.001</v>
      </c>
      <c r="BG65" s="8" t="s">
        <v>969</v>
      </c>
      <c r="BH65" s="8" t="s">
        <v>969</v>
      </c>
      <c r="BI65" s="8">
        <v>13.0</v>
      </c>
      <c r="BJ65" s="8" t="s">
        <v>1286</v>
      </c>
      <c r="BK65" s="8" t="s">
        <v>988</v>
      </c>
      <c r="BL65" s="8" t="s">
        <v>989</v>
      </c>
      <c r="BM65" s="8" t="s">
        <v>1677</v>
      </c>
      <c r="BN65" s="8" t="s">
        <v>969</v>
      </c>
      <c r="BO65" s="8" t="s">
        <v>969</v>
      </c>
      <c r="BP65" s="8" t="s">
        <v>969</v>
      </c>
      <c r="BQ65" s="8" t="s">
        <v>969</v>
      </c>
      <c r="BR65" s="8" t="s">
        <v>2912</v>
      </c>
      <c r="BS65" s="8" t="s">
        <v>1678</v>
      </c>
      <c r="BT65" s="3" t="s">
        <v>3001</v>
      </c>
      <c r="BW65" s="8" t="s">
        <v>51</v>
      </c>
      <c r="BX65" s="3">
        <v>1.0</v>
      </c>
      <c r="BY65" s="8" t="str">
        <f>HYPERLINK("https%3A%2F%2Fwww.webofscience.com%2Fwos%2Fwoscc%2Ffull-record%2FWOS:000245122300004","View Full Record in Web of Science")</f>
        <v>View Full Record in Web of Science</v>
      </c>
    </row>
    <row r="66" ht="12.75" customHeight="1">
      <c r="A66" s="8" t="s">
        <v>967</v>
      </c>
      <c r="B66" s="8" t="s">
        <v>1627</v>
      </c>
      <c r="C66" s="8" t="s">
        <v>969</v>
      </c>
      <c r="D66" s="8" t="s">
        <v>969</v>
      </c>
      <c r="E66" s="8" t="s">
        <v>969</v>
      </c>
      <c r="F66" s="8" t="s">
        <v>1628</v>
      </c>
      <c r="G66" s="8" t="s">
        <v>969</v>
      </c>
      <c r="H66" s="8" t="s">
        <v>969</v>
      </c>
      <c r="I66" s="8" t="s">
        <v>1629</v>
      </c>
      <c r="J66" s="8" t="s">
        <v>971</v>
      </c>
      <c r="K66" s="8" t="s">
        <v>969</v>
      </c>
      <c r="L66" s="8" t="s">
        <v>969</v>
      </c>
      <c r="M66" s="8" t="s">
        <v>972</v>
      </c>
      <c r="N66" s="8" t="s">
        <v>973</v>
      </c>
      <c r="O66" s="8" t="s">
        <v>969</v>
      </c>
      <c r="P66" s="8" t="s">
        <v>969</v>
      </c>
      <c r="Q66" s="8" t="s">
        <v>969</v>
      </c>
      <c r="R66" s="8" t="s">
        <v>969</v>
      </c>
      <c r="S66" s="8" t="s">
        <v>969</v>
      </c>
      <c r="T66" s="8" t="s">
        <v>1630</v>
      </c>
      <c r="U66" s="8" t="s">
        <v>1631</v>
      </c>
      <c r="V66" s="8" t="s">
        <v>1632</v>
      </c>
      <c r="W66" s="8" t="s">
        <v>1633</v>
      </c>
      <c r="X66" s="8" t="s">
        <v>1634</v>
      </c>
      <c r="Y66" s="8" t="s">
        <v>1635</v>
      </c>
      <c r="Z66" s="8" t="s">
        <v>1636</v>
      </c>
      <c r="AA66" s="8" t="s">
        <v>3088</v>
      </c>
      <c r="AB66" s="8" t="s">
        <v>3089</v>
      </c>
      <c r="AC66" s="8" t="s">
        <v>969</v>
      </c>
      <c r="AD66" s="8" t="s">
        <v>969</v>
      </c>
      <c r="AE66" s="8" t="s">
        <v>969</v>
      </c>
      <c r="AF66" s="8" t="s">
        <v>969</v>
      </c>
      <c r="AG66" s="8">
        <v>41.0</v>
      </c>
      <c r="AH66" s="8">
        <v>87.0</v>
      </c>
      <c r="AI66" s="8">
        <v>92.0</v>
      </c>
      <c r="AJ66" s="8">
        <v>1.0</v>
      </c>
      <c r="AK66" s="8">
        <v>48.0</v>
      </c>
      <c r="AL66" s="8" t="s">
        <v>1091</v>
      </c>
      <c r="AM66" s="8" t="s">
        <v>1092</v>
      </c>
      <c r="AN66" s="8" t="s">
        <v>1093</v>
      </c>
      <c r="AO66" s="8" t="s">
        <v>983</v>
      </c>
      <c r="AP66" s="8" t="s">
        <v>1094</v>
      </c>
      <c r="AQ66" s="8" t="s">
        <v>969</v>
      </c>
      <c r="AR66" s="8" t="s">
        <v>1095</v>
      </c>
      <c r="AS66" s="8" t="s">
        <v>985</v>
      </c>
      <c r="AT66" s="8" t="s">
        <v>1300</v>
      </c>
      <c r="AU66" s="8">
        <v>2006.0</v>
      </c>
      <c r="AV66" s="8">
        <v>12.0</v>
      </c>
      <c r="AW66" s="8">
        <v>9.0</v>
      </c>
      <c r="AX66" s="8" t="s">
        <v>969</v>
      </c>
      <c r="AY66" s="8" t="s">
        <v>969</v>
      </c>
      <c r="AZ66" s="8" t="s">
        <v>969</v>
      </c>
      <c r="BA66" s="8" t="s">
        <v>969</v>
      </c>
      <c r="BB66" s="8">
        <v>1788.0</v>
      </c>
      <c r="BC66" s="8">
        <v>1799.0</v>
      </c>
      <c r="BD66" s="8" t="s">
        <v>969</v>
      </c>
      <c r="BE66" s="8" t="s">
        <v>695</v>
      </c>
      <c r="BF66" s="13" t="str">
        <f>HYPERLINK("http://dx.doi.org/10.1111/j.1365-2486.2006.01231.x","http://dx.doi.org/10.1111/j.1365-2486.2006.01231.x")</f>
        <v>http://dx.doi.org/10.1111/j.1365-2486.2006.01231.x</v>
      </c>
      <c r="BG66" s="8" t="s">
        <v>969</v>
      </c>
      <c r="BH66" s="8" t="s">
        <v>969</v>
      </c>
      <c r="BI66" s="8">
        <v>12.0</v>
      </c>
      <c r="BJ66" s="8" t="s">
        <v>987</v>
      </c>
      <c r="BK66" s="8" t="s">
        <v>988</v>
      </c>
      <c r="BL66" s="8" t="s">
        <v>989</v>
      </c>
      <c r="BM66" s="8" t="s">
        <v>1639</v>
      </c>
      <c r="BN66" s="8" t="s">
        <v>969</v>
      </c>
      <c r="BO66" s="8" t="s">
        <v>1640</v>
      </c>
      <c r="BP66" s="8" t="s">
        <v>969</v>
      </c>
      <c r="BQ66" s="8" t="s">
        <v>969</v>
      </c>
      <c r="BR66" s="8" t="s">
        <v>2912</v>
      </c>
      <c r="BS66" s="8" t="s">
        <v>1641</v>
      </c>
      <c r="BT66" s="3" t="s">
        <v>3001</v>
      </c>
      <c r="BW66" s="8" t="s">
        <v>51</v>
      </c>
      <c r="BX66" s="3">
        <v>1.0</v>
      </c>
      <c r="BY66" s="8" t="str">
        <f>HYPERLINK("https%3A%2F%2Fwww.webofscience.com%2Fwos%2Fwoscc%2Ffull-record%2FWOS:000240005300018","View Full Record in Web of Science")</f>
        <v>View Full Record in Web of Science</v>
      </c>
    </row>
    <row r="67" ht="12.75" customHeight="1">
      <c r="A67" s="8" t="s">
        <v>967</v>
      </c>
      <c r="B67" s="8" t="s">
        <v>1642</v>
      </c>
      <c r="C67" s="8" t="s">
        <v>969</v>
      </c>
      <c r="D67" s="8" t="s">
        <v>969</v>
      </c>
      <c r="E67" s="8" t="s">
        <v>969</v>
      </c>
      <c r="F67" s="8" t="s">
        <v>1643</v>
      </c>
      <c r="G67" s="8" t="s">
        <v>969</v>
      </c>
      <c r="H67" s="8" t="s">
        <v>969</v>
      </c>
      <c r="I67" s="8" t="s">
        <v>1644</v>
      </c>
      <c r="J67" s="8" t="s">
        <v>1645</v>
      </c>
      <c r="K67" s="8" t="s">
        <v>969</v>
      </c>
      <c r="L67" s="8" t="s">
        <v>969</v>
      </c>
      <c r="M67" s="8" t="s">
        <v>972</v>
      </c>
      <c r="N67" s="8" t="s">
        <v>973</v>
      </c>
      <c r="O67" s="8" t="s">
        <v>969</v>
      </c>
      <c r="P67" s="8" t="s">
        <v>969</v>
      </c>
      <c r="Q67" s="8" t="s">
        <v>969</v>
      </c>
      <c r="R67" s="8" t="s">
        <v>969</v>
      </c>
      <c r="S67" s="8" t="s">
        <v>969</v>
      </c>
      <c r="T67" s="8" t="s">
        <v>1646</v>
      </c>
      <c r="U67" s="8" t="s">
        <v>1647</v>
      </c>
      <c r="V67" s="8" t="s">
        <v>1648</v>
      </c>
      <c r="W67" s="8" t="s">
        <v>1649</v>
      </c>
      <c r="X67" s="8" t="s">
        <v>1650</v>
      </c>
      <c r="Y67" s="8" t="s">
        <v>1651</v>
      </c>
      <c r="Z67" s="8" t="s">
        <v>1652</v>
      </c>
      <c r="AA67" s="8" t="s">
        <v>1280</v>
      </c>
      <c r="AB67" s="8" t="s">
        <v>1281</v>
      </c>
      <c r="AC67" s="8" t="s">
        <v>969</v>
      </c>
      <c r="AD67" s="8" t="s">
        <v>969</v>
      </c>
      <c r="AE67" s="8" t="s">
        <v>969</v>
      </c>
      <c r="AF67" s="8" t="s">
        <v>969</v>
      </c>
      <c r="AG67" s="8">
        <v>62.0</v>
      </c>
      <c r="AH67" s="8">
        <v>43.0</v>
      </c>
      <c r="AI67" s="8">
        <v>49.0</v>
      </c>
      <c r="AJ67" s="8">
        <v>0.0</v>
      </c>
      <c r="AK67" s="8">
        <v>32.0</v>
      </c>
      <c r="AL67" s="8" t="s">
        <v>1609</v>
      </c>
      <c r="AM67" s="8" t="s">
        <v>1032</v>
      </c>
      <c r="AN67" s="8" t="s">
        <v>1210</v>
      </c>
      <c r="AO67" s="8" t="s">
        <v>1653</v>
      </c>
      <c r="AP67" s="8" t="s">
        <v>1654</v>
      </c>
      <c r="AQ67" s="8" t="s">
        <v>969</v>
      </c>
      <c r="AR67" s="8" t="s">
        <v>1655</v>
      </c>
      <c r="AS67" s="8" t="s">
        <v>1656</v>
      </c>
      <c r="AT67" s="8" t="s">
        <v>1300</v>
      </c>
      <c r="AU67" s="8">
        <v>2006.0</v>
      </c>
      <c r="AV67" s="8">
        <v>15.0</v>
      </c>
      <c r="AW67" s="8">
        <v>10.0</v>
      </c>
      <c r="AX67" s="8" t="s">
        <v>969</v>
      </c>
      <c r="AY67" s="8" t="s">
        <v>969</v>
      </c>
      <c r="AZ67" s="8" t="s">
        <v>969</v>
      </c>
      <c r="BA67" s="8" t="s">
        <v>969</v>
      </c>
      <c r="BB67" s="8">
        <v>3341.0</v>
      </c>
      <c r="BC67" s="8">
        <v>3356.0</v>
      </c>
      <c r="BD67" s="8" t="s">
        <v>969</v>
      </c>
      <c r="BE67" s="8" t="s">
        <v>521</v>
      </c>
      <c r="BF67" s="13" t="str">
        <f>HYPERLINK("http://dx.doi.org/10.1007/s10531-005-1345-8","http://dx.doi.org/10.1007/s10531-005-1345-8")</f>
        <v>http://dx.doi.org/10.1007/s10531-005-1345-8</v>
      </c>
      <c r="BG67" s="8" t="s">
        <v>969</v>
      </c>
      <c r="BH67" s="8" t="s">
        <v>969</v>
      </c>
      <c r="BI67" s="8">
        <v>16.0</v>
      </c>
      <c r="BJ67" s="8" t="s">
        <v>987</v>
      </c>
      <c r="BK67" s="8" t="s">
        <v>988</v>
      </c>
      <c r="BL67" s="8" t="s">
        <v>989</v>
      </c>
      <c r="BM67" s="8" t="s">
        <v>1657</v>
      </c>
      <c r="BN67" s="8" t="s">
        <v>969</v>
      </c>
      <c r="BO67" s="8" t="s">
        <v>969</v>
      </c>
      <c r="BP67" s="8" t="s">
        <v>969</v>
      </c>
      <c r="BQ67" s="8" t="s">
        <v>969</v>
      </c>
      <c r="BR67" s="8" t="s">
        <v>2912</v>
      </c>
      <c r="BS67" s="8" t="s">
        <v>1658</v>
      </c>
      <c r="BT67" s="3" t="s">
        <v>3001</v>
      </c>
      <c r="BW67" s="8" t="s">
        <v>51</v>
      </c>
      <c r="BX67" s="3">
        <v>1.0</v>
      </c>
      <c r="BY67" s="8" t="str">
        <f>HYPERLINK("https%3A%2F%2Fwww.webofscience.com%2Fwos%2Fwoscc%2Ffull-record%2FWOS:000241791200014","View Full Record in Web of Science")</f>
        <v>View Full Record in Web of Science</v>
      </c>
    </row>
    <row r="68" ht="12.75" customHeight="1">
      <c r="A68" s="8" t="s">
        <v>967</v>
      </c>
      <c r="B68" s="8" t="s">
        <v>3090</v>
      </c>
      <c r="C68" s="8" t="s">
        <v>969</v>
      </c>
      <c r="D68" s="8" t="s">
        <v>969</v>
      </c>
      <c r="E68" s="8" t="s">
        <v>969</v>
      </c>
      <c r="F68" s="8" t="s">
        <v>3091</v>
      </c>
      <c r="G68" s="8" t="s">
        <v>969</v>
      </c>
      <c r="H68" s="8" t="s">
        <v>969</v>
      </c>
      <c r="I68" s="8" t="s">
        <v>3092</v>
      </c>
      <c r="J68" s="8" t="s">
        <v>3093</v>
      </c>
      <c r="K68" s="8" t="s">
        <v>969</v>
      </c>
      <c r="L68" s="8" t="s">
        <v>969</v>
      </c>
      <c r="M68" s="8" t="s">
        <v>972</v>
      </c>
      <c r="N68" s="8" t="s">
        <v>1145</v>
      </c>
      <c r="O68" s="8" t="s">
        <v>3094</v>
      </c>
      <c r="P68" s="8" t="s">
        <v>3095</v>
      </c>
      <c r="Q68" s="8" t="s">
        <v>3096</v>
      </c>
      <c r="R68" s="8" t="s">
        <v>3097</v>
      </c>
      <c r="S68" s="8" t="s">
        <v>3098</v>
      </c>
      <c r="T68" s="8" t="s">
        <v>969</v>
      </c>
      <c r="U68" s="8" t="s">
        <v>3099</v>
      </c>
      <c r="V68" s="8" t="s">
        <v>3100</v>
      </c>
      <c r="W68" s="8" t="s">
        <v>3101</v>
      </c>
      <c r="X68" s="8" t="s">
        <v>3102</v>
      </c>
      <c r="Y68" s="8" t="s">
        <v>3103</v>
      </c>
      <c r="Z68" s="8" t="s">
        <v>3104</v>
      </c>
      <c r="AA68" s="8" t="s">
        <v>3105</v>
      </c>
      <c r="AB68" s="8" t="s">
        <v>3106</v>
      </c>
      <c r="AC68" s="8" t="s">
        <v>969</v>
      </c>
      <c r="AD68" s="8" t="s">
        <v>969</v>
      </c>
      <c r="AE68" s="8" t="s">
        <v>969</v>
      </c>
      <c r="AF68" s="8" t="s">
        <v>969</v>
      </c>
      <c r="AG68" s="8">
        <v>151.0</v>
      </c>
      <c r="AH68" s="8">
        <v>179.0</v>
      </c>
      <c r="AI68" s="8">
        <v>236.0</v>
      </c>
      <c r="AJ68" s="8">
        <v>0.0</v>
      </c>
      <c r="AK68" s="8">
        <v>116.0</v>
      </c>
      <c r="AL68" s="8" t="s">
        <v>1091</v>
      </c>
      <c r="AM68" s="8" t="s">
        <v>1092</v>
      </c>
      <c r="AN68" s="8" t="s">
        <v>1093</v>
      </c>
      <c r="AO68" s="8" t="s">
        <v>3107</v>
      </c>
      <c r="AP68" s="8" t="s">
        <v>3108</v>
      </c>
      <c r="AQ68" s="8" t="s">
        <v>969</v>
      </c>
      <c r="AR68" s="8" t="s">
        <v>3093</v>
      </c>
      <c r="AS68" s="8" t="s">
        <v>3109</v>
      </c>
      <c r="AT68" s="8" t="s">
        <v>1055</v>
      </c>
      <c r="AU68" s="8">
        <v>2006.0</v>
      </c>
      <c r="AV68" s="8">
        <v>148.0</v>
      </c>
      <c r="AW68" s="8" t="s">
        <v>969</v>
      </c>
      <c r="AX68" s="8" t="s">
        <v>969</v>
      </c>
      <c r="AY68" s="8">
        <v>1.0</v>
      </c>
      <c r="AZ68" s="8" t="s">
        <v>969</v>
      </c>
      <c r="BA68" s="8" t="s">
        <v>969</v>
      </c>
      <c r="BB68" s="8">
        <v>8.0</v>
      </c>
      <c r="BC68" s="8">
        <v>28.0</v>
      </c>
      <c r="BD68" s="8" t="s">
        <v>969</v>
      </c>
      <c r="BE68" s="8" t="s">
        <v>767</v>
      </c>
      <c r="BF68" s="13" t="str">
        <f>HYPERLINK("http://dx.doi.org/10.1111/j.1474-919X.2006.00523.x","http://dx.doi.org/10.1111/j.1474-919X.2006.00523.x")</f>
        <v>http://dx.doi.org/10.1111/j.1474-919X.2006.00523.x</v>
      </c>
      <c r="BG68" s="8" t="s">
        <v>969</v>
      </c>
      <c r="BH68" s="8" t="s">
        <v>969</v>
      </c>
      <c r="BI68" s="8">
        <v>21.0</v>
      </c>
      <c r="BJ68" s="8" t="s">
        <v>2971</v>
      </c>
      <c r="BK68" s="8" t="s">
        <v>1164</v>
      </c>
      <c r="BL68" s="8" t="s">
        <v>1321</v>
      </c>
      <c r="BM68" s="8" t="s">
        <v>3110</v>
      </c>
      <c r="BN68" s="8" t="s">
        <v>969</v>
      </c>
      <c r="BO68" s="8" t="s">
        <v>969</v>
      </c>
      <c r="BP68" s="8" t="s">
        <v>969</v>
      </c>
      <c r="BQ68" s="8" t="s">
        <v>969</v>
      </c>
      <c r="BR68" s="8" t="s">
        <v>2912</v>
      </c>
      <c r="BS68" s="8" t="s">
        <v>3111</v>
      </c>
      <c r="BT68" s="3" t="s">
        <v>3001</v>
      </c>
      <c r="BW68" s="8" t="s">
        <v>81</v>
      </c>
      <c r="BX68" s="3">
        <v>1.0</v>
      </c>
      <c r="BY68" s="8" t="str">
        <f>HYPERLINK("https%3A%2F%2Fwww.webofscience.com%2Fwos%2Fwoscc%2Ffull-record%2FWOS:000243474900003","View Full Record in Web of Science")</f>
        <v>View Full Record in Web of Science</v>
      </c>
    </row>
    <row r="69" ht="12.75" customHeight="1">
      <c r="A69" s="8" t="s">
        <v>967</v>
      </c>
      <c r="B69" s="8" t="s">
        <v>1502</v>
      </c>
      <c r="C69" s="8" t="s">
        <v>969</v>
      </c>
      <c r="D69" s="8" t="s">
        <v>969</v>
      </c>
      <c r="E69" s="8" t="s">
        <v>969</v>
      </c>
      <c r="F69" s="8" t="s">
        <v>1502</v>
      </c>
      <c r="G69" s="8" t="s">
        <v>969</v>
      </c>
      <c r="H69" s="8" t="s">
        <v>969</v>
      </c>
      <c r="I69" s="8" t="s">
        <v>1503</v>
      </c>
      <c r="J69" s="8" t="s">
        <v>1504</v>
      </c>
      <c r="K69" s="8" t="s">
        <v>969</v>
      </c>
      <c r="L69" s="8" t="s">
        <v>969</v>
      </c>
      <c r="M69" s="8" t="s">
        <v>972</v>
      </c>
      <c r="N69" s="8" t="s">
        <v>973</v>
      </c>
      <c r="O69" s="8" t="s">
        <v>969</v>
      </c>
      <c r="P69" s="8" t="s">
        <v>969</v>
      </c>
      <c r="Q69" s="8" t="s">
        <v>969</v>
      </c>
      <c r="R69" s="8" t="s">
        <v>969</v>
      </c>
      <c r="S69" s="8" t="s">
        <v>969</v>
      </c>
      <c r="T69" s="8" t="s">
        <v>1505</v>
      </c>
      <c r="U69" s="8" t="s">
        <v>1506</v>
      </c>
      <c r="V69" s="8" t="s">
        <v>1507</v>
      </c>
      <c r="W69" s="8" t="s">
        <v>1508</v>
      </c>
      <c r="X69" s="8" t="s">
        <v>1509</v>
      </c>
      <c r="Y69" s="8" t="s">
        <v>1510</v>
      </c>
      <c r="Z69" s="8" t="s">
        <v>1511</v>
      </c>
      <c r="AA69" s="8" t="s">
        <v>1512</v>
      </c>
      <c r="AB69" s="8" t="s">
        <v>1513</v>
      </c>
      <c r="AC69" s="8" t="s">
        <v>969</v>
      </c>
      <c r="AD69" s="8" t="s">
        <v>969</v>
      </c>
      <c r="AE69" s="8" t="s">
        <v>969</v>
      </c>
      <c r="AF69" s="8" t="s">
        <v>969</v>
      </c>
      <c r="AG69" s="8">
        <v>43.0</v>
      </c>
      <c r="AH69" s="8">
        <v>39.0</v>
      </c>
      <c r="AI69" s="8">
        <v>51.0</v>
      </c>
      <c r="AJ69" s="8">
        <v>0.0</v>
      </c>
      <c r="AK69" s="8">
        <v>22.0</v>
      </c>
      <c r="AL69" s="8" t="s">
        <v>1192</v>
      </c>
      <c r="AM69" s="8" t="s">
        <v>1193</v>
      </c>
      <c r="AN69" s="8" t="s">
        <v>1194</v>
      </c>
      <c r="AO69" s="8" t="s">
        <v>1514</v>
      </c>
      <c r="AP69" s="8" t="s">
        <v>1515</v>
      </c>
      <c r="AQ69" s="8" t="s">
        <v>969</v>
      </c>
      <c r="AR69" s="8" t="s">
        <v>1516</v>
      </c>
      <c r="AS69" s="8" t="s">
        <v>1517</v>
      </c>
      <c r="AT69" s="8" t="s">
        <v>1036</v>
      </c>
      <c r="AU69" s="8">
        <v>2006.0</v>
      </c>
      <c r="AV69" s="8">
        <v>16.0</v>
      </c>
      <c r="AW69" s="8">
        <v>1.0</v>
      </c>
      <c r="AX69" s="8" t="s">
        <v>969</v>
      </c>
      <c r="AY69" s="8" t="s">
        <v>969</v>
      </c>
      <c r="AZ69" s="8" t="s">
        <v>969</v>
      </c>
      <c r="BA69" s="8" t="s">
        <v>969</v>
      </c>
      <c r="BB69" s="8">
        <v>19.0</v>
      </c>
      <c r="BC69" s="8">
        <v>28.0</v>
      </c>
      <c r="BD69" s="8" t="s">
        <v>969</v>
      </c>
      <c r="BE69" s="8" t="s">
        <v>575</v>
      </c>
      <c r="BF69" s="13" t="str">
        <f>HYPERLINK("http://dx.doi.org/10.1016/j.gloenvcha.2005.11.001","http://dx.doi.org/10.1016/j.gloenvcha.2005.11.001")</f>
        <v>http://dx.doi.org/10.1016/j.gloenvcha.2005.11.001</v>
      </c>
      <c r="BG69" s="8" t="s">
        <v>969</v>
      </c>
      <c r="BH69" s="8" t="s">
        <v>969</v>
      </c>
      <c r="BI69" s="8">
        <v>10.0</v>
      </c>
      <c r="BJ69" s="8" t="s">
        <v>1518</v>
      </c>
      <c r="BK69" s="8" t="s">
        <v>1519</v>
      </c>
      <c r="BL69" s="8" t="s">
        <v>1520</v>
      </c>
      <c r="BM69" s="8" t="s">
        <v>1521</v>
      </c>
      <c r="BN69" s="8" t="s">
        <v>969</v>
      </c>
      <c r="BO69" s="8" t="s">
        <v>969</v>
      </c>
      <c r="BP69" s="8" t="s">
        <v>969</v>
      </c>
      <c r="BQ69" s="8" t="s">
        <v>969</v>
      </c>
      <c r="BR69" s="8" t="s">
        <v>2912</v>
      </c>
      <c r="BS69" s="8" t="s">
        <v>1522</v>
      </c>
      <c r="BT69" s="3" t="s">
        <v>3001</v>
      </c>
      <c r="BW69" s="8" t="s">
        <v>51</v>
      </c>
      <c r="BX69" s="3">
        <v>1.0</v>
      </c>
      <c r="BY69" s="8" t="str">
        <f>HYPERLINK("https%3A%2F%2Fwww.webofscience.com%2Fwos%2Fwoscc%2Ffull-record%2FWOS:000235424500004","View Full Record in Web of Science")</f>
        <v>View Full Record in Web of Science</v>
      </c>
    </row>
    <row r="70" ht="12.75" customHeight="1">
      <c r="A70" s="8" t="s">
        <v>967</v>
      </c>
      <c r="B70" s="8" t="s">
        <v>1574</v>
      </c>
      <c r="C70" s="8" t="s">
        <v>969</v>
      </c>
      <c r="D70" s="8" t="s">
        <v>969</v>
      </c>
      <c r="E70" s="8" t="s">
        <v>969</v>
      </c>
      <c r="F70" s="8" t="s">
        <v>1574</v>
      </c>
      <c r="G70" s="8" t="s">
        <v>969</v>
      </c>
      <c r="H70" s="8" t="s">
        <v>969</v>
      </c>
      <c r="I70" s="8" t="s">
        <v>1575</v>
      </c>
      <c r="J70" s="8" t="s">
        <v>1557</v>
      </c>
      <c r="K70" s="8" t="s">
        <v>969</v>
      </c>
      <c r="L70" s="8" t="s">
        <v>969</v>
      </c>
      <c r="M70" s="8" t="s">
        <v>972</v>
      </c>
      <c r="N70" s="8" t="s">
        <v>973</v>
      </c>
      <c r="O70" s="8" t="s">
        <v>969</v>
      </c>
      <c r="P70" s="8" t="s">
        <v>969</v>
      </c>
      <c r="Q70" s="8" t="s">
        <v>969</v>
      </c>
      <c r="R70" s="8" t="s">
        <v>969</v>
      </c>
      <c r="S70" s="8" t="s">
        <v>969</v>
      </c>
      <c r="T70" s="8" t="s">
        <v>1576</v>
      </c>
      <c r="U70" s="8" t="s">
        <v>1577</v>
      </c>
      <c r="V70" s="8" t="s">
        <v>1578</v>
      </c>
      <c r="W70" s="8" t="s">
        <v>1579</v>
      </c>
      <c r="X70" s="8" t="s">
        <v>1580</v>
      </c>
      <c r="Y70" s="8" t="s">
        <v>1581</v>
      </c>
      <c r="Z70" s="8" t="s">
        <v>1582</v>
      </c>
      <c r="AA70" s="8" t="s">
        <v>3112</v>
      </c>
      <c r="AB70" s="8" t="s">
        <v>3113</v>
      </c>
      <c r="AC70" s="8" t="s">
        <v>969</v>
      </c>
      <c r="AD70" s="8" t="s">
        <v>969</v>
      </c>
      <c r="AE70" s="8" t="s">
        <v>969</v>
      </c>
      <c r="AF70" s="8" t="s">
        <v>969</v>
      </c>
      <c r="AG70" s="8">
        <v>61.0</v>
      </c>
      <c r="AH70" s="8">
        <v>63.0</v>
      </c>
      <c r="AI70" s="8">
        <v>76.0</v>
      </c>
      <c r="AJ70" s="8">
        <v>1.0</v>
      </c>
      <c r="AK70" s="8">
        <v>34.0</v>
      </c>
      <c r="AL70" s="8" t="s">
        <v>1192</v>
      </c>
      <c r="AM70" s="8" t="s">
        <v>1193</v>
      </c>
      <c r="AN70" s="8" t="s">
        <v>1194</v>
      </c>
      <c r="AO70" s="8" t="s">
        <v>1567</v>
      </c>
      <c r="AP70" s="8" t="s">
        <v>1568</v>
      </c>
      <c r="AQ70" s="8" t="s">
        <v>969</v>
      </c>
      <c r="AR70" s="8" t="s">
        <v>1569</v>
      </c>
      <c r="AS70" s="8" t="s">
        <v>1570</v>
      </c>
      <c r="AT70" s="8" t="s">
        <v>969</v>
      </c>
      <c r="AU70" s="8">
        <v>2006.0</v>
      </c>
      <c r="AV70" s="8">
        <v>9.0</v>
      </c>
      <c r="AW70" s="8">
        <v>2.0</v>
      </c>
      <c r="AX70" s="8" t="s">
        <v>969</v>
      </c>
      <c r="AY70" s="8" t="s">
        <v>969</v>
      </c>
      <c r="AZ70" s="8" t="s">
        <v>969</v>
      </c>
      <c r="BA70" s="8" t="s">
        <v>969</v>
      </c>
      <c r="BB70" s="8">
        <v>129.0</v>
      </c>
      <c r="BC70" s="8">
        <v>147.0</v>
      </c>
      <c r="BD70" s="8" t="s">
        <v>969</v>
      </c>
      <c r="BE70" s="8" t="s">
        <v>566</v>
      </c>
      <c r="BF70" s="13" t="str">
        <f>HYPERLINK("http://dx.doi.org/10.1016/j.envsci.2005.11.005","http://dx.doi.org/10.1016/j.envsci.2005.11.005")</f>
        <v>http://dx.doi.org/10.1016/j.envsci.2005.11.005</v>
      </c>
      <c r="BG70" s="8" t="s">
        <v>969</v>
      </c>
      <c r="BH70" s="8" t="s">
        <v>969</v>
      </c>
      <c r="BI70" s="8">
        <v>19.0</v>
      </c>
      <c r="BJ70" s="8" t="s">
        <v>1571</v>
      </c>
      <c r="BK70" s="8" t="s">
        <v>988</v>
      </c>
      <c r="BL70" s="8" t="s">
        <v>1268</v>
      </c>
      <c r="BM70" s="8" t="s">
        <v>1572</v>
      </c>
      <c r="BN70" s="8" t="s">
        <v>969</v>
      </c>
      <c r="BO70" s="8" t="s">
        <v>969</v>
      </c>
      <c r="BP70" s="8" t="s">
        <v>969</v>
      </c>
      <c r="BQ70" s="8" t="s">
        <v>969</v>
      </c>
      <c r="BR70" s="8" t="s">
        <v>2912</v>
      </c>
      <c r="BS70" s="8" t="s">
        <v>1585</v>
      </c>
      <c r="BT70" s="3" t="s">
        <v>3001</v>
      </c>
      <c r="BW70" s="8" t="s">
        <v>96</v>
      </c>
      <c r="BX70" s="3">
        <v>1.0</v>
      </c>
      <c r="BY70" s="8" t="str">
        <f>HYPERLINK("https%3A%2F%2Fwww.webofscience.com%2Fwos%2Fwoscc%2Ffull-record%2FWOS:000236511100004","View Full Record in Web of Science")</f>
        <v>View Full Record in Web of Science</v>
      </c>
    </row>
    <row r="71" ht="12.75" customHeight="1">
      <c r="A71" s="8" t="s">
        <v>967</v>
      </c>
      <c r="B71" s="8" t="s">
        <v>1555</v>
      </c>
      <c r="C71" s="8" t="s">
        <v>969</v>
      </c>
      <c r="D71" s="8" t="s">
        <v>969</v>
      </c>
      <c r="E71" s="8" t="s">
        <v>969</v>
      </c>
      <c r="F71" s="8" t="s">
        <v>1555</v>
      </c>
      <c r="G71" s="8" t="s">
        <v>969</v>
      </c>
      <c r="H71" s="8" t="s">
        <v>969</v>
      </c>
      <c r="I71" s="8" t="s">
        <v>1556</v>
      </c>
      <c r="J71" s="8" t="s">
        <v>1557</v>
      </c>
      <c r="K71" s="8" t="s">
        <v>969</v>
      </c>
      <c r="L71" s="8" t="s">
        <v>969</v>
      </c>
      <c r="M71" s="8" t="s">
        <v>972</v>
      </c>
      <c r="N71" s="8" t="s">
        <v>973</v>
      </c>
      <c r="O71" s="8" t="s">
        <v>969</v>
      </c>
      <c r="P71" s="8" t="s">
        <v>969</v>
      </c>
      <c r="Q71" s="8" t="s">
        <v>969</v>
      </c>
      <c r="R71" s="8" t="s">
        <v>969</v>
      </c>
      <c r="S71" s="8" t="s">
        <v>969</v>
      </c>
      <c r="T71" s="8" t="s">
        <v>1558</v>
      </c>
      <c r="U71" s="8" t="s">
        <v>1559</v>
      </c>
      <c r="V71" s="8" t="s">
        <v>1560</v>
      </c>
      <c r="W71" s="8" t="s">
        <v>1561</v>
      </c>
      <c r="X71" s="8" t="s">
        <v>1562</v>
      </c>
      <c r="Y71" s="8" t="s">
        <v>1563</v>
      </c>
      <c r="Z71" s="8" t="s">
        <v>1564</v>
      </c>
      <c r="AA71" s="8" t="s">
        <v>3114</v>
      </c>
      <c r="AB71" s="8" t="s">
        <v>3115</v>
      </c>
      <c r="AC71" s="8" t="s">
        <v>969</v>
      </c>
      <c r="AD71" s="8" t="s">
        <v>969</v>
      </c>
      <c r="AE71" s="8" t="s">
        <v>969</v>
      </c>
      <c r="AF71" s="8" t="s">
        <v>969</v>
      </c>
      <c r="AG71" s="8">
        <v>66.0</v>
      </c>
      <c r="AH71" s="8">
        <v>131.0</v>
      </c>
      <c r="AI71" s="8">
        <v>147.0</v>
      </c>
      <c r="AJ71" s="8">
        <v>2.0</v>
      </c>
      <c r="AK71" s="8">
        <v>62.0</v>
      </c>
      <c r="AL71" s="8" t="s">
        <v>1192</v>
      </c>
      <c r="AM71" s="8" t="s">
        <v>1193</v>
      </c>
      <c r="AN71" s="8" t="s">
        <v>1194</v>
      </c>
      <c r="AO71" s="8" t="s">
        <v>1567</v>
      </c>
      <c r="AP71" s="8" t="s">
        <v>1568</v>
      </c>
      <c r="AQ71" s="8" t="s">
        <v>969</v>
      </c>
      <c r="AR71" s="8" t="s">
        <v>1569</v>
      </c>
      <c r="AS71" s="8" t="s">
        <v>1570</v>
      </c>
      <c r="AT71" s="8" t="s">
        <v>969</v>
      </c>
      <c r="AU71" s="8">
        <v>2006.0</v>
      </c>
      <c r="AV71" s="8">
        <v>9.0</v>
      </c>
      <c r="AW71" s="8">
        <v>2.0</v>
      </c>
      <c r="AX71" s="8" t="s">
        <v>969</v>
      </c>
      <c r="AY71" s="8" t="s">
        <v>969</v>
      </c>
      <c r="AZ71" s="8" t="s">
        <v>969</v>
      </c>
      <c r="BA71" s="8" t="s">
        <v>969</v>
      </c>
      <c r="BB71" s="8">
        <v>116.0</v>
      </c>
      <c r="BC71" s="8">
        <v>128.0</v>
      </c>
      <c r="BD71" s="8" t="s">
        <v>969</v>
      </c>
      <c r="BE71" s="8" t="s">
        <v>563</v>
      </c>
      <c r="BF71" s="13" t="str">
        <f>HYPERLINK("http://dx.doi.org/10.1016/j.envsci.2005.11.003","http://dx.doi.org/10.1016/j.envsci.2005.11.003")</f>
        <v>http://dx.doi.org/10.1016/j.envsci.2005.11.003</v>
      </c>
      <c r="BG71" s="8" t="s">
        <v>969</v>
      </c>
      <c r="BH71" s="8" t="s">
        <v>969</v>
      </c>
      <c r="BI71" s="8">
        <v>13.0</v>
      </c>
      <c r="BJ71" s="8" t="s">
        <v>1571</v>
      </c>
      <c r="BK71" s="8" t="s">
        <v>988</v>
      </c>
      <c r="BL71" s="8" t="s">
        <v>1268</v>
      </c>
      <c r="BM71" s="8" t="s">
        <v>1572</v>
      </c>
      <c r="BN71" s="8" t="s">
        <v>969</v>
      </c>
      <c r="BO71" s="8" t="s">
        <v>969</v>
      </c>
      <c r="BP71" s="8" t="s">
        <v>969</v>
      </c>
      <c r="BQ71" s="8" t="s">
        <v>969</v>
      </c>
      <c r="BR71" s="8" t="s">
        <v>2912</v>
      </c>
      <c r="BS71" s="8" t="s">
        <v>1573</v>
      </c>
      <c r="BT71" s="3" t="s">
        <v>3001</v>
      </c>
      <c r="BW71" s="8" t="s">
        <v>93</v>
      </c>
      <c r="BX71" s="3">
        <v>1.0</v>
      </c>
      <c r="BY71" s="8" t="str">
        <f>HYPERLINK("https%3A%2F%2Fwww.webofscience.com%2Fwos%2Fwoscc%2Ffull-record%2FWOS:000236511100003","View Full Record in Web of Science")</f>
        <v>View Full Record in Web of Science</v>
      </c>
    </row>
    <row r="72" ht="12.75" customHeight="1">
      <c r="A72" s="8" t="s">
        <v>967</v>
      </c>
      <c r="B72" s="8" t="s">
        <v>1375</v>
      </c>
      <c r="C72" s="8" t="s">
        <v>969</v>
      </c>
      <c r="D72" s="8" t="s">
        <v>969</v>
      </c>
      <c r="E72" s="8" t="s">
        <v>969</v>
      </c>
      <c r="F72" s="8" t="s">
        <v>1375</v>
      </c>
      <c r="G72" s="8" t="s">
        <v>969</v>
      </c>
      <c r="H72" s="8" t="s">
        <v>969</v>
      </c>
      <c r="I72" s="8" t="s">
        <v>1376</v>
      </c>
      <c r="J72" s="8" t="s">
        <v>1377</v>
      </c>
      <c r="K72" s="8" t="s">
        <v>969</v>
      </c>
      <c r="L72" s="8" t="s">
        <v>969</v>
      </c>
      <c r="M72" s="8" t="s">
        <v>972</v>
      </c>
      <c r="N72" s="8" t="s">
        <v>973</v>
      </c>
      <c r="O72" s="8" t="s">
        <v>969</v>
      </c>
      <c r="P72" s="8" t="s">
        <v>969</v>
      </c>
      <c r="Q72" s="8" t="s">
        <v>969</v>
      </c>
      <c r="R72" s="8" t="s">
        <v>969</v>
      </c>
      <c r="S72" s="8" t="s">
        <v>969</v>
      </c>
      <c r="T72" s="8" t="s">
        <v>1378</v>
      </c>
      <c r="U72" s="8" t="s">
        <v>1379</v>
      </c>
      <c r="V72" s="8" t="s">
        <v>1380</v>
      </c>
      <c r="W72" s="8" t="s">
        <v>1381</v>
      </c>
      <c r="X72" s="8" t="s">
        <v>3116</v>
      </c>
      <c r="Y72" s="8" t="s">
        <v>1383</v>
      </c>
      <c r="Z72" s="8" t="s">
        <v>1384</v>
      </c>
      <c r="AA72" s="8" t="s">
        <v>3117</v>
      </c>
      <c r="AB72" s="8" t="s">
        <v>1386</v>
      </c>
      <c r="AC72" s="8" t="s">
        <v>969</v>
      </c>
      <c r="AD72" s="8" t="s">
        <v>969</v>
      </c>
      <c r="AE72" s="8" t="s">
        <v>969</v>
      </c>
      <c r="AF72" s="8" t="s">
        <v>969</v>
      </c>
      <c r="AG72" s="8">
        <v>40.0</v>
      </c>
      <c r="AH72" s="8">
        <v>1870.0</v>
      </c>
      <c r="AI72" s="8">
        <v>2170.0</v>
      </c>
      <c r="AJ72" s="8">
        <v>9.0</v>
      </c>
      <c r="AK72" s="8">
        <v>912.0</v>
      </c>
      <c r="AL72" s="8" t="s">
        <v>1387</v>
      </c>
      <c r="AM72" s="8" t="s">
        <v>1388</v>
      </c>
      <c r="AN72" s="8" t="s">
        <v>1389</v>
      </c>
      <c r="AO72" s="8" t="s">
        <v>1390</v>
      </c>
      <c r="AP72" s="8" t="s">
        <v>1391</v>
      </c>
      <c r="AQ72" s="8" t="s">
        <v>969</v>
      </c>
      <c r="AR72" s="8" t="s">
        <v>1392</v>
      </c>
      <c r="AS72" s="8" t="s">
        <v>1393</v>
      </c>
      <c r="AT72" s="8" t="s">
        <v>1394</v>
      </c>
      <c r="AU72" s="8">
        <v>2005.0</v>
      </c>
      <c r="AV72" s="8">
        <v>102.0</v>
      </c>
      <c r="AW72" s="8">
        <v>23.0</v>
      </c>
      <c r="AX72" s="8" t="s">
        <v>969</v>
      </c>
      <c r="AY72" s="8" t="s">
        <v>969</v>
      </c>
      <c r="AZ72" s="8" t="s">
        <v>969</v>
      </c>
      <c r="BA72" s="8" t="s">
        <v>969</v>
      </c>
      <c r="BB72" s="8">
        <v>8245.0</v>
      </c>
      <c r="BC72" s="8">
        <v>8250.0</v>
      </c>
      <c r="BD72" s="8" t="s">
        <v>969</v>
      </c>
      <c r="BE72" s="8" t="s">
        <v>635</v>
      </c>
      <c r="BF72" s="13" t="str">
        <f>HYPERLINK("http://dx.doi.org/10.1073/pnas.0409902102","http://dx.doi.org/10.1073/pnas.0409902102")</f>
        <v>http://dx.doi.org/10.1073/pnas.0409902102</v>
      </c>
      <c r="BG72" s="8" t="s">
        <v>969</v>
      </c>
      <c r="BH72" s="8" t="s">
        <v>969</v>
      </c>
      <c r="BI72" s="8">
        <v>6.0</v>
      </c>
      <c r="BJ72" s="8" t="s">
        <v>1076</v>
      </c>
      <c r="BK72" s="8" t="s">
        <v>988</v>
      </c>
      <c r="BL72" s="8" t="s">
        <v>1077</v>
      </c>
      <c r="BM72" s="8" t="s">
        <v>1395</v>
      </c>
      <c r="BN72" s="8">
        <v>1.5919825E7</v>
      </c>
      <c r="BO72" s="8" t="s">
        <v>1227</v>
      </c>
      <c r="BP72" s="8" t="s">
        <v>969</v>
      </c>
      <c r="BQ72" s="8" t="s">
        <v>969</v>
      </c>
      <c r="BR72" s="8" t="s">
        <v>2912</v>
      </c>
      <c r="BS72" s="8" t="s">
        <v>1396</v>
      </c>
      <c r="BT72" s="3" t="s">
        <v>3001</v>
      </c>
      <c r="BW72" s="8" t="s">
        <v>51</v>
      </c>
      <c r="BX72" s="3">
        <v>1.0</v>
      </c>
      <c r="BY72" s="8" t="str">
        <f>HYPERLINK("https%3A%2F%2Fwww.webofscience.com%2Fwos%2Fwoscc%2Ffull-record%2FWOS:000229650500032","View Full Record in Web of Science")</f>
        <v>View Full Record in Web of Science</v>
      </c>
    </row>
    <row r="73" ht="12.75" customHeight="1">
      <c r="A73" s="8" t="s">
        <v>967</v>
      </c>
      <c r="B73" s="8" t="s">
        <v>1289</v>
      </c>
      <c r="C73" s="8" t="s">
        <v>969</v>
      </c>
      <c r="D73" s="8" t="s">
        <v>969</v>
      </c>
      <c r="E73" s="8" t="s">
        <v>969</v>
      </c>
      <c r="F73" s="8" t="s">
        <v>1289</v>
      </c>
      <c r="G73" s="8" t="s">
        <v>969</v>
      </c>
      <c r="H73" s="8" t="s">
        <v>969</v>
      </c>
      <c r="I73" s="8" t="s">
        <v>1290</v>
      </c>
      <c r="J73" s="8" t="s">
        <v>971</v>
      </c>
      <c r="K73" s="8" t="s">
        <v>969</v>
      </c>
      <c r="L73" s="8" t="s">
        <v>969</v>
      </c>
      <c r="M73" s="8" t="s">
        <v>972</v>
      </c>
      <c r="N73" s="8" t="s">
        <v>973</v>
      </c>
      <c r="O73" s="8" t="s">
        <v>969</v>
      </c>
      <c r="P73" s="8" t="s">
        <v>969</v>
      </c>
      <c r="Q73" s="8" t="s">
        <v>969</v>
      </c>
      <c r="R73" s="8" t="s">
        <v>969</v>
      </c>
      <c r="S73" s="8" t="s">
        <v>969</v>
      </c>
      <c r="T73" s="8" t="s">
        <v>1291</v>
      </c>
      <c r="U73" s="8" t="s">
        <v>1292</v>
      </c>
      <c r="V73" s="8" t="s">
        <v>1293</v>
      </c>
      <c r="W73" s="8" t="s">
        <v>1294</v>
      </c>
      <c r="X73" s="8" t="s">
        <v>1295</v>
      </c>
      <c r="Y73" s="8" t="s">
        <v>1296</v>
      </c>
      <c r="Z73" s="8" t="s">
        <v>1297</v>
      </c>
      <c r="AA73" s="8" t="s">
        <v>3118</v>
      </c>
      <c r="AB73" s="8" t="s">
        <v>1299</v>
      </c>
      <c r="AC73" s="8" t="s">
        <v>969</v>
      </c>
      <c r="AD73" s="8" t="s">
        <v>969</v>
      </c>
      <c r="AE73" s="8" t="s">
        <v>969</v>
      </c>
      <c r="AF73" s="8" t="s">
        <v>969</v>
      </c>
      <c r="AG73" s="8">
        <v>69.0</v>
      </c>
      <c r="AH73" s="8">
        <v>550.0</v>
      </c>
      <c r="AI73" s="8">
        <v>645.0</v>
      </c>
      <c r="AJ73" s="8">
        <v>3.0</v>
      </c>
      <c r="AK73" s="8">
        <v>202.0</v>
      </c>
      <c r="AL73" s="8" t="s">
        <v>1091</v>
      </c>
      <c r="AM73" s="8" t="s">
        <v>1092</v>
      </c>
      <c r="AN73" s="8" t="s">
        <v>1093</v>
      </c>
      <c r="AO73" s="8" t="s">
        <v>983</v>
      </c>
      <c r="AP73" s="8" t="s">
        <v>1094</v>
      </c>
      <c r="AQ73" s="8" t="s">
        <v>969</v>
      </c>
      <c r="AR73" s="8" t="s">
        <v>1095</v>
      </c>
      <c r="AS73" s="8" t="s">
        <v>985</v>
      </c>
      <c r="AT73" s="8" t="s">
        <v>1300</v>
      </c>
      <c r="AU73" s="8">
        <v>2004.0</v>
      </c>
      <c r="AV73" s="8">
        <v>10.0</v>
      </c>
      <c r="AW73" s="8">
        <v>9.0</v>
      </c>
      <c r="AX73" s="8" t="s">
        <v>969</v>
      </c>
      <c r="AY73" s="8" t="s">
        <v>969</v>
      </c>
      <c r="AZ73" s="8" t="s">
        <v>969</v>
      </c>
      <c r="BA73" s="8" t="s">
        <v>969</v>
      </c>
      <c r="BB73" s="8">
        <v>1618.0</v>
      </c>
      <c r="BC73" s="8">
        <v>1626.0</v>
      </c>
      <c r="BD73" s="8" t="s">
        <v>969</v>
      </c>
      <c r="BE73" s="8" t="s">
        <v>683</v>
      </c>
      <c r="BF73" s="13" t="str">
        <f>HYPERLINK("http://dx.doi.org/10.1111/j.1365-2486.2004.00828.x","http://dx.doi.org/10.1111/j.1365-2486.2004.00828.x")</f>
        <v>http://dx.doi.org/10.1111/j.1365-2486.2004.00828.x</v>
      </c>
      <c r="BG73" s="8" t="s">
        <v>969</v>
      </c>
      <c r="BH73" s="8" t="s">
        <v>969</v>
      </c>
      <c r="BI73" s="8">
        <v>9.0</v>
      </c>
      <c r="BJ73" s="8" t="s">
        <v>987</v>
      </c>
      <c r="BK73" s="8" t="s">
        <v>988</v>
      </c>
      <c r="BL73" s="8" t="s">
        <v>989</v>
      </c>
      <c r="BM73" s="8" t="s">
        <v>1301</v>
      </c>
      <c r="BN73" s="8" t="s">
        <v>969</v>
      </c>
      <c r="BO73" s="8" t="s">
        <v>969</v>
      </c>
      <c r="BP73" s="8" t="s">
        <v>969</v>
      </c>
      <c r="BQ73" s="8" t="s">
        <v>969</v>
      </c>
      <c r="BR73" s="8" t="s">
        <v>2912</v>
      </c>
      <c r="BS73" s="8" t="s">
        <v>1302</v>
      </c>
      <c r="BT73" s="3" t="s">
        <v>3001</v>
      </c>
      <c r="BW73" s="8" t="s">
        <v>51</v>
      </c>
      <c r="BX73" s="3">
        <v>1.0</v>
      </c>
      <c r="BY73" s="8" t="str">
        <f>HYPERLINK("https%3A%2F%2Fwww.webofscience.com%2Fwos%2Fwoscc%2Ffull-record%2FWOS:000223817000017","View Full Record in Web of Science")</f>
        <v>View Full Record in Web of Science</v>
      </c>
    </row>
    <row r="74" ht="12.75" customHeight="1">
      <c r="A74" s="8" t="s">
        <v>967</v>
      </c>
      <c r="B74" s="8" t="s">
        <v>1271</v>
      </c>
      <c r="C74" s="8" t="s">
        <v>969</v>
      </c>
      <c r="D74" s="8" t="s">
        <v>969</v>
      </c>
      <c r="E74" s="8" t="s">
        <v>969</v>
      </c>
      <c r="F74" s="8" t="s">
        <v>1271</v>
      </c>
      <c r="G74" s="8" t="s">
        <v>969</v>
      </c>
      <c r="H74" s="8" t="s">
        <v>969</v>
      </c>
      <c r="I74" s="8" t="s">
        <v>1272</v>
      </c>
      <c r="J74" s="8" t="s">
        <v>1273</v>
      </c>
      <c r="K74" s="8" t="s">
        <v>969</v>
      </c>
      <c r="L74" s="8" t="s">
        <v>969</v>
      </c>
      <c r="M74" s="8" t="s">
        <v>972</v>
      </c>
      <c r="N74" s="8" t="s">
        <v>973</v>
      </c>
      <c r="O74" s="8" t="s">
        <v>969</v>
      </c>
      <c r="P74" s="8" t="s">
        <v>969</v>
      </c>
      <c r="Q74" s="8" t="s">
        <v>969</v>
      </c>
      <c r="R74" s="8" t="s">
        <v>969</v>
      </c>
      <c r="S74" s="8" t="s">
        <v>969</v>
      </c>
      <c r="T74" s="8" t="s">
        <v>969</v>
      </c>
      <c r="U74" s="8" t="s">
        <v>1274</v>
      </c>
      <c r="V74" s="8" t="s">
        <v>1275</v>
      </c>
      <c r="W74" s="8" t="s">
        <v>1276</v>
      </c>
      <c r="X74" s="8" t="s">
        <v>1277</v>
      </c>
      <c r="Y74" s="8" t="s">
        <v>1278</v>
      </c>
      <c r="Z74" s="8" t="s">
        <v>1279</v>
      </c>
      <c r="AA74" s="8" t="s">
        <v>3119</v>
      </c>
      <c r="AB74" s="8" t="s">
        <v>3120</v>
      </c>
      <c r="AC74" s="8" t="s">
        <v>969</v>
      </c>
      <c r="AD74" s="8" t="s">
        <v>969</v>
      </c>
      <c r="AE74" s="8" t="s">
        <v>969</v>
      </c>
      <c r="AF74" s="8" t="s">
        <v>969</v>
      </c>
      <c r="AG74" s="8">
        <v>83.0</v>
      </c>
      <c r="AH74" s="8">
        <v>207.0</v>
      </c>
      <c r="AI74" s="8">
        <v>232.0</v>
      </c>
      <c r="AJ74" s="8">
        <v>0.0</v>
      </c>
      <c r="AK74" s="8">
        <v>94.0</v>
      </c>
      <c r="AL74" s="8" t="s">
        <v>1091</v>
      </c>
      <c r="AM74" s="8" t="s">
        <v>1092</v>
      </c>
      <c r="AN74" s="8" t="s">
        <v>1093</v>
      </c>
      <c r="AO74" s="8" t="s">
        <v>1282</v>
      </c>
      <c r="AP74" s="8" t="s">
        <v>1283</v>
      </c>
      <c r="AQ74" s="8" t="s">
        <v>969</v>
      </c>
      <c r="AR74" s="8" t="s">
        <v>1273</v>
      </c>
      <c r="AS74" s="8" t="s">
        <v>1284</v>
      </c>
      <c r="AT74" s="8" t="s">
        <v>1285</v>
      </c>
      <c r="AU74" s="8">
        <v>2004.0</v>
      </c>
      <c r="AV74" s="8">
        <v>27.0</v>
      </c>
      <c r="AW74" s="8">
        <v>3.0</v>
      </c>
      <c r="AX74" s="8" t="s">
        <v>969</v>
      </c>
      <c r="AY74" s="8" t="s">
        <v>969</v>
      </c>
      <c r="AZ74" s="8" t="s">
        <v>969</v>
      </c>
      <c r="BA74" s="8" t="s">
        <v>969</v>
      </c>
      <c r="BB74" s="8">
        <v>366.0</v>
      </c>
      <c r="BC74" s="8">
        <v>380.0</v>
      </c>
      <c r="BD74" s="8" t="s">
        <v>969</v>
      </c>
      <c r="BE74" s="8" t="s">
        <v>677</v>
      </c>
      <c r="BF74" s="13" t="str">
        <f>HYPERLINK("http://dx.doi.org/10.1111/j.0906-7590.2004.03823.x","http://dx.doi.org/10.1111/j.0906-7590.2004.03823.x")</f>
        <v>http://dx.doi.org/10.1111/j.0906-7590.2004.03823.x</v>
      </c>
      <c r="BG74" s="8" t="s">
        <v>969</v>
      </c>
      <c r="BH74" s="8" t="s">
        <v>969</v>
      </c>
      <c r="BI74" s="8">
        <v>15.0</v>
      </c>
      <c r="BJ74" s="8" t="s">
        <v>1286</v>
      </c>
      <c r="BK74" s="8" t="s">
        <v>988</v>
      </c>
      <c r="BL74" s="8" t="s">
        <v>989</v>
      </c>
      <c r="BM74" s="8" t="s">
        <v>1287</v>
      </c>
      <c r="BN74" s="8" t="s">
        <v>969</v>
      </c>
      <c r="BO74" s="8" t="s">
        <v>969</v>
      </c>
      <c r="BP74" s="8" t="s">
        <v>969</v>
      </c>
      <c r="BQ74" s="8" t="s">
        <v>969</v>
      </c>
      <c r="BR74" s="8" t="s">
        <v>2912</v>
      </c>
      <c r="BS74" s="8" t="s">
        <v>1288</v>
      </c>
      <c r="BT74" s="3" t="s">
        <v>3001</v>
      </c>
      <c r="BW74" s="8" t="s">
        <v>51</v>
      </c>
      <c r="BX74" s="3">
        <v>1.0</v>
      </c>
      <c r="BY74" s="8" t="str">
        <f>HYPERLINK("https%3A%2F%2Fwww.webofscience.com%2Fwos%2Fwoscc%2Ffull-record%2FWOS:000221421200010","View Full Record in Web of Science")</f>
        <v>View Full Record in Web of Science</v>
      </c>
    </row>
    <row r="75" ht="12.75" customHeight="1">
      <c r="A75" s="8" t="s">
        <v>967</v>
      </c>
      <c r="B75" s="8" t="s">
        <v>3121</v>
      </c>
      <c r="C75" s="8" t="s">
        <v>969</v>
      </c>
      <c r="D75" s="8" t="s">
        <v>969</v>
      </c>
      <c r="E75" s="8" t="s">
        <v>969</v>
      </c>
      <c r="F75" s="8" t="s">
        <v>3121</v>
      </c>
      <c r="G75" s="8" t="s">
        <v>969</v>
      </c>
      <c r="H75" s="8" t="s">
        <v>969</v>
      </c>
      <c r="I75" s="8" t="s">
        <v>3122</v>
      </c>
      <c r="J75" s="8" t="s">
        <v>1000</v>
      </c>
      <c r="K75" s="8" t="s">
        <v>969</v>
      </c>
      <c r="L75" s="8" t="s">
        <v>969</v>
      </c>
      <c r="M75" s="8" t="s">
        <v>972</v>
      </c>
      <c r="N75" s="8" t="s">
        <v>2924</v>
      </c>
      <c r="O75" s="8" t="s">
        <v>969</v>
      </c>
      <c r="P75" s="8" t="s">
        <v>969</v>
      </c>
      <c r="Q75" s="8" t="s">
        <v>969</v>
      </c>
      <c r="R75" s="8" t="s">
        <v>969</v>
      </c>
      <c r="S75" s="8" t="s">
        <v>969</v>
      </c>
      <c r="T75" s="8" t="s">
        <v>3123</v>
      </c>
      <c r="U75" s="8" t="s">
        <v>3124</v>
      </c>
      <c r="V75" s="8" t="s">
        <v>3125</v>
      </c>
      <c r="W75" s="8" t="s">
        <v>3126</v>
      </c>
      <c r="X75" s="8" t="s">
        <v>3127</v>
      </c>
      <c r="Y75" s="8" t="s">
        <v>3128</v>
      </c>
      <c r="Z75" s="8" t="s">
        <v>3129</v>
      </c>
      <c r="AA75" s="8" t="s">
        <v>969</v>
      </c>
      <c r="AB75" s="8" t="s">
        <v>3130</v>
      </c>
      <c r="AC75" s="8" t="s">
        <v>969</v>
      </c>
      <c r="AD75" s="8" t="s">
        <v>969</v>
      </c>
      <c r="AE75" s="8" t="s">
        <v>969</v>
      </c>
      <c r="AF75" s="8" t="s">
        <v>969</v>
      </c>
      <c r="AG75" s="8">
        <v>104.0</v>
      </c>
      <c r="AH75" s="8">
        <v>330.0</v>
      </c>
      <c r="AI75" s="8">
        <v>382.0</v>
      </c>
      <c r="AJ75" s="8">
        <v>0.0</v>
      </c>
      <c r="AK75" s="8">
        <v>230.0</v>
      </c>
      <c r="AL75" s="8" t="s">
        <v>1110</v>
      </c>
      <c r="AM75" s="8" t="s">
        <v>981</v>
      </c>
      <c r="AN75" s="8" t="s">
        <v>1111</v>
      </c>
      <c r="AO75" s="8" t="s">
        <v>1013</v>
      </c>
      <c r="AP75" s="8" t="s">
        <v>969</v>
      </c>
      <c r="AQ75" s="8" t="s">
        <v>969</v>
      </c>
      <c r="AR75" s="8" t="s">
        <v>1014</v>
      </c>
      <c r="AS75" s="8" t="s">
        <v>1015</v>
      </c>
      <c r="AT75" s="8" t="s">
        <v>1055</v>
      </c>
      <c r="AU75" s="8">
        <v>2003.0</v>
      </c>
      <c r="AV75" s="8">
        <v>30.0</v>
      </c>
      <c r="AW75" s="8">
        <v>3.0</v>
      </c>
      <c r="AX75" s="8" t="s">
        <v>969</v>
      </c>
      <c r="AY75" s="8" t="s">
        <v>969</v>
      </c>
      <c r="AZ75" s="8" t="s">
        <v>969</v>
      </c>
      <c r="BA75" s="8" t="s">
        <v>969</v>
      </c>
      <c r="BB75" s="8">
        <v>401.0</v>
      </c>
      <c r="BC75" s="8">
        <v>417.0</v>
      </c>
      <c r="BD75" s="8" t="s">
        <v>969</v>
      </c>
      <c r="BE75" s="8" t="s">
        <v>623</v>
      </c>
      <c r="BF75" s="13" t="str">
        <f>HYPERLINK("http://dx.doi.org/10.1046/j.1365-2699.2003.00839.x","http://dx.doi.org/10.1046/j.1365-2699.2003.00839.x")</f>
        <v>http://dx.doi.org/10.1046/j.1365-2699.2003.00839.x</v>
      </c>
      <c r="BG75" s="8" t="s">
        <v>969</v>
      </c>
      <c r="BH75" s="8" t="s">
        <v>969</v>
      </c>
      <c r="BI75" s="8">
        <v>17.0</v>
      </c>
      <c r="BJ75" s="8" t="s">
        <v>1017</v>
      </c>
      <c r="BK75" s="8" t="s">
        <v>988</v>
      </c>
      <c r="BL75" s="8" t="s">
        <v>1018</v>
      </c>
      <c r="BM75" s="8" t="s">
        <v>3131</v>
      </c>
      <c r="BN75" s="8" t="s">
        <v>969</v>
      </c>
      <c r="BO75" s="8" t="s">
        <v>969</v>
      </c>
      <c r="BP75" s="8" t="s">
        <v>969</v>
      </c>
      <c r="BQ75" s="8" t="s">
        <v>969</v>
      </c>
      <c r="BR75" s="8" t="s">
        <v>2912</v>
      </c>
      <c r="BS75" s="8" t="s">
        <v>3132</v>
      </c>
      <c r="BT75" s="3" t="s">
        <v>3001</v>
      </c>
      <c r="BW75" s="8" t="s">
        <v>51</v>
      </c>
      <c r="BX75" s="3">
        <v>1.0</v>
      </c>
      <c r="BY75" s="8" t="str">
        <f>HYPERLINK("https%3A%2F%2Fwww.webofscience.com%2Fwos%2Fwoscc%2Ffull-record%2FWOS:000181739300008","View Full Record in Web of Science")</f>
        <v>View Full Record in Web of Science</v>
      </c>
    </row>
    <row r="76" ht="12.75" customHeight="1">
      <c r="A76" s="8" t="s">
        <v>967</v>
      </c>
      <c r="B76" s="8" t="s">
        <v>1118</v>
      </c>
      <c r="C76" s="8" t="s">
        <v>969</v>
      </c>
      <c r="D76" s="8" t="s">
        <v>969</v>
      </c>
      <c r="E76" s="8" t="s">
        <v>969</v>
      </c>
      <c r="F76" s="8" t="s">
        <v>1118</v>
      </c>
      <c r="G76" s="8" t="s">
        <v>969</v>
      </c>
      <c r="H76" s="8" t="s">
        <v>969</v>
      </c>
      <c r="I76" s="8" t="s">
        <v>1119</v>
      </c>
      <c r="J76" s="8" t="s">
        <v>1120</v>
      </c>
      <c r="K76" s="8" t="s">
        <v>969</v>
      </c>
      <c r="L76" s="8" t="s">
        <v>969</v>
      </c>
      <c r="M76" s="8" t="s">
        <v>972</v>
      </c>
      <c r="N76" s="8" t="s">
        <v>973</v>
      </c>
      <c r="O76" s="8" t="s">
        <v>969</v>
      </c>
      <c r="P76" s="8" t="s">
        <v>969</v>
      </c>
      <c r="Q76" s="8" t="s">
        <v>969</v>
      </c>
      <c r="R76" s="8" t="s">
        <v>969</v>
      </c>
      <c r="S76" s="8" t="s">
        <v>969</v>
      </c>
      <c r="T76" s="8" t="s">
        <v>1121</v>
      </c>
      <c r="U76" s="8" t="s">
        <v>1122</v>
      </c>
      <c r="V76" s="8" t="s">
        <v>1123</v>
      </c>
      <c r="W76" s="8" t="s">
        <v>1124</v>
      </c>
      <c r="X76" s="8" t="s">
        <v>1125</v>
      </c>
      <c r="Y76" s="8" t="s">
        <v>1126</v>
      </c>
      <c r="Z76" s="8" t="s">
        <v>1127</v>
      </c>
      <c r="AA76" s="8" t="s">
        <v>3133</v>
      </c>
      <c r="AB76" s="8" t="s">
        <v>3134</v>
      </c>
      <c r="AC76" s="8" t="s">
        <v>969</v>
      </c>
      <c r="AD76" s="8" t="s">
        <v>969</v>
      </c>
      <c r="AE76" s="8" t="s">
        <v>969</v>
      </c>
      <c r="AF76" s="8" t="s">
        <v>969</v>
      </c>
      <c r="AG76" s="8">
        <v>33.0</v>
      </c>
      <c r="AH76" s="8">
        <v>325.0</v>
      </c>
      <c r="AI76" s="8">
        <v>372.0</v>
      </c>
      <c r="AJ76" s="8">
        <v>1.0</v>
      </c>
      <c r="AK76" s="8">
        <v>155.0</v>
      </c>
      <c r="AL76" s="8" t="s">
        <v>1130</v>
      </c>
      <c r="AM76" s="8" t="s">
        <v>1071</v>
      </c>
      <c r="AN76" s="8" t="s">
        <v>1131</v>
      </c>
      <c r="AO76" s="8" t="s">
        <v>1132</v>
      </c>
      <c r="AP76" s="8" t="s">
        <v>1133</v>
      </c>
      <c r="AQ76" s="8" t="s">
        <v>969</v>
      </c>
      <c r="AR76" s="8" t="s">
        <v>1134</v>
      </c>
      <c r="AS76" s="8" t="s">
        <v>1135</v>
      </c>
      <c r="AT76" s="8" t="s">
        <v>1136</v>
      </c>
      <c r="AU76" s="8">
        <v>2002.0</v>
      </c>
      <c r="AV76" s="8">
        <v>269.0</v>
      </c>
      <c r="AW76" s="8">
        <v>1505.0</v>
      </c>
      <c r="AX76" s="8" t="s">
        <v>969</v>
      </c>
      <c r="AY76" s="8" t="s">
        <v>969</v>
      </c>
      <c r="AZ76" s="8" t="s">
        <v>969</v>
      </c>
      <c r="BA76" s="8" t="s">
        <v>969</v>
      </c>
      <c r="BB76" s="8">
        <v>2163.0</v>
      </c>
      <c r="BC76" s="8">
        <v>2171.0</v>
      </c>
      <c r="BD76" s="8" t="s">
        <v>969</v>
      </c>
      <c r="BE76" s="8" t="s">
        <v>656</v>
      </c>
      <c r="BF76" s="13" t="str">
        <f>HYPERLINK("http://dx.doi.org/10.1098/rspb.2002.2134","http://dx.doi.org/10.1098/rspb.2002.2134")</f>
        <v>http://dx.doi.org/10.1098/rspb.2002.2134</v>
      </c>
      <c r="BG76" s="8" t="s">
        <v>969</v>
      </c>
      <c r="BH76" s="8" t="s">
        <v>969</v>
      </c>
      <c r="BI76" s="8">
        <v>9.0</v>
      </c>
      <c r="BJ76" s="8" t="s">
        <v>1137</v>
      </c>
      <c r="BK76" s="8" t="s">
        <v>988</v>
      </c>
      <c r="BL76" s="8" t="s">
        <v>1138</v>
      </c>
      <c r="BM76" s="8" t="s">
        <v>1139</v>
      </c>
      <c r="BN76" s="8">
        <v>1.2396492E7</v>
      </c>
      <c r="BO76" s="8" t="s">
        <v>1140</v>
      </c>
      <c r="BP76" s="8" t="s">
        <v>969</v>
      </c>
      <c r="BQ76" s="8" t="s">
        <v>969</v>
      </c>
      <c r="BR76" s="8" t="s">
        <v>2912</v>
      </c>
      <c r="BS76" s="8" t="s">
        <v>1141</v>
      </c>
      <c r="BT76" s="3" t="s">
        <v>3001</v>
      </c>
      <c r="BW76" s="8" t="s">
        <v>33</v>
      </c>
      <c r="BX76" s="3">
        <v>1.0</v>
      </c>
      <c r="BY76" s="8" t="str">
        <f>HYPERLINK("https%3A%2F%2Fwww.webofscience.com%2Fwos%2Fwoscc%2Ffull-record%2FWOS:000178814700013","View Full Record in Web of Science")</f>
        <v>View Full Record in Web of Science</v>
      </c>
    </row>
    <row r="77" ht="12.75" customHeight="1">
      <c r="A77" s="8" t="s">
        <v>967</v>
      </c>
      <c r="B77" s="8" t="s">
        <v>1041</v>
      </c>
      <c r="C77" s="8" t="s">
        <v>969</v>
      </c>
      <c r="D77" s="8" t="s">
        <v>969</v>
      </c>
      <c r="E77" s="8" t="s">
        <v>969</v>
      </c>
      <c r="F77" s="8" t="s">
        <v>1041</v>
      </c>
      <c r="G77" s="8" t="s">
        <v>969</v>
      </c>
      <c r="H77" s="8" t="s">
        <v>969</v>
      </c>
      <c r="I77" s="8" t="s">
        <v>1042</v>
      </c>
      <c r="J77" s="8" t="s">
        <v>1043</v>
      </c>
      <c r="K77" s="8" t="s">
        <v>969</v>
      </c>
      <c r="L77" s="8" t="s">
        <v>969</v>
      </c>
      <c r="M77" s="8" t="s">
        <v>972</v>
      </c>
      <c r="N77" s="8" t="s">
        <v>973</v>
      </c>
      <c r="O77" s="8" t="s">
        <v>969</v>
      </c>
      <c r="P77" s="8" t="s">
        <v>969</v>
      </c>
      <c r="Q77" s="8" t="s">
        <v>969</v>
      </c>
      <c r="R77" s="8" t="s">
        <v>969</v>
      </c>
      <c r="S77" s="8" t="s">
        <v>969</v>
      </c>
      <c r="T77" s="8" t="s">
        <v>1044</v>
      </c>
      <c r="U77" s="8" t="s">
        <v>1045</v>
      </c>
      <c r="V77" s="8" t="s">
        <v>1046</v>
      </c>
      <c r="W77" s="8" t="s">
        <v>1047</v>
      </c>
      <c r="X77" s="8" t="s">
        <v>1048</v>
      </c>
      <c r="Y77" s="8" t="s">
        <v>1049</v>
      </c>
      <c r="Z77" s="8" t="s">
        <v>969</v>
      </c>
      <c r="AA77" s="8" t="s">
        <v>1050</v>
      </c>
      <c r="AB77" s="8" t="s">
        <v>1051</v>
      </c>
      <c r="AC77" s="8" t="s">
        <v>969</v>
      </c>
      <c r="AD77" s="8" t="s">
        <v>969</v>
      </c>
      <c r="AE77" s="8" t="s">
        <v>969</v>
      </c>
      <c r="AF77" s="8" t="s">
        <v>969</v>
      </c>
      <c r="AG77" s="8">
        <v>72.0</v>
      </c>
      <c r="AH77" s="8">
        <v>260.0</v>
      </c>
      <c r="AI77" s="8">
        <v>311.0</v>
      </c>
      <c r="AJ77" s="8">
        <v>1.0</v>
      </c>
      <c r="AK77" s="8">
        <v>159.0</v>
      </c>
      <c r="AL77" s="8" t="s">
        <v>980</v>
      </c>
      <c r="AM77" s="8" t="s">
        <v>981</v>
      </c>
      <c r="AN77" s="8" t="s">
        <v>982</v>
      </c>
      <c r="AO77" s="8" t="s">
        <v>1052</v>
      </c>
      <c r="AP77" s="8" t="s">
        <v>969</v>
      </c>
      <c r="AQ77" s="8" t="s">
        <v>969</v>
      </c>
      <c r="AR77" s="8" t="s">
        <v>1053</v>
      </c>
      <c r="AS77" s="8" t="s">
        <v>1054</v>
      </c>
      <c r="AT77" s="8" t="s">
        <v>1055</v>
      </c>
      <c r="AU77" s="8">
        <v>2001.0</v>
      </c>
      <c r="AV77" s="8">
        <v>70.0</v>
      </c>
      <c r="AW77" s="8">
        <v>2.0</v>
      </c>
      <c r="AX77" s="8" t="s">
        <v>969</v>
      </c>
      <c r="AY77" s="8" t="s">
        <v>969</v>
      </c>
      <c r="AZ77" s="8" t="s">
        <v>969</v>
      </c>
      <c r="BA77" s="8" t="s">
        <v>969</v>
      </c>
      <c r="BB77" s="8">
        <v>201.0</v>
      </c>
      <c r="BC77" s="8">
        <v>217.0</v>
      </c>
      <c r="BD77" s="8" t="s">
        <v>969</v>
      </c>
      <c r="BE77" s="8" t="s">
        <v>617</v>
      </c>
      <c r="BF77" s="13" t="str">
        <f>HYPERLINK("http://dx.doi.org/10.1046/j.1365-2656.2001.00480.x","http://dx.doi.org/10.1046/j.1365-2656.2001.00480.x")</f>
        <v>http://dx.doi.org/10.1046/j.1365-2656.2001.00480.x</v>
      </c>
      <c r="BG77" s="8" t="s">
        <v>969</v>
      </c>
      <c r="BH77" s="8" t="s">
        <v>969</v>
      </c>
      <c r="BI77" s="8">
        <v>17.0</v>
      </c>
      <c r="BJ77" s="8" t="s">
        <v>1056</v>
      </c>
      <c r="BK77" s="8" t="s">
        <v>988</v>
      </c>
      <c r="BL77" s="8" t="s">
        <v>1057</v>
      </c>
      <c r="BM77" s="8" t="s">
        <v>1058</v>
      </c>
      <c r="BN77" s="8" t="s">
        <v>969</v>
      </c>
      <c r="BO77" s="8" t="s">
        <v>969</v>
      </c>
      <c r="BP77" s="8" t="s">
        <v>969</v>
      </c>
      <c r="BQ77" s="8" t="s">
        <v>969</v>
      </c>
      <c r="BR77" s="8" t="s">
        <v>2912</v>
      </c>
      <c r="BS77" s="8" t="s">
        <v>1059</v>
      </c>
      <c r="BT77" s="3" t="s">
        <v>3001</v>
      </c>
      <c r="BW77" s="8" t="s">
        <v>33</v>
      </c>
      <c r="BX77" s="3">
        <v>1.0</v>
      </c>
      <c r="BY77" s="8" t="str">
        <f>HYPERLINK("https%3A%2F%2Fwww.webofscience.com%2Fwos%2Fwoscc%2Ffull-record%2FWOS:000169014300004","View Full Record in Web of Science")</f>
        <v>View Full Record in Web of Science</v>
      </c>
    </row>
    <row r="78" ht="12.75" customHeight="1">
      <c r="A78" s="8" t="s">
        <v>967</v>
      </c>
      <c r="B78" s="8" t="s">
        <v>998</v>
      </c>
      <c r="C78" s="8" t="s">
        <v>969</v>
      </c>
      <c r="D78" s="8" t="s">
        <v>969</v>
      </c>
      <c r="E78" s="8" t="s">
        <v>969</v>
      </c>
      <c r="F78" s="8" t="s">
        <v>998</v>
      </c>
      <c r="G78" s="8" t="s">
        <v>969</v>
      </c>
      <c r="H78" s="8" t="s">
        <v>969</v>
      </c>
      <c r="I78" s="8" t="s">
        <v>999</v>
      </c>
      <c r="J78" s="8" t="s">
        <v>1000</v>
      </c>
      <c r="K78" s="8" t="s">
        <v>969</v>
      </c>
      <c r="L78" s="8" t="s">
        <v>969</v>
      </c>
      <c r="M78" s="8" t="s">
        <v>972</v>
      </c>
      <c r="N78" s="8" t="s">
        <v>973</v>
      </c>
      <c r="O78" s="8" t="s">
        <v>969</v>
      </c>
      <c r="P78" s="8" t="s">
        <v>969</v>
      </c>
      <c r="Q78" s="8" t="s">
        <v>969</v>
      </c>
      <c r="R78" s="8" t="s">
        <v>969</v>
      </c>
      <c r="S78" s="8" t="s">
        <v>969</v>
      </c>
      <c r="T78" s="8" t="s">
        <v>1001</v>
      </c>
      <c r="U78" s="8" t="s">
        <v>1002</v>
      </c>
      <c r="V78" s="8" t="s">
        <v>1003</v>
      </c>
      <c r="W78" s="8" t="s">
        <v>1004</v>
      </c>
      <c r="X78" s="8" t="s">
        <v>1005</v>
      </c>
      <c r="Y78" s="8" t="s">
        <v>1006</v>
      </c>
      <c r="Z78" s="8" t="s">
        <v>1007</v>
      </c>
      <c r="AA78" s="8" t="s">
        <v>3135</v>
      </c>
      <c r="AB78" s="8" t="s">
        <v>3136</v>
      </c>
      <c r="AC78" s="8" t="s">
        <v>969</v>
      </c>
      <c r="AD78" s="8" t="s">
        <v>969</v>
      </c>
      <c r="AE78" s="8" t="s">
        <v>969</v>
      </c>
      <c r="AF78" s="8" t="s">
        <v>969</v>
      </c>
      <c r="AG78" s="8">
        <v>93.0</v>
      </c>
      <c r="AH78" s="8">
        <v>55.0</v>
      </c>
      <c r="AI78" s="8">
        <v>60.0</v>
      </c>
      <c r="AJ78" s="8">
        <v>1.0</v>
      </c>
      <c r="AK78" s="8">
        <v>30.0</v>
      </c>
      <c r="AL78" s="8" t="s">
        <v>1010</v>
      </c>
      <c r="AM78" s="8" t="s">
        <v>1011</v>
      </c>
      <c r="AN78" s="8" t="s">
        <v>1012</v>
      </c>
      <c r="AO78" s="8" t="s">
        <v>1013</v>
      </c>
      <c r="AP78" s="8" t="s">
        <v>969</v>
      </c>
      <c r="AQ78" s="8" t="s">
        <v>969</v>
      </c>
      <c r="AR78" s="8" t="s">
        <v>1014</v>
      </c>
      <c r="AS78" s="8" t="s">
        <v>1015</v>
      </c>
      <c r="AT78" s="8" t="s">
        <v>1016</v>
      </c>
      <c r="AU78" s="8">
        <v>1998.0</v>
      </c>
      <c r="AV78" s="8">
        <v>25.0</v>
      </c>
      <c r="AW78" s="8">
        <v>1.0</v>
      </c>
      <c r="AX78" s="8" t="s">
        <v>969</v>
      </c>
      <c r="AY78" s="8" t="s">
        <v>969</v>
      </c>
      <c r="AZ78" s="8" t="s">
        <v>969</v>
      </c>
      <c r="BA78" s="8" t="s">
        <v>969</v>
      </c>
      <c r="BB78" s="8">
        <v>111.0</v>
      </c>
      <c r="BC78" s="8">
        <v>122.0</v>
      </c>
      <c r="BD78" s="8" t="s">
        <v>969</v>
      </c>
      <c r="BE78" s="8" t="s">
        <v>620</v>
      </c>
      <c r="BF78" s="13" t="str">
        <f>HYPERLINK("http://dx.doi.org/10.1046/j.1365-2699.1998.251192.x","http://dx.doi.org/10.1046/j.1365-2699.1998.251192.x")</f>
        <v>http://dx.doi.org/10.1046/j.1365-2699.1998.251192.x</v>
      </c>
      <c r="BG78" s="8" t="s">
        <v>969</v>
      </c>
      <c r="BH78" s="8" t="s">
        <v>969</v>
      </c>
      <c r="BI78" s="8">
        <v>12.0</v>
      </c>
      <c r="BJ78" s="8" t="s">
        <v>1017</v>
      </c>
      <c r="BK78" s="8" t="s">
        <v>988</v>
      </c>
      <c r="BL78" s="8" t="s">
        <v>1018</v>
      </c>
      <c r="BM78" s="8" t="s">
        <v>1019</v>
      </c>
      <c r="BN78" s="8" t="s">
        <v>969</v>
      </c>
      <c r="BO78" s="8" t="s">
        <v>969</v>
      </c>
      <c r="BP78" s="8" t="s">
        <v>969</v>
      </c>
      <c r="BQ78" s="8" t="s">
        <v>969</v>
      </c>
      <c r="BR78" s="8" t="s">
        <v>2912</v>
      </c>
      <c r="BS78" s="8" t="s">
        <v>1020</v>
      </c>
      <c r="BT78" s="3" t="s">
        <v>3001</v>
      </c>
      <c r="BW78" s="8" t="s">
        <v>51</v>
      </c>
      <c r="BX78" s="3">
        <v>1.0</v>
      </c>
      <c r="BY78" s="8" t="str">
        <f>HYPERLINK("https%3A%2F%2Fwww.webofscience.com%2Fwos%2Fwoscc%2Ffull-record%2FWOS:000073382800011","View Full Record in Web of Science")</f>
        <v>View Full Record in Web of Science</v>
      </c>
    </row>
    <row r="79" ht="12.75" customHeight="1">
      <c r="A79" s="8" t="s">
        <v>967</v>
      </c>
      <c r="B79" s="8" t="s">
        <v>2840</v>
      </c>
      <c r="C79" s="8" t="s">
        <v>969</v>
      </c>
      <c r="D79" s="8" t="s">
        <v>969</v>
      </c>
      <c r="E79" s="8" t="s">
        <v>969</v>
      </c>
      <c r="F79" s="8" t="s">
        <v>2840</v>
      </c>
      <c r="G79" s="8" t="s">
        <v>969</v>
      </c>
      <c r="H79" s="8" t="s">
        <v>969</v>
      </c>
      <c r="I79" s="8" t="s">
        <v>2841</v>
      </c>
      <c r="J79" s="8" t="s">
        <v>1000</v>
      </c>
      <c r="K79" s="8" t="s">
        <v>969</v>
      </c>
      <c r="L79" s="8" t="s">
        <v>969</v>
      </c>
      <c r="M79" s="8" t="s">
        <v>972</v>
      </c>
      <c r="N79" s="8" t="s">
        <v>973</v>
      </c>
      <c r="O79" s="8" t="s">
        <v>969</v>
      </c>
      <c r="P79" s="8" t="s">
        <v>969</v>
      </c>
      <c r="Q79" s="8" t="s">
        <v>969</v>
      </c>
      <c r="R79" s="8" t="s">
        <v>969</v>
      </c>
      <c r="S79" s="8" t="s">
        <v>969</v>
      </c>
      <c r="T79" s="8" t="s">
        <v>2842</v>
      </c>
      <c r="U79" s="8" t="s">
        <v>2843</v>
      </c>
      <c r="V79" s="8" t="s">
        <v>2844</v>
      </c>
      <c r="W79" s="8" t="s">
        <v>2845</v>
      </c>
      <c r="X79" s="8" t="s">
        <v>2846</v>
      </c>
      <c r="Y79" s="8" t="s">
        <v>2847</v>
      </c>
      <c r="Z79" s="8" t="s">
        <v>969</v>
      </c>
      <c r="AA79" s="8" t="s">
        <v>2848</v>
      </c>
      <c r="AB79" s="8" t="s">
        <v>2849</v>
      </c>
      <c r="AC79" s="8" t="s">
        <v>969</v>
      </c>
      <c r="AD79" s="8" t="s">
        <v>969</v>
      </c>
      <c r="AE79" s="8" t="s">
        <v>969</v>
      </c>
      <c r="AF79" s="8" t="s">
        <v>969</v>
      </c>
      <c r="AG79" s="8">
        <v>88.0</v>
      </c>
      <c r="AH79" s="8">
        <v>308.0</v>
      </c>
      <c r="AI79" s="8">
        <v>344.0</v>
      </c>
      <c r="AJ79" s="8">
        <v>0.0</v>
      </c>
      <c r="AK79" s="8">
        <v>88.0</v>
      </c>
      <c r="AL79" s="8" t="s">
        <v>1091</v>
      </c>
      <c r="AM79" s="8" t="s">
        <v>1092</v>
      </c>
      <c r="AN79" s="8" t="s">
        <v>1093</v>
      </c>
      <c r="AO79" s="8" t="s">
        <v>1013</v>
      </c>
      <c r="AP79" s="8" t="s">
        <v>2602</v>
      </c>
      <c r="AQ79" s="8" t="s">
        <v>969</v>
      </c>
      <c r="AR79" s="8" t="s">
        <v>1014</v>
      </c>
      <c r="AS79" s="8" t="s">
        <v>1015</v>
      </c>
      <c r="AT79" s="8" t="s">
        <v>1163</v>
      </c>
      <c r="AU79" s="8">
        <v>1995.0</v>
      </c>
      <c r="AV79" s="8">
        <v>22.0</v>
      </c>
      <c r="AW79" s="8">
        <v>6.0</v>
      </c>
      <c r="AX79" s="8" t="s">
        <v>969</v>
      </c>
      <c r="AY79" s="8" t="s">
        <v>969</v>
      </c>
      <c r="AZ79" s="8" t="s">
        <v>969</v>
      </c>
      <c r="BA79" s="8" t="s">
        <v>969</v>
      </c>
      <c r="BB79" s="8">
        <v>967.0</v>
      </c>
      <c r="BC79" s="8">
        <v>1001.0</v>
      </c>
      <c r="BD79" s="8" t="s">
        <v>969</v>
      </c>
      <c r="BE79" s="8" t="s">
        <v>842</v>
      </c>
      <c r="BF79" s="13" t="str">
        <f>HYPERLINK("http://dx.doi.org/10.2307/2845830","http://dx.doi.org/10.2307/2845830")</f>
        <v>http://dx.doi.org/10.2307/2845830</v>
      </c>
      <c r="BG79" s="8" t="s">
        <v>969</v>
      </c>
      <c r="BH79" s="8" t="s">
        <v>969</v>
      </c>
      <c r="BI79" s="8">
        <v>35.0</v>
      </c>
      <c r="BJ79" s="8" t="s">
        <v>1017</v>
      </c>
      <c r="BK79" s="8" t="s">
        <v>988</v>
      </c>
      <c r="BL79" s="8" t="s">
        <v>1018</v>
      </c>
      <c r="BM79" s="8" t="s">
        <v>2850</v>
      </c>
      <c r="BN79" s="8" t="s">
        <v>969</v>
      </c>
      <c r="BO79" s="8" t="s">
        <v>969</v>
      </c>
      <c r="BP79" s="8" t="s">
        <v>969</v>
      </c>
      <c r="BQ79" s="8" t="s">
        <v>969</v>
      </c>
      <c r="BR79" s="8" t="s">
        <v>2912</v>
      </c>
      <c r="BS79" s="8" t="s">
        <v>2851</v>
      </c>
      <c r="BT79" s="3" t="s">
        <v>3001</v>
      </c>
      <c r="BW79" s="8" t="s">
        <v>51</v>
      </c>
      <c r="BX79" s="3">
        <v>1.0</v>
      </c>
      <c r="BY79" s="8" t="str">
        <f>HYPERLINK("https%3A%2F%2Fwww.webofscience.com%2Fwos%2Fwoscc%2Ffull-record%2FWOS:A1995UL12900002","View Full Record in Web of Science")</f>
        <v>View Full Record in Web of Science</v>
      </c>
    </row>
    <row r="80" ht="12.75" customHeight="1">
      <c r="A80" s="8" t="s">
        <v>967</v>
      </c>
      <c r="B80" s="8" t="s">
        <v>2659</v>
      </c>
      <c r="C80" s="8" t="s">
        <v>969</v>
      </c>
      <c r="D80" s="8" t="s">
        <v>969</v>
      </c>
      <c r="E80" s="8" t="s">
        <v>969</v>
      </c>
      <c r="F80" s="8" t="s">
        <v>2660</v>
      </c>
      <c r="G80" s="8" t="s">
        <v>969</v>
      </c>
      <c r="H80" s="8" t="s">
        <v>969</v>
      </c>
      <c r="I80" s="8" t="s">
        <v>2661</v>
      </c>
      <c r="J80" s="8" t="s">
        <v>1974</v>
      </c>
      <c r="K80" s="8" t="s">
        <v>969</v>
      </c>
      <c r="L80" s="8" t="s">
        <v>969</v>
      </c>
      <c r="M80" s="8" t="s">
        <v>972</v>
      </c>
      <c r="N80" s="8" t="s">
        <v>973</v>
      </c>
      <c r="O80" s="8" t="s">
        <v>969</v>
      </c>
      <c r="P80" s="8" t="s">
        <v>969</v>
      </c>
      <c r="Q80" s="8" t="s">
        <v>969</v>
      </c>
      <c r="R80" s="8" t="s">
        <v>969</v>
      </c>
      <c r="S80" s="8" t="s">
        <v>969</v>
      </c>
      <c r="T80" s="8" t="s">
        <v>969</v>
      </c>
      <c r="U80" s="8" t="s">
        <v>2662</v>
      </c>
      <c r="V80" s="8" t="s">
        <v>2663</v>
      </c>
      <c r="W80" s="8" t="s">
        <v>2664</v>
      </c>
      <c r="X80" s="8" t="s">
        <v>2665</v>
      </c>
      <c r="Y80" s="8" t="s">
        <v>2666</v>
      </c>
      <c r="Z80" s="8" t="s">
        <v>2667</v>
      </c>
      <c r="AA80" s="8" t="s">
        <v>2668</v>
      </c>
      <c r="AB80" s="8" t="s">
        <v>969</v>
      </c>
      <c r="AC80" s="8" t="s">
        <v>2669</v>
      </c>
      <c r="AD80" s="8" t="s">
        <v>2669</v>
      </c>
      <c r="AE80" s="8" t="s">
        <v>2670</v>
      </c>
      <c r="AF80" s="8" t="s">
        <v>969</v>
      </c>
      <c r="AG80" s="8">
        <v>30.0</v>
      </c>
      <c r="AH80" s="8">
        <v>127.0</v>
      </c>
      <c r="AI80" s="8">
        <v>151.0</v>
      </c>
      <c r="AJ80" s="8">
        <v>1.0</v>
      </c>
      <c r="AK80" s="8">
        <v>92.0</v>
      </c>
      <c r="AL80" s="8" t="s">
        <v>1985</v>
      </c>
      <c r="AM80" s="8" t="s">
        <v>1986</v>
      </c>
      <c r="AN80" s="8" t="s">
        <v>1987</v>
      </c>
      <c r="AO80" s="8" t="s">
        <v>1988</v>
      </c>
      <c r="AP80" s="8" t="s">
        <v>969</v>
      </c>
      <c r="AQ80" s="8" t="s">
        <v>969</v>
      </c>
      <c r="AR80" s="8" t="s">
        <v>1974</v>
      </c>
      <c r="AS80" s="8" t="s">
        <v>1989</v>
      </c>
      <c r="AT80" s="8" t="s">
        <v>2671</v>
      </c>
      <c r="AU80" s="8">
        <v>2013.0</v>
      </c>
      <c r="AV80" s="8">
        <v>8.0</v>
      </c>
      <c r="AW80" s="8">
        <v>5.0</v>
      </c>
      <c r="AX80" s="8" t="s">
        <v>969</v>
      </c>
      <c r="AY80" s="8" t="s">
        <v>969</v>
      </c>
      <c r="AZ80" s="8" t="s">
        <v>969</v>
      </c>
      <c r="BA80" s="8" t="s">
        <v>969</v>
      </c>
      <c r="BB80" s="8" t="s">
        <v>969</v>
      </c>
      <c r="BC80" s="8" t="s">
        <v>969</v>
      </c>
      <c r="BD80" s="8" t="s">
        <v>2672</v>
      </c>
      <c r="BE80" s="8" t="s">
        <v>824</v>
      </c>
      <c r="BF80" s="13" t="str">
        <f>HYPERLINK("http://dx.doi.org/10.1371/journal.pone.0063883","http://dx.doi.org/10.1371/journal.pone.0063883")</f>
        <v>http://dx.doi.org/10.1371/journal.pone.0063883</v>
      </c>
      <c r="BG80" s="8" t="s">
        <v>969</v>
      </c>
      <c r="BH80" s="8" t="s">
        <v>969</v>
      </c>
      <c r="BI80" s="8">
        <v>12.0</v>
      </c>
      <c r="BJ80" s="8" t="s">
        <v>1076</v>
      </c>
      <c r="BK80" s="8" t="s">
        <v>988</v>
      </c>
      <c r="BL80" s="8" t="s">
        <v>1077</v>
      </c>
      <c r="BM80" s="8" t="s">
        <v>2673</v>
      </c>
      <c r="BN80" s="8">
        <v>2.3717503E7</v>
      </c>
      <c r="BO80" s="8" t="s">
        <v>1140</v>
      </c>
      <c r="BP80" s="8" t="s">
        <v>969</v>
      </c>
      <c r="BQ80" s="8" t="s">
        <v>969</v>
      </c>
      <c r="BR80" s="8" t="s">
        <v>2912</v>
      </c>
      <c r="BS80" s="8" t="s">
        <v>2674</v>
      </c>
      <c r="BT80" s="3" t="s">
        <v>3137</v>
      </c>
      <c r="BU80" s="3" t="s">
        <v>66</v>
      </c>
      <c r="BW80" s="8" t="s">
        <v>67</v>
      </c>
      <c r="BX80" s="3">
        <v>1.0</v>
      </c>
      <c r="BY80" s="8" t="str">
        <f>HYPERLINK("https%3A%2F%2Fwww.webofscience.com%2Fwos%2Fwoscc%2Ffull-record%2FWOS:000320362700075","View Full Record in Web of Science")</f>
        <v>View Full Record in Web of Science</v>
      </c>
    </row>
    <row r="81" ht="12.75" customHeight="1">
      <c r="A81" s="8" t="s">
        <v>967</v>
      </c>
      <c r="B81" s="8" t="s">
        <v>2477</v>
      </c>
      <c r="C81" s="8" t="s">
        <v>969</v>
      </c>
      <c r="D81" s="8" t="s">
        <v>969</v>
      </c>
      <c r="E81" s="8" t="s">
        <v>969</v>
      </c>
      <c r="F81" s="8" t="s">
        <v>2478</v>
      </c>
      <c r="G81" s="8" t="s">
        <v>969</v>
      </c>
      <c r="H81" s="8" t="s">
        <v>969</v>
      </c>
      <c r="I81" s="8" t="s">
        <v>2479</v>
      </c>
      <c r="J81" s="8" t="s">
        <v>1974</v>
      </c>
      <c r="K81" s="8" t="s">
        <v>969</v>
      </c>
      <c r="L81" s="8" t="s">
        <v>969</v>
      </c>
      <c r="M81" s="8" t="s">
        <v>972</v>
      </c>
      <c r="N81" s="8" t="s">
        <v>973</v>
      </c>
      <c r="O81" s="8" t="s">
        <v>969</v>
      </c>
      <c r="P81" s="8" t="s">
        <v>969</v>
      </c>
      <c r="Q81" s="8" t="s">
        <v>969</v>
      </c>
      <c r="R81" s="8" t="s">
        <v>969</v>
      </c>
      <c r="S81" s="8" t="s">
        <v>969</v>
      </c>
      <c r="T81" s="8" t="s">
        <v>969</v>
      </c>
      <c r="U81" s="8" t="s">
        <v>2480</v>
      </c>
      <c r="V81" s="8" t="s">
        <v>2481</v>
      </c>
      <c r="W81" s="8" t="s">
        <v>2482</v>
      </c>
      <c r="X81" s="8" t="s">
        <v>969</v>
      </c>
      <c r="Y81" s="8" t="s">
        <v>2483</v>
      </c>
      <c r="Z81" s="8" t="s">
        <v>2484</v>
      </c>
      <c r="AA81" s="8" t="s">
        <v>969</v>
      </c>
      <c r="AB81" s="8" t="s">
        <v>969</v>
      </c>
      <c r="AC81" s="8" t="s">
        <v>969</v>
      </c>
      <c r="AD81" s="8" t="s">
        <v>969</v>
      </c>
      <c r="AE81" s="8" t="s">
        <v>969</v>
      </c>
      <c r="AF81" s="8" t="s">
        <v>969</v>
      </c>
      <c r="AG81" s="8">
        <v>55.0</v>
      </c>
      <c r="AH81" s="8">
        <v>99.0</v>
      </c>
      <c r="AI81" s="8">
        <v>118.0</v>
      </c>
      <c r="AJ81" s="8">
        <v>1.0</v>
      </c>
      <c r="AK81" s="8">
        <v>102.0</v>
      </c>
      <c r="AL81" s="8" t="s">
        <v>1985</v>
      </c>
      <c r="AM81" s="8" t="s">
        <v>1986</v>
      </c>
      <c r="AN81" s="8" t="s">
        <v>1987</v>
      </c>
      <c r="AO81" s="8" t="s">
        <v>1988</v>
      </c>
      <c r="AP81" s="8" t="s">
        <v>969</v>
      </c>
      <c r="AQ81" s="8" t="s">
        <v>969</v>
      </c>
      <c r="AR81" s="8" t="s">
        <v>1974</v>
      </c>
      <c r="AS81" s="8" t="s">
        <v>1989</v>
      </c>
      <c r="AT81" s="8" t="s">
        <v>2485</v>
      </c>
      <c r="AU81" s="8">
        <v>2012.0</v>
      </c>
      <c r="AV81" s="8">
        <v>7.0</v>
      </c>
      <c r="AW81" s="8">
        <v>3.0</v>
      </c>
      <c r="AX81" s="8" t="s">
        <v>969</v>
      </c>
      <c r="AY81" s="8" t="s">
        <v>969</v>
      </c>
      <c r="AZ81" s="8" t="s">
        <v>969</v>
      </c>
      <c r="BA81" s="8" t="s">
        <v>969</v>
      </c>
      <c r="BB81" s="8" t="s">
        <v>969</v>
      </c>
      <c r="BC81" s="8" t="s">
        <v>969</v>
      </c>
      <c r="BD81" s="8" t="s">
        <v>2486</v>
      </c>
      <c r="BE81" s="8" t="s">
        <v>815</v>
      </c>
      <c r="BF81" s="13" t="str">
        <f>HYPERLINK("http://dx.doi.org/10.1371/journal.pone.0029507","http://dx.doi.org/10.1371/journal.pone.0029507")</f>
        <v>http://dx.doi.org/10.1371/journal.pone.0029507</v>
      </c>
      <c r="BG81" s="8" t="s">
        <v>969</v>
      </c>
      <c r="BH81" s="8" t="s">
        <v>969</v>
      </c>
      <c r="BI81" s="8">
        <v>13.0</v>
      </c>
      <c r="BJ81" s="8" t="s">
        <v>1076</v>
      </c>
      <c r="BK81" s="8" t="s">
        <v>988</v>
      </c>
      <c r="BL81" s="8" t="s">
        <v>1077</v>
      </c>
      <c r="BM81" s="8" t="s">
        <v>2487</v>
      </c>
      <c r="BN81" s="8">
        <v>2.2396726E7</v>
      </c>
      <c r="BO81" s="8" t="s">
        <v>1140</v>
      </c>
      <c r="BP81" s="8" t="s">
        <v>969</v>
      </c>
      <c r="BQ81" s="8" t="s">
        <v>969</v>
      </c>
      <c r="BR81" s="8" t="s">
        <v>2912</v>
      </c>
      <c r="BS81" s="8" t="s">
        <v>2488</v>
      </c>
      <c r="BT81" s="3" t="s">
        <v>3137</v>
      </c>
      <c r="BU81" s="3" t="s">
        <v>66</v>
      </c>
      <c r="BW81" s="8" t="s">
        <v>81</v>
      </c>
      <c r="BX81" s="3">
        <v>1.0</v>
      </c>
      <c r="BY81" s="8" t="str">
        <f>HYPERLINK("https%3A%2F%2Fwww.webofscience.com%2Fwos%2Fwoscc%2Ffull-record%2FWOS:000303006500001","View Full Record in Web of Science")</f>
        <v>View Full Record in Web of Science</v>
      </c>
    </row>
    <row r="82" ht="12.75" customHeight="1">
      <c r="A82" s="8" t="s">
        <v>967</v>
      </c>
      <c r="B82" s="8" t="s">
        <v>2377</v>
      </c>
      <c r="C82" s="8" t="s">
        <v>969</v>
      </c>
      <c r="D82" s="8" t="s">
        <v>969</v>
      </c>
      <c r="E82" s="8" t="s">
        <v>969</v>
      </c>
      <c r="F82" s="8" t="s">
        <v>2378</v>
      </c>
      <c r="G82" s="8" t="s">
        <v>969</v>
      </c>
      <c r="H82" s="8" t="s">
        <v>969</v>
      </c>
      <c r="I82" s="8" t="s">
        <v>2379</v>
      </c>
      <c r="J82" s="8" t="s">
        <v>2380</v>
      </c>
      <c r="K82" s="8" t="s">
        <v>969</v>
      </c>
      <c r="L82" s="8" t="s">
        <v>969</v>
      </c>
      <c r="M82" s="8" t="s">
        <v>972</v>
      </c>
      <c r="N82" s="8" t="s">
        <v>973</v>
      </c>
      <c r="O82" s="8" t="s">
        <v>969</v>
      </c>
      <c r="P82" s="8" t="s">
        <v>969</v>
      </c>
      <c r="Q82" s="8" t="s">
        <v>969</v>
      </c>
      <c r="R82" s="8" t="s">
        <v>969</v>
      </c>
      <c r="S82" s="8" t="s">
        <v>969</v>
      </c>
      <c r="T82" s="8" t="s">
        <v>2381</v>
      </c>
      <c r="U82" s="8" t="s">
        <v>2382</v>
      </c>
      <c r="V82" s="8" t="s">
        <v>2383</v>
      </c>
      <c r="W82" s="8" t="s">
        <v>2384</v>
      </c>
      <c r="X82" s="8" t="s">
        <v>2385</v>
      </c>
      <c r="Y82" s="8" t="s">
        <v>2386</v>
      </c>
      <c r="Z82" s="8" t="s">
        <v>2387</v>
      </c>
      <c r="AA82" s="8" t="s">
        <v>3138</v>
      </c>
      <c r="AB82" s="8" t="s">
        <v>3139</v>
      </c>
      <c r="AC82" s="8" t="s">
        <v>2390</v>
      </c>
      <c r="AD82" s="8" t="s">
        <v>2391</v>
      </c>
      <c r="AE82" s="8" t="s">
        <v>2392</v>
      </c>
      <c r="AF82" s="8" t="s">
        <v>969</v>
      </c>
      <c r="AG82" s="8">
        <v>47.0</v>
      </c>
      <c r="AH82" s="8">
        <v>120.0</v>
      </c>
      <c r="AI82" s="8">
        <v>135.0</v>
      </c>
      <c r="AJ82" s="8">
        <v>2.0</v>
      </c>
      <c r="AK82" s="8">
        <v>151.0</v>
      </c>
      <c r="AL82" s="8" t="s">
        <v>1091</v>
      </c>
      <c r="AM82" s="8" t="s">
        <v>1092</v>
      </c>
      <c r="AN82" s="8" t="s">
        <v>1093</v>
      </c>
      <c r="AO82" s="8" t="s">
        <v>2393</v>
      </c>
      <c r="AP82" s="8" t="s">
        <v>2394</v>
      </c>
      <c r="AQ82" s="8" t="s">
        <v>969</v>
      </c>
      <c r="AR82" s="8" t="s">
        <v>2395</v>
      </c>
      <c r="AS82" s="8" t="s">
        <v>2396</v>
      </c>
      <c r="AT82" s="8" t="s">
        <v>1163</v>
      </c>
      <c r="AU82" s="8">
        <v>2011.0</v>
      </c>
      <c r="AV82" s="8">
        <v>14.0</v>
      </c>
      <c r="AW82" s="8">
        <v>11.0</v>
      </c>
      <c r="AX82" s="8" t="s">
        <v>969</v>
      </c>
      <c r="AY82" s="8" t="s">
        <v>969</v>
      </c>
      <c r="AZ82" s="8" t="s">
        <v>969</v>
      </c>
      <c r="BA82" s="8" t="s">
        <v>969</v>
      </c>
      <c r="BB82" s="8">
        <v>1125.0</v>
      </c>
      <c r="BC82" s="8">
        <v>1133.0</v>
      </c>
      <c r="BD82" s="8" t="s">
        <v>969</v>
      </c>
      <c r="BE82" s="8" t="s">
        <v>749</v>
      </c>
      <c r="BF82" s="13" t="str">
        <f>HYPERLINK("http://dx.doi.org/10.1111/j.1461-0248.2011.01681.x","http://dx.doi.org/10.1111/j.1461-0248.2011.01681.x")</f>
        <v>http://dx.doi.org/10.1111/j.1461-0248.2011.01681.x</v>
      </c>
      <c r="BG82" s="8" t="s">
        <v>969</v>
      </c>
      <c r="BH82" s="8" t="s">
        <v>969</v>
      </c>
      <c r="BI82" s="8">
        <v>9.0</v>
      </c>
      <c r="BJ82" s="8" t="s">
        <v>1267</v>
      </c>
      <c r="BK82" s="8" t="s">
        <v>988</v>
      </c>
      <c r="BL82" s="8" t="s">
        <v>1268</v>
      </c>
      <c r="BM82" s="8" t="s">
        <v>2397</v>
      </c>
      <c r="BN82" s="8">
        <v>2.1955643E7</v>
      </c>
      <c r="BO82" s="8" t="s">
        <v>969</v>
      </c>
      <c r="BP82" s="8" t="s">
        <v>969</v>
      </c>
      <c r="BQ82" s="8" t="s">
        <v>969</v>
      </c>
      <c r="BR82" s="8" t="s">
        <v>2912</v>
      </c>
      <c r="BS82" s="8" t="s">
        <v>2398</v>
      </c>
      <c r="BT82" s="3" t="s">
        <v>3137</v>
      </c>
      <c r="BU82" s="3" t="s">
        <v>66</v>
      </c>
      <c r="BW82" s="8" t="s">
        <v>240</v>
      </c>
      <c r="BX82" s="3">
        <v>1.0</v>
      </c>
      <c r="BY82" s="8" t="str">
        <f>HYPERLINK("https%3A%2F%2Fwww.webofscience.com%2Fwos%2Fwoscc%2Ffull-record%2FWOS:000296263200007","View Full Record in Web of Science")</f>
        <v>View Full Record in Web of Science</v>
      </c>
    </row>
    <row r="83" ht="12.75" customHeight="1">
      <c r="A83" s="8" t="s">
        <v>967</v>
      </c>
      <c r="B83" s="8" t="s">
        <v>2288</v>
      </c>
      <c r="C83" s="8" t="s">
        <v>969</v>
      </c>
      <c r="D83" s="8" t="s">
        <v>969</v>
      </c>
      <c r="E83" s="8" t="s">
        <v>969</v>
      </c>
      <c r="F83" s="8" t="s">
        <v>2289</v>
      </c>
      <c r="G83" s="8" t="s">
        <v>969</v>
      </c>
      <c r="H83" s="8" t="s">
        <v>969</v>
      </c>
      <c r="I83" s="8" t="s">
        <v>2290</v>
      </c>
      <c r="J83" s="8" t="s">
        <v>1377</v>
      </c>
      <c r="K83" s="8" t="s">
        <v>969</v>
      </c>
      <c r="L83" s="8" t="s">
        <v>969</v>
      </c>
      <c r="M83" s="8" t="s">
        <v>972</v>
      </c>
      <c r="N83" s="8" t="s">
        <v>973</v>
      </c>
      <c r="O83" s="8" t="s">
        <v>969</v>
      </c>
      <c r="P83" s="8" t="s">
        <v>969</v>
      </c>
      <c r="Q83" s="8" t="s">
        <v>969</v>
      </c>
      <c r="R83" s="8" t="s">
        <v>969</v>
      </c>
      <c r="S83" s="8" t="s">
        <v>969</v>
      </c>
      <c r="T83" s="8" t="s">
        <v>2291</v>
      </c>
      <c r="U83" s="8" t="s">
        <v>2292</v>
      </c>
      <c r="V83" s="8" t="s">
        <v>2293</v>
      </c>
      <c r="W83" s="8" t="s">
        <v>2294</v>
      </c>
      <c r="X83" s="8" t="s">
        <v>2295</v>
      </c>
      <c r="Y83" s="8" t="s">
        <v>2296</v>
      </c>
      <c r="Z83" s="8" t="s">
        <v>2297</v>
      </c>
      <c r="AA83" s="8" t="s">
        <v>3140</v>
      </c>
      <c r="AB83" s="8" t="s">
        <v>3141</v>
      </c>
      <c r="AC83" s="8" t="s">
        <v>2300</v>
      </c>
      <c r="AD83" s="8" t="s">
        <v>2301</v>
      </c>
      <c r="AE83" s="8" t="s">
        <v>2302</v>
      </c>
      <c r="AF83" s="8" t="s">
        <v>969</v>
      </c>
      <c r="AG83" s="8">
        <v>48.0</v>
      </c>
      <c r="AH83" s="8">
        <v>474.0</v>
      </c>
      <c r="AI83" s="8">
        <v>570.0</v>
      </c>
      <c r="AJ83" s="8">
        <v>3.0</v>
      </c>
      <c r="AK83" s="8">
        <v>327.0</v>
      </c>
      <c r="AL83" s="8" t="s">
        <v>1387</v>
      </c>
      <c r="AM83" s="8" t="s">
        <v>1388</v>
      </c>
      <c r="AN83" s="8" t="s">
        <v>1389</v>
      </c>
      <c r="AO83" s="8" t="s">
        <v>1390</v>
      </c>
      <c r="AP83" s="8" t="s">
        <v>1391</v>
      </c>
      <c r="AQ83" s="8" t="s">
        <v>969</v>
      </c>
      <c r="AR83" s="8" t="s">
        <v>1392</v>
      </c>
      <c r="AS83" s="8" t="s">
        <v>1393</v>
      </c>
      <c r="AT83" s="8" t="s">
        <v>2303</v>
      </c>
      <c r="AU83" s="8">
        <v>2011.0</v>
      </c>
      <c r="AV83" s="8">
        <v>108.0</v>
      </c>
      <c r="AW83" s="8">
        <v>34.0</v>
      </c>
      <c r="AX83" s="8" t="s">
        <v>969</v>
      </c>
      <c r="AY83" s="8" t="s">
        <v>969</v>
      </c>
      <c r="AZ83" s="8" t="s">
        <v>969</v>
      </c>
      <c r="BA83" s="8" t="s">
        <v>969</v>
      </c>
      <c r="BB83" s="8">
        <v>14175.0</v>
      </c>
      <c r="BC83" s="8">
        <v>14180.0</v>
      </c>
      <c r="BD83" s="8" t="s">
        <v>969</v>
      </c>
      <c r="BE83" s="8" t="s">
        <v>641</v>
      </c>
      <c r="BF83" s="13" t="str">
        <f>HYPERLINK("http://dx.doi.org/10.1073/pnas.1103097108","http://dx.doi.org/10.1073/pnas.1103097108")</f>
        <v>http://dx.doi.org/10.1073/pnas.1103097108</v>
      </c>
      <c r="BG83" s="8" t="s">
        <v>969</v>
      </c>
      <c r="BH83" s="8" t="s">
        <v>969</v>
      </c>
      <c r="BI83" s="8">
        <v>6.0</v>
      </c>
      <c r="BJ83" s="8" t="s">
        <v>1076</v>
      </c>
      <c r="BK83" s="8" t="s">
        <v>988</v>
      </c>
      <c r="BL83" s="8" t="s">
        <v>1077</v>
      </c>
      <c r="BM83" s="8" t="s">
        <v>2304</v>
      </c>
      <c r="BN83" s="8">
        <v>2.1844354E7</v>
      </c>
      <c r="BO83" s="8" t="s">
        <v>1227</v>
      </c>
      <c r="BP83" s="8" t="s">
        <v>969</v>
      </c>
      <c r="BQ83" s="8" t="s">
        <v>969</v>
      </c>
      <c r="BR83" s="8" t="s">
        <v>2912</v>
      </c>
      <c r="BS83" s="8" t="s">
        <v>2305</v>
      </c>
      <c r="BT83" s="3" t="s">
        <v>3137</v>
      </c>
      <c r="BU83" s="3" t="s">
        <v>66</v>
      </c>
      <c r="BW83" s="8" t="s">
        <v>67</v>
      </c>
      <c r="BX83" s="3">
        <v>1.0</v>
      </c>
      <c r="BY83" s="8" t="str">
        <f>HYPERLINK("https%3A%2F%2Fwww.webofscience.com%2Fwos%2Fwoscc%2Ffull-record%2FWOS:000294163500063","View Full Record in Web of Science")</f>
        <v>View Full Record in Web of Science</v>
      </c>
    </row>
    <row r="84" ht="12.75" customHeight="1">
      <c r="A84" s="8" t="s">
        <v>967</v>
      </c>
      <c r="B84" s="8" t="s">
        <v>2254</v>
      </c>
      <c r="C84" s="8" t="s">
        <v>969</v>
      </c>
      <c r="D84" s="8" t="s">
        <v>969</v>
      </c>
      <c r="E84" s="8" t="s">
        <v>969</v>
      </c>
      <c r="F84" s="8" t="s">
        <v>2255</v>
      </c>
      <c r="G84" s="8" t="s">
        <v>969</v>
      </c>
      <c r="H84" s="8" t="s">
        <v>969</v>
      </c>
      <c r="I84" s="8" t="s">
        <v>2256</v>
      </c>
      <c r="J84" s="8" t="s">
        <v>1799</v>
      </c>
      <c r="K84" s="8" t="s">
        <v>969</v>
      </c>
      <c r="L84" s="8" t="s">
        <v>969</v>
      </c>
      <c r="M84" s="8" t="s">
        <v>972</v>
      </c>
      <c r="N84" s="8" t="s">
        <v>973</v>
      </c>
      <c r="O84" s="8" t="s">
        <v>969</v>
      </c>
      <c r="P84" s="8" t="s">
        <v>969</v>
      </c>
      <c r="Q84" s="8" t="s">
        <v>969</v>
      </c>
      <c r="R84" s="8" t="s">
        <v>969</v>
      </c>
      <c r="S84" s="8" t="s">
        <v>969</v>
      </c>
      <c r="T84" s="8" t="s">
        <v>2257</v>
      </c>
      <c r="U84" s="8" t="s">
        <v>2258</v>
      </c>
      <c r="V84" s="8" t="s">
        <v>2259</v>
      </c>
      <c r="W84" s="8" t="s">
        <v>2260</v>
      </c>
      <c r="X84" s="8" t="s">
        <v>2261</v>
      </c>
      <c r="Y84" s="8" t="s">
        <v>2262</v>
      </c>
      <c r="Z84" s="8" t="s">
        <v>2263</v>
      </c>
      <c r="AA84" s="8" t="s">
        <v>3142</v>
      </c>
      <c r="AB84" s="8" t="s">
        <v>969</v>
      </c>
      <c r="AC84" s="8" t="s">
        <v>2265</v>
      </c>
      <c r="AD84" s="8" t="s">
        <v>2266</v>
      </c>
      <c r="AE84" s="8" t="s">
        <v>2267</v>
      </c>
      <c r="AF84" s="8" t="s">
        <v>969</v>
      </c>
      <c r="AG84" s="8">
        <v>67.0</v>
      </c>
      <c r="AH84" s="8">
        <v>91.0</v>
      </c>
      <c r="AI84" s="8">
        <v>112.0</v>
      </c>
      <c r="AJ84" s="8">
        <v>2.0</v>
      </c>
      <c r="AK84" s="8">
        <v>95.0</v>
      </c>
      <c r="AL84" s="8" t="s">
        <v>1813</v>
      </c>
      <c r="AM84" s="8" t="s">
        <v>1261</v>
      </c>
      <c r="AN84" s="8" t="s">
        <v>1814</v>
      </c>
      <c r="AO84" s="8" t="s">
        <v>1815</v>
      </c>
      <c r="AP84" s="8" t="s">
        <v>1816</v>
      </c>
      <c r="AQ84" s="8" t="s">
        <v>969</v>
      </c>
      <c r="AR84" s="8" t="s">
        <v>1817</v>
      </c>
      <c r="AS84" s="8" t="s">
        <v>1818</v>
      </c>
      <c r="AT84" s="8" t="s">
        <v>2268</v>
      </c>
      <c r="AU84" s="8">
        <v>2011.0</v>
      </c>
      <c r="AV84" s="8">
        <v>262.0</v>
      </c>
      <c r="AW84" s="8">
        <v>3.0</v>
      </c>
      <c r="AX84" s="8" t="s">
        <v>969</v>
      </c>
      <c r="AY84" s="8" t="s">
        <v>969</v>
      </c>
      <c r="AZ84" s="8" t="s">
        <v>969</v>
      </c>
      <c r="BA84" s="8" t="s">
        <v>969</v>
      </c>
      <c r="BB84" s="8">
        <v>307.0</v>
      </c>
      <c r="BC84" s="8">
        <v>316.0</v>
      </c>
      <c r="BD84" s="8" t="s">
        <v>969</v>
      </c>
      <c r="BE84" s="8" t="s">
        <v>572</v>
      </c>
      <c r="BF84" s="13" t="str">
        <f>HYPERLINK("http://dx.doi.org/10.1016/j.foreco.2011.03.036","http://dx.doi.org/10.1016/j.foreco.2011.03.036")</f>
        <v>http://dx.doi.org/10.1016/j.foreco.2011.03.036</v>
      </c>
      <c r="BG84" s="8" t="s">
        <v>969</v>
      </c>
      <c r="BH84" s="8" t="s">
        <v>969</v>
      </c>
      <c r="BI84" s="8">
        <v>10.0</v>
      </c>
      <c r="BJ84" s="8" t="s">
        <v>1820</v>
      </c>
      <c r="BK84" s="8" t="s">
        <v>988</v>
      </c>
      <c r="BL84" s="8" t="s">
        <v>1820</v>
      </c>
      <c r="BM84" s="8" t="s">
        <v>2269</v>
      </c>
      <c r="BN84" s="8" t="s">
        <v>969</v>
      </c>
      <c r="BO84" s="8" t="s">
        <v>969</v>
      </c>
      <c r="BP84" s="8" t="s">
        <v>969</v>
      </c>
      <c r="BQ84" s="8" t="s">
        <v>969</v>
      </c>
      <c r="BR84" s="8" t="s">
        <v>2912</v>
      </c>
      <c r="BS84" s="8" t="s">
        <v>2270</v>
      </c>
      <c r="BT84" s="3" t="s">
        <v>3137</v>
      </c>
      <c r="BU84" s="3" t="s">
        <v>66</v>
      </c>
      <c r="BW84" s="8" t="s">
        <v>33</v>
      </c>
      <c r="BX84" s="3">
        <v>1.0</v>
      </c>
      <c r="BY84" s="8" t="str">
        <f>HYPERLINK("https%3A%2F%2Fwww.webofscience.com%2Fwos%2Fwoscc%2Ffull-record%2FWOS:000292428500001","View Full Record in Web of Science")</f>
        <v>View Full Record in Web of Science</v>
      </c>
    </row>
    <row r="85" ht="12.75" customHeight="1">
      <c r="A85" s="8" t="s">
        <v>967</v>
      </c>
      <c r="B85" s="8" t="s">
        <v>3143</v>
      </c>
      <c r="C85" s="8" t="s">
        <v>969</v>
      </c>
      <c r="D85" s="8" t="s">
        <v>969</v>
      </c>
      <c r="E85" s="8" t="s">
        <v>969</v>
      </c>
      <c r="F85" s="8" t="s">
        <v>3144</v>
      </c>
      <c r="G85" s="8" t="s">
        <v>969</v>
      </c>
      <c r="H85" s="8" t="s">
        <v>969</v>
      </c>
      <c r="I85" s="8" t="s">
        <v>3145</v>
      </c>
      <c r="J85" s="8" t="s">
        <v>2380</v>
      </c>
      <c r="K85" s="8" t="s">
        <v>969</v>
      </c>
      <c r="L85" s="8" t="s">
        <v>969</v>
      </c>
      <c r="M85" s="8" t="s">
        <v>972</v>
      </c>
      <c r="N85" s="8" t="s">
        <v>2924</v>
      </c>
      <c r="O85" s="8" t="s">
        <v>969</v>
      </c>
      <c r="P85" s="8" t="s">
        <v>969</v>
      </c>
      <c r="Q85" s="8" t="s">
        <v>969</v>
      </c>
      <c r="R85" s="8" t="s">
        <v>969</v>
      </c>
      <c r="S85" s="8" t="s">
        <v>969</v>
      </c>
      <c r="T85" s="8" t="s">
        <v>3146</v>
      </c>
      <c r="U85" s="8" t="s">
        <v>3147</v>
      </c>
      <c r="V85" s="8" t="s">
        <v>3148</v>
      </c>
      <c r="W85" s="8" t="s">
        <v>3149</v>
      </c>
      <c r="X85" s="8" t="s">
        <v>3150</v>
      </c>
      <c r="Y85" s="8" t="s">
        <v>3151</v>
      </c>
      <c r="Z85" s="8" t="s">
        <v>3152</v>
      </c>
      <c r="AA85" s="8" t="s">
        <v>3153</v>
      </c>
      <c r="AB85" s="8" t="s">
        <v>3154</v>
      </c>
      <c r="AC85" s="8" t="s">
        <v>3155</v>
      </c>
      <c r="AD85" s="8" t="s">
        <v>3156</v>
      </c>
      <c r="AE85" s="8" t="s">
        <v>3157</v>
      </c>
      <c r="AF85" s="8" t="s">
        <v>969</v>
      </c>
      <c r="AG85" s="8">
        <v>75.0</v>
      </c>
      <c r="AH85" s="8">
        <v>471.0</v>
      </c>
      <c r="AI85" s="8">
        <v>554.0</v>
      </c>
      <c r="AJ85" s="8">
        <v>1.0</v>
      </c>
      <c r="AK85" s="8">
        <v>294.0</v>
      </c>
      <c r="AL85" s="8" t="s">
        <v>1091</v>
      </c>
      <c r="AM85" s="8" t="s">
        <v>1092</v>
      </c>
      <c r="AN85" s="8" t="s">
        <v>1093</v>
      </c>
      <c r="AO85" s="8" t="s">
        <v>2393</v>
      </c>
      <c r="AP85" s="8" t="s">
        <v>2394</v>
      </c>
      <c r="AQ85" s="8" t="s">
        <v>969</v>
      </c>
      <c r="AR85" s="8" t="s">
        <v>2395</v>
      </c>
      <c r="AS85" s="8" t="s">
        <v>2396</v>
      </c>
      <c r="AT85" s="8" t="s">
        <v>1211</v>
      </c>
      <c r="AU85" s="8">
        <v>2010.0</v>
      </c>
      <c r="AV85" s="8">
        <v>13.0</v>
      </c>
      <c r="AW85" s="8">
        <v>8.0</v>
      </c>
      <c r="AX85" s="8" t="s">
        <v>969</v>
      </c>
      <c r="AY85" s="8" t="s">
        <v>969</v>
      </c>
      <c r="AZ85" s="8" t="s">
        <v>969</v>
      </c>
      <c r="BA85" s="8" t="s">
        <v>969</v>
      </c>
      <c r="BB85" s="8">
        <v>1041.0</v>
      </c>
      <c r="BC85" s="8">
        <v>1054.0</v>
      </c>
      <c r="BD85" s="8" t="s">
        <v>969</v>
      </c>
      <c r="BE85" s="8" t="s">
        <v>746</v>
      </c>
      <c r="BF85" s="13" t="str">
        <f>HYPERLINK("http://dx.doi.org/10.1111/j.1461-0248.2010.01479.x","http://dx.doi.org/10.1111/j.1461-0248.2010.01479.x")</f>
        <v>http://dx.doi.org/10.1111/j.1461-0248.2010.01479.x</v>
      </c>
      <c r="BG85" s="8" t="s">
        <v>969</v>
      </c>
      <c r="BH85" s="8" t="s">
        <v>969</v>
      </c>
      <c r="BI85" s="8">
        <v>14.0</v>
      </c>
      <c r="BJ85" s="8" t="s">
        <v>1267</v>
      </c>
      <c r="BK85" s="8" t="s">
        <v>988</v>
      </c>
      <c r="BL85" s="8" t="s">
        <v>1268</v>
      </c>
      <c r="BM85" s="8" t="s">
        <v>3158</v>
      </c>
      <c r="BN85" s="8">
        <v>2.0482574E7</v>
      </c>
      <c r="BO85" s="8" t="s">
        <v>969</v>
      </c>
      <c r="BP85" s="8" t="s">
        <v>969</v>
      </c>
      <c r="BQ85" s="8" t="s">
        <v>969</v>
      </c>
      <c r="BR85" s="8" t="s">
        <v>2912</v>
      </c>
      <c r="BS85" s="8" t="s">
        <v>3159</v>
      </c>
      <c r="BT85" s="3" t="s">
        <v>3137</v>
      </c>
      <c r="BU85" s="3" t="s">
        <v>66</v>
      </c>
      <c r="BW85" s="8" t="s">
        <v>236</v>
      </c>
      <c r="BX85" s="3">
        <v>1.0</v>
      </c>
      <c r="BY85" s="8" t="str">
        <f>HYPERLINK("https%3A%2F%2Fwww.webofscience.com%2Fwos%2Fwoscc%2Ffull-record%2FWOS:000279934400011","View Full Record in Web of Science")</f>
        <v>View Full Record in Web of Science</v>
      </c>
    </row>
    <row r="86" ht="12.75" customHeight="1">
      <c r="A86" s="8" t="s">
        <v>967</v>
      </c>
      <c r="B86" s="8" t="s">
        <v>2131</v>
      </c>
      <c r="C86" s="8" t="s">
        <v>969</v>
      </c>
      <c r="D86" s="8" t="s">
        <v>969</v>
      </c>
      <c r="E86" s="8" t="s">
        <v>969</v>
      </c>
      <c r="F86" s="8" t="s">
        <v>2132</v>
      </c>
      <c r="G86" s="8" t="s">
        <v>969</v>
      </c>
      <c r="H86" s="8" t="s">
        <v>969</v>
      </c>
      <c r="I86" s="8" t="s">
        <v>2133</v>
      </c>
      <c r="J86" s="8" t="s">
        <v>2018</v>
      </c>
      <c r="K86" s="8" t="s">
        <v>969</v>
      </c>
      <c r="L86" s="8" t="s">
        <v>969</v>
      </c>
      <c r="M86" s="8" t="s">
        <v>972</v>
      </c>
      <c r="N86" s="8" t="s">
        <v>973</v>
      </c>
      <c r="O86" s="8" t="s">
        <v>969</v>
      </c>
      <c r="P86" s="8" t="s">
        <v>969</v>
      </c>
      <c r="Q86" s="8" t="s">
        <v>969</v>
      </c>
      <c r="R86" s="8" t="s">
        <v>969</v>
      </c>
      <c r="S86" s="8" t="s">
        <v>969</v>
      </c>
      <c r="T86" s="8" t="s">
        <v>2134</v>
      </c>
      <c r="U86" s="8" t="s">
        <v>2135</v>
      </c>
      <c r="V86" s="8" t="s">
        <v>2136</v>
      </c>
      <c r="W86" s="8" t="s">
        <v>2137</v>
      </c>
      <c r="X86" s="8" t="s">
        <v>2138</v>
      </c>
      <c r="Y86" s="8" t="s">
        <v>2139</v>
      </c>
      <c r="Z86" s="8" t="s">
        <v>2140</v>
      </c>
      <c r="AA86" s="8" t="s">
        <v>3160</v>
      </c>
      <c r="AB86" s="8" t="s">
        <v>969</v>
      </c>
      <c r="AC86" s="8" t="s">
        <v>2142</v>
      </c>
      <c r="AD86" s="8" t="s">
        <v>2143</v>
      </c>
      <c r="AE86" s="8" t="s">
        <v>2144</v>
      </c>
      <c r="AF86" s="8" t="s">
        <v>969</v>
      </c>
      <c r="AG86" s="8">
        <v>97.0</v>
      </c>
      <c r="AH86" s="8">
        <v>380.0</v>
      </c>
      <c r="AI86" s="8">
        <v>442.0</v>
      </c>
      <c r="AJ86" s="8">
        <v>1.0</v>
      </c>
      <c r="AK86" s="8">
        <v>288.0</v>
      </c>
      <c r="AL86" s="8" t="s">
        <v>1091</v>
      </c>
      <c r="AM86" s="8" t="s">
        <v>1092</v>
      </c>
      <c r="AN86" s="8" t="s">
        <v>1093</v>
      </c>
      <c r="AO86" s="8" t="s">
        <v>2033</v>
      </c>
      <c r="AP86" s="8" t="s">
        <v>2034</v>
      </c>
      <c r="AQ86" s="8" t="s">
        <v>969</v>
      </c>
      <c r="AR86" s="8" t="s">
        <v>2018</v>
      </c>
      <c r="AS86" s="8" t="s">
        <v>1267</v>
      </c>
      <c r="AT86" s="8" t="s">
        <v>1177</v>
      </c>
      <c r="AU86" s="8">
        <v>2009.0</v>
      </c>
      <c r="AV86" s="8">
        <v>90.0</v>
      </c>
      <c r="AW86" s="8">
        <v>5.0</v>
      </c>
      <c r="AX86" s="8" t="s">
        <v>969</v>
      </c>
      <c r="AY86" s="8" t="s">
        <v>969</v>
      </c>
      <c r="AZ86" s="8" t="s">
        <v>969</v>
      </c>
      <c r="BA86" s="8" t="s">
        <v>969</v>
      </c>
      <c r="BB86" s="8">
        <v>1301.0</v>
      </c>
      <c r="BC86" s="8">
        <v>1313.0</v>
      </c>
      <c r="BD86" s="8" t="s">
        <v>969</v>
      </c>
      <c r="BE86" s="8" t="s">
        <v>839</v>
      </c>
      <c r="BF86" s="13" t="str">
        <f>HYPERLINK("http://dx.doi.org/10.1890/08-0134.1","http://dx.doi.org/10.1890/08-0134.1")</f>
        <v>http://dx.doi.org/10.1890/08-0134.1</v>
      </c>
      <c r="BG86" s="8" t="s">
        <v>969</v>
      </c>
      <c r="BH86" s="8" t="s">
        <v>969</v>
      </c>
      <c r="BI86" s="8">
        <v>13.0</v>
      </c>
      <c r="BJ86" s="8" t="s">
        <v>1267</v>
      </c>
      <c r="BK86" s="8" t="s">
        <v>988</v>
      </c>
      <c r="BL86" s="8" t="s">
        <v>1268</v>
      </c>
      <c r="BM86" s="8" t="s">
        <v>2145</v>
      </c>
      <c r="BN86" s="8">
        <v>1.953755E7</v>
      </c>
      <c r="BO86" s="8" t="s">
        <v>969</v>
      </c>
      <c r="BP86" s="8" t="s">
        <v>969</v>
      </c>
      <c r="BQ86" s="8" t="s">
        <v>969</v>
      </c>
      <c r="BR86" s="8" t="s">
        <v>2912</v>
      </c>
      <c r="BS86" s="8" t="s">
        <v>2146</v>
      </c>
      <c r="BT86" s="3" t="s">
        <v>3137</v>
      </c>
      <c r="BU86" s="3" t="s">
        <v>66</v>
      </c>
      <c r="BW86" s="8" t="s">
        <v>51</v>
      </c>
      <c r="BX86" s="3">
        <v>1.0</v>
      </c>
      <c r="BY86" s="8" t="str">
        <f>HYPERLINK("https%3A%2F%2Fwww.webofscience.com%2Fwos%2Fwoscc%2Ffull-record%2FWOS:000265816200012","View Full Record in Web of Science")</f>
        <v>View Full Record in Web of Science</v>
      </c>
    </row>
    <row r="87" ht="12.75" customHeight="1">
      <c r="A87" s="8" t="s">
        <v>967</v>
      </c>
      <c r="B87" s="8" t="s">
        <v>2052</v>
      </c>
      <c r="C87" s="8" t="s">
        <v>969</v>
      </c>
      <c r="D87" s="8" t="s">
        <v>969</v>
      </c>
      <c r="E87" s="8" t="s">
        <v>969</v>
      </c>
      <c r="F87" s="8" t="s">
        <v>2053</v>
      </c>
      <c r="G87" s="8" t="s">
        <v>969</v>
      </c>
      <c r="H87" s="8" t="s">
        <v>969</v>
      </c>
      <c r="I87" s="8" t="s">
        <v>2054</v>
      </c>
      <c r="J87" s="8" t="s">
        <v>1120</v>
      </c>
      <c r="K87" s="8" t="s">
        <v>969</v>
      </c>
      <c r="L87" s="8" t="s">
        <v>969</v>
      </c>
      <c r="M87" s="8" t="s">
        <v>972</v>
      </c>
      <c r="N87" s="8" t="s">
        <v>973</v>
      </c>
      <c r="O87" s="8" t="s">
        <v>969</v>
      </c>
      <c r="P87" s="8" t="s">
        <v>969</v>
      </c>
      <c r="Q87" s="8" t="s">
        <v>969</v>
      </c>
      <c r="R87" s="8" t="s">
        <v>969</v>
      </c>
      <c r="S87" s="8" t="s">
        <v>969</v>
      </c>
      <c r="T87" s="8" t="s">
        <v>2055</v>
      </c>
      <c r="U87" s="8" t="s">
        <v>2056</v>
      </c>
      <c r="V87" s="8" t="s">
        <v>2057</v>
      </c>
      <c r="W87" s="8" t="s">
        <v>2058</v>
      </c>
      <c r="X87" s="8" t="s">
        <v>3161</v>
      </c>
      <c r="Y87" s="8" t="s">
        <v>2060</v>
      </c>
      <c r="Z87" s="8" t="s">
        <v>2061</v>
      </c>
      <c r="AA87" s="8" t="s">
        <v>3162</v>
      </c>
      <c r="AB87" s="8" t="s">
        <v>3163</v>
      </c>
      <c r="AC87" s="8" t="s">
        <v>2064</v>
      </c>
      <c r="AD87" s="8" t="s">
        <v>2065</v>
      </c>
      <c r="AE87" s="8" t="s">
        <v>2066</v>
      </c>
      <c r="AF87" s="8" t="s">
        <v>969</v>
      </c>
      <c r="AG87" s="8">
        <v>36.0</v>
      </c>
      <c r="AH87" s="8">
        <v>260.0</v>
      </c>
      <c r="AI87" s="8">
        <v>293.0</v>
      </c>
      <c r="AJ87" s="8">
        <v>0.0</v>
      </c>
      <c r="AK87" s="8">
        <v>238.0</v>
      </c>
      <c r="AL87" s="8" t="s">
        <v>1130</v>
      </c>
      <c r="AM87" s="8" t="s">
        <v>1071</v>
      </c>
      <c r="AN87" s="8" t="s">
        <v>1131</v>
      </c>
      <c r="AO87" s="8" t="s">
        <v>1132</v>
      </c>
      <c r="AP87" s="8" t="s">
        <v>1133</v>
      </c>
      <c r="AQ87" s="8" t="s">
        <v>969</v>
      </c>
      <c r="AR87" s="8" t="s">
        <v>1134</v>
      </c>
      <c r="AS87" s="8" t="s">
        <v>1135</v>
      </c>
      <c r="AT87" s="8" t="s">
        <v>2067</v>
      </c>
      <c r="AU87" s="8">
        <v>2009.0</v>
      </c>
      <c r="AV87" s="8">
        <v>276.0</v>
      </c>
      <c r="AW87" s="8">
        <v>1661.0</v>
      </c>
      <c r="AX87" s="8" t="s">
        <v>969</v>
      </c>
      <c r="AY87" s="8" t="s">
        <v>969</v>
      </c>
      <c r="AZ87" s="8" t="s">
        <v>969</v>
      </c>
      <c r="BA87" s="8" t="s">
        <v>969</v>
      </c>
      <c r="BB87" s="8">
        <v>1415.0</v>
      </c>
      <c r="BC87" s="8">
        <v>1420.0</v>
      </c>
      <c r="BD87" s="8" t="s">
        <v>969</v>
      </c>
      <c r="BE87" s="8" t="s">
        <v>662</v>
      </c>
      <c r="BF87" s="13" t="str">
        <f>HYPERLINK("http://dx.doi.org/10.1098/rspb.2008.1681","http://dx.doi.org/10.1098/rspb.2008.1681")</f>
        <v>http://dx.doi.org/10.1098/rspb.2008.1681</v>
      </c>
      <c r="BG87" s="8" t="s">
        <v>969</v>
      </c>
      <c r="BH87" s="8" t="s">
        <v>969</v>
      </c>
      <c r="BI87" s="8">
        <v>6.0</v>
      </c>
      <c r="BJ87" s="8" t="s">
        <v>1137</v>
      </c>
      <c r="BK87" s="8" t="s">
        <v>988</v>
      </c>
      <c r="BL87" s="8" t="s">
        <v>1138</v>
      </c>
      <c r="BM87" s="8" t="s">
        <v>2068</v>
      </c>
      <c r="BN87" s="8">
        <v>1.9324811E7</v>
      </c>
      <c r="BO87" s="8" t="s">
        <v>1227</v>
      </c>
      <c r="BP87" s="8" t="s">
        <v>969</v>
      </c>
      <c r="BQ87" s="8" t="s">
        <v>969</v>
      </c>
      <c r="BR87" s="8" t="s">
        <v>2912</v>
      </c>
      <c r="BS87" s="8" t="s">
        <v>2069</v>
      </c>
      <c r="BT87" s="3" t="s">
        <v>3137</v>
      </c>
      <c r="BU87" s="3" t="s">
        <v>66</v>
      </c>
      <c r="BW87" s="8" t="s">
        <v>56</v>
      </c>
      <c r="BX87" s="3">
        <v>1.0</v>
      </c>
      <c r="BY87" s="8" t="str">
        <f>HYPERLINK("https%3A%2F%2Fwww.webofscience.com%2Fwos%2Fwoscc%2Ffull-record%2FWOS:000264351900004","View Full Record in Web of Science")</f>
        <v>View Full Record in Web of Science</v>
      </c>
    </row>
    <row r="88" ht="12.75" customHeight="1">
      <c r="A88" s="8" t="s">
        <v>967</v>
      </c>
      <c r="B88" s="8" t="s">
        <v>1879</v>
      </c>
      <c r="C88" s="8" t="s">
        <v>969</v>
      </c>
      <c r="D88" s="8" t="s">
        <v>969</v>
      </c>
      <c r="E88" s="8" t="s">
        <v>969</v>
      </c>
      <c r="F88" s="8" t="s">
        <v>1880</v>
      </c>
      <c r="G88" s="8" t="s">
        <v>969</v>
      </c>
      <c r="H88" s="8" t="s">
        <v>969</v>
      </c>
      <c r="I88" s="8" t="s">
        <v>1881</v>
      </c>
      <c r="J88" s="8" t="s">
        <v>1882</v>
      </c>
      <c r="K88" s="8" t="s">
        <v>969</v>
      </c>
      <c r="L88" s="8" t="s">
        <v>969</v>
      </c>
      <c r="M88" s="8" t="s">
        <v>972</v>
      </c>
      <c r="N88" s="8" t="s">
        <v>973</v>
      </c>
      <c r="O88" s="8" t="s">
        <v>969</v>
      </c>
      <c r="P88" s="8" t="s">
        <v>969</v>
      </c>
      <c r="Q88" s="8" t="s">
        <v>969</v>
      </c>
      <c r="R88" s="8" t="s">
        <v>969</v>
      </c>
      <c r="S88" s="8" t="s">
        <v>969</v>
      </c>
      <c r="T88" s="8" t="s">
        <v>1883</v>
      </c>
      <c r="U88" s="8" t="s">
        <v>1884</v>
      </c>
      <c r="V88" s="8" t="s">
        <v>1885</v>
      </c>
      <c r="W88" s="8" t="s">
        <v>1886</v>
      </c>
      <c r="X88" s="8" t="s">
        <v>1887</v>
      </c>
      <c r="Y88" s="8" t="s">
        <v>1888</v>
      </c>
      <c r="Z88" s="8" t="s">
        <v>1889</v>
      </c>
      <c r="AA88" s="8" t="s">
        <v>1890</v>
      </c>
      <c r="AB88" s="8" t="s">
        <v>969</v>
      </c>
      <c r="AC88" s="8" t="s">
        <v>969</v>
      </c>
      <c r="AD88" s="8" t="s">
        <v>969</v>
      </c>
      <c r="AE88" s="8" t="s">
        <v>969</v>
      </c>
      <c r="AF88" s="8" t="s">
        <v>969</v>
      </c>
      <c r="AG88" s="8">
        <v>78.0</v>
      </c>
      <c r="AH88" s="8">
        <v>188.0</v>
      </c>
      <c r="AI88" s="8">
        <v>234.0</v>
      </c>
      <c r="AJ88" s="8">
        <v>1.0</v>
      </c>
      <c r="AK88" s="8">
        <v>155.0</v>
      </c>
      <c r="AL88" s="8" t="s">
        <v>1091</v>
      </c>
      <c r="AM88" s="8" t="s">
        <v>1092</v>
      </c>
      <c r="AN88" s="8" t="s">
        <v>1093</v>
      </c>
      <c r="AO88" s="8" t="s">
        <v>1891</v>
      </c>
      <c r="AP88" s="8" t="s">
        <v>1892</v>
      </c>
      <c r="AQ88" s="8" t="s">
        <v>969</v>
      </c>
      <c r="AR88" s="8" t="s">
        <v>1893</v>
      </c>
      <c r="AS88" s="8" t="s">
        <v>1894</v>
      </c>
      <c r="AT88" s="8" t="s">
        <v>1096</v>
      </c>
      <c r="AU88" s="8">
        <v>2008.0</v>
      </c>
      <c r="AV88" s="8">
        <v>96.0</v>
      </c>
      <c r="AW88" s="8">
        <v>4.0</v>
      </c>
      <c r="AX88" s="8" t="s">
        <v>969</v>
      </c>
      <c r="AY88" s="8" t="s">
        <v>969</v>
      </c>
      <c r="AZ88" s="8" t="s">
        <v>969</v>
      </c>
      <c r="BA88" s="8" t="s">
        <v>969</v>
      </c>
      <c r="BB88" s="8">
        <v>784.0</v>
      </c>
      <c r="BC88" s="8">
        <v>794.0</v>
      </c>
      <c r="BD88" s="8" t="s">
        <v>969</v>
      </c>
      <c r="BE88" s="8" t="s">
        <v>734</v>
      </c>
      <c r="BF88" s="13" t="str">
        <f>HYPERLINK("http://dx.doi.org/10.1111/j.1365-2745.2008.01369.x","http://dx.doi.org/10.1111/j.1365-2745.2008.01369.x")</f>
        <v>http://dx.doi.org/10.1111/j.1365-2745.2008.01369.x</v>
      </c>
      <c r="BG88" s="8" t="s">
        <v>969</v>
      </c>
      <c r="BH88" s="8" t="s">
        <v>969</v>
      </c>
      <c r="BI88" s="8">
        <v>11.0</v>
      </c>
      <c r="BJ88" s="8" t="s">
        <v>1895</v>
      </c>
      <c r="BK88" s="8" t="s">
        <v>988</v>
      </c>
      <c r="BL88" s="8" t="s">
        <v>1896</v>
      </c>
      <c r="BM88" s="8" t="s">
        <v>1897</v>
      </c>
      <c r="BN88" s="8" t="s">
        <v>969</v>
      </c>
      <c r="BO88" s="8" t="s">
        <v>969</v>
      </c>
      <c r="BP88" s="8" t="s">
        <v>969</v>
      </c>
      <c r="BQ88" s="8" t="s">
        <v>969</v>
      </c>
      <c r="BR88" s="8" t="s">
        <v>2912</v>
      </c>
      <c r="BS88" s="8" t="s">
        <v>1898</v>
      </c>
      <c r="BT88" s="3" t="s">
        <v>3137</v>
      </c>
      <c r="BU88" s="3" t="s">
        <v>66</v>
      </c>
      <c r="BW88" s="8" t="s">
        <v>51</v>
      </c>
      <c r="BX88" s="3">
        <v>1.0</v>
      </c>
      <c r="BY88" s="8" t="str">
        <f>HYPERLINK("https%3A%2F%2Fwww.webofscience.com%2Fwos%2Fwoscc%2Ffull-record%2FWOS:000256635800024","View Full Record in Web of Science")</f>
        <v>View Full Record in Web of Science</v>
      </c>
    </row>
    <row r="89" ht="12.75" customHeight="1">
      <c r="A89" s="8" t="s">
        <v>967</v>
      </c>
      <c r="B89" s="8" t="s">
        <v>2037</v>
      </c>
      <c r="C89" s="8" t="s">
        <v>969</v>
      </c>
      <c r="D89" s="8" t="s">
        <v>969</v>
      </c>
      <c r="E89" s="8" t="s">
        <v>969</v>
      </c>
      <c r="F89" s="8" t="s">
        <v>2038</v>
      </c>
      <c r="G89" s="8" t="s">
        <v>969</v>
      </c>
      <c r="H89" s="8" t="s">
        <v>969</v>
      </c>
      <c r="I89" s="8" t="s">
        <v>2039</v>
      </c>
      <c r="J89" s="8" t="s">
        <v>1974</v>
      </c>
      <c r="K89" s="8" t="s">
        <v>969</v>
      </c>
      <c r="L89" s="8" t="s">
        <v>969</v>
      </c>
      <c r="M89" s="8" t="s">
        <v>972</v>
      </c>
      <c r="N89" s="8" t="s">
        <v>973</v>
      </c>
      <c r="O89" s="8" t="s">
        <v>969</v>
      </c>
      <c r="P89" s="8" t="s">
        <v>969</v>
      </c>
      <c r="Q89" s="8" t="s">
        <v>969</v>
      </c>
      <c r="R89" s="8" t="s">
        <v>969</v>
      </c>
      <c r="S89" s="8" t="s">
        <v>969</v>
      </c>
      <c r="T89" s="8" t="s">
        <v>969</v>
      </c>
      <c r="U89" s="8" t="s">
        <v>2040</v>
      </c>
      <c r="V89" s="8" t="s">
        <v>2041</v>
      </c>
      <c r="W89" s="8" t="s">
        <v>2042</v>
      </c>
      <c r="X89" s="8" t="s">
        <v>2043</v>
      </c>
      <c r="Y89" s="8" t="s">
        <v>2044</v>
      </c>
      <c r="Z89" s="8" t="s">
        <v>2045</v>
      </c>
      <c r="AA89" s="8" t="s">
        <v>3164</v>
      </c>
      <c r="AB89" s="8" t="s">
        <v>3165</v>
      </c>
      <c r="AC89" s="8" t="s">
        <v>969</v>
      </c>
      <c r="AD89" s="8" t="s">
        <v>969</v>
      </c>
      <c r="AE89" s="8" t="s">
        <v>969</v>
      </c>
      <c r="AF89" s="8" t="s">
        <v>969</v>
      </c>
      <c r="AG89" s="8">
        <v>65.0</v>
      </c>
      <c r="AH89" s="8">
        <v>343.0</v>
      </c>
      <c r="AI89" s="8">
        <v>448.0</v>
      </c>
      <c r="AJ89" s="8">
        <v>0.0</v>
      </c>
      <c r="AK89" s="8">
        <v>122.0</v>
      </c>
      <c r="AL89" s="8" t="s">
        <v>1985</v>
      </c>
      <c r="AM89" s="8" t="s">
        <v>1986</v>
      </c>
      <c r="AN89" s="8" t="s">
        <v>1987</v>
      </c>
      <c r="AO89" s="8" t="s">
        <v>1988</v>
      </c>
      <c r="AP89" s="8" t="s">
        <v>969</v>
      </c>
      <c r="AQ89" s="8" t="s">
        <v>969</v>
      </c>
      <c r="AR89" s="8" t="s">
        <v>1974</v>
      </c>
      <c r="AS89" s="8" t="s">
        <v>1989</v>
      </c>
      <c r="AT89" s="8" t="s">
        <v>2048</v>
      </c>
      <c r="AU89" s="8">
        <v>2008.0</v>
      </c>
      <c r="AV89" s="8">
        <v>3.0</v>
      </c>
      <c r="AW89" s="8">
        <v>6.0</v>
      </c>
      <c r="AX89" s="8" t="s">
        <v>969</v>
      </c>
      <c r="AY89" s="8" t="s">
        <v>969</v>
      </c>
      <c r="AZ89" s="8" t="s">
        <v>969</v>
      </c>
      <c r="BA89" s="8" t="s">
        <v>969</v>
      </c>
      <c r="BB89" s="8" t="s">
        <v>969</v>
      </c>
      <c r="BC89" s="8" t="s">
        <v>969</v>
      </c>
      <c r="BD89" s="8" t="s">
        <v>2049</v>
      </c>
      <c r="BE89" s="8" t="s">
        <v>812</v>
      </c>
      <c r="BF89" s="13" t="str">
        <f>HYPERLINK("http://dx.doi.org/10.1371/journal.pone.0002502","http://dx.doi.org/10.1371/journal.pone.0002502")</f>
        <v>http://dx.doi.org/10.1371/journal.pone.0002502</v>
      </c>
      <c r="BG89" s="8" t="s">
        <v>969</v>
      </c>
      <c r="BH89" s="8" t="s">
        <v>969</v>
      </c>
      <c r="BI89" s="8">
        <v>10.0</v>
      </c>
      <c r="BJ89" s="8" t="s">
        <v>1076</v>
      </c>
      <c r="BK89" s="8" t="s">
        <v>988</v>
      </c>
      <c r="BL89" s="8" t="s">
        <v>1077</v>
      </c>
      <c r="BM89" s="8" t="s">
        <v>2050</v>
      </c>
      <c r="BN89" s="8">
        <v>1.8648541E7</v>
      </c>
      <c r="BO89" s="8" t="s">
        <v>1140</v>
      </c>
      <c r="BP89" s="8" t="s">
        <v>969</v>
      </c>
      <c r="BQ89" s="8" t="s">
        <v>969</v>
      </c>
      <c r="BR89" s="8" t="s">
        <v>2912</v>
      </c>
      <c r="BS89" s="8" t="s">
        <v>2051</v>
      </c>
      <c r="BT89" s="3" t="s">
        <v>3137</v>
      </c>
      <c r="BU89" s="3" t="s">
        <v>66</v>
      </c>
      <c r="BW89" s="8" t="s">
        <v>51</v>
      </c>
      <c r="BX89" s="3">
        <v>1.0</v>
      </c>
      <c r="BY89" s="8" t="str">
        <f>HYPERLINK("https%3A%2F%2Fwww.webofscience.com%2Fwos%2Fwoscc%2Ffull-record%2FWOS:000263288000024","View Full Record in Web of Science")</f>
        <v>View Full Record in Web of Science</v>
      </c>
    </row>
    <row r="90" ht="12.75" customHeight="1">
      <c r="A90" s="8" t="s">
        <v>967</v>
      </c>
      <c r="B90" s="8" t="s">
        <v>1796</v>
      </c>
      <c r="C90" s="8" t="s">
        <v>969</v>
      </c>
      <c r="D90" s="8" t="s">
        <v>969</v>
      </c>
      <c r="E90" s="8" t="s">
        <v>969</v>
      </c>
      <c r="F90" s="8" t="s">
        <v>1797</v>
      </c>
      <c r="G90" s="8" t="s">
        <v>969</v>
      </c>
      <c r="H90" s="8" t="s">
        <v>969</v>
      </c>
      <c r="I90" s="8" t="s">
        <v>1798</v>
      </c>
      <c r="J90" s="8" t="s">
        <v>1799</v>
      </c>
      <c r="K90" s="8" t="s">
        <v>969</v>
      </c>
      <c r="L90" s="8" t="s">
        <v>969</v>
      </c>
      <c r="M90" s="8" t="s">
        <v>972</v>
      </c>
      <c r="N90" s="8" t="s">
        <v>1145</v>
      </c>
      <c r="O90" s="8" t="s">
        <v>1800</v>
      </c>
      <c r="P90" s="8" t="s">
        <v>1801</v>
      </c>
      <c r="Q90" s="8" t="s">
        <v>1802</v>
      </c>
      <c r="R90" s="8" t="s">
        <v>1803</v>
      </c>
      <c r="S90" s="8" t="s">
        <v>969</v>
      </c>
      <c r="T90" s="8" t="s">
        <v>1804</v>
      </c>
      <c r="U90" s="8" t="s">
        <v>1805</v>
      </c>
      <c r="V90" s="8" t="s">
        <v>1806</v>
      </c>
      <c r="W90" s="8" t="s">
        <v>1807</v>
      </c>
      <c r="X90" s="8" t="s">
        <v>1808</v>
      </c>
      <c r="Y90" s="8" t="s">
        <v>1809</v>
      </c>
      <c r="Z90" s="8" t="s">
        <v>1810</v>
      </c>
      <c r="AA90" s="8" t="s">
        <v>3166</v>
      </c>
      <c r="AB90" s="8" t="s">
        <v>3167</v>
      </c>
      <c r="AC90" s="8" t="s">
        <v>969</v>
      </c>
      <c r="AD90" s="8" t="s">
        <v>969</v>
      </c>
      <c r="AE90" s="8" t="s">
        <v>969</v>
      </c>
      <c r="AF90" s="8" t="s">
        <v>969</v>
      </c>
      <c r="AG90" s="8">
        <v>68.0</v>
      </c>
      <c r="AH90" s="8">
        <v>529.0</v>
      </c>
      <c r="AI90" s="8">
        <v>705.0</v>
      </c>
      <c r="AJ90" s="8">
        <v>1.0</v>
      </c>
      <c r="AK90" s="8">
        <v>225.0</v>
      </c>
      <c r="AL90" s="8" t="s">
        <v>1813</v>
      </c>
      <c r="AM90" s="8" t="s">
        <v>1261</v>
      </c>
      <c r="AN90" s="8" t="s">
        <v>1814</v>
      </c>
      <c r="AO90" s="8" t="s">
        <v>1815</v>
      </c>
      <c r="AP90" s="8" t="s">
        <v>1816</v>
      </c>
      <c r="AQ90" s="8" t="s">
        <v>969</v>
      </c>
      <c r="AR90" s="8" t="s">
        <v>1817</v>
      </c>
      <c r="AS90" s="8" t="s">
        <v>1818</v>
      </c>
      <c r="AT90" s="8" t="s">
        <v>1819</v>
      </c>
      <c r="AU90" s="8">
        <v>2008.0</v>
      </c>
      <c r="AV90" s="8">
        <v>254.0</v>
      </c>
      <c r="AW90" s="8">
        <v>3.0</v>
      </c>
      <c r="AX90" s="8" t="s">
        <v>969</v>
      </c>
      <c r="AY90" s="8" t="s">
        <v>969</v>
      </c>
      <c r="AZ90" s="8" t="s">
        <v>969</v>
      </c>
      <c r="BA90" s="8" t="s">
        <v>969</v>
      </c>
      <c r="BB90" s="8">
        <v>390.0</v>
      </c>
      <c r="BC90" s="8">
        <v>406.0</v>
      </c>
      <c r="BD90" s="8" t="s">
        <v>969</v>
      </c>
      <c r="BE90" s="8" t="s">
        <v>569</v>
      </c>
      <c r="BF90" s="13" t="str">
        <f>HYPERLINK("http://dx.doi.org/10.1016/j.foreco.2007.07.023","http://dx.doi.org/10.1016/j.foreco.2007.07.023")</f>
        <v>http://dx.doi.org/10.1016/j.foreco.2007.07.023</v>
      </c>
      <c r="BG90" s="8" t="s">
        <v>969</v>
      </c>
      <c r="BH90" s="8" t="s">
        <v>969</v>
      </c>
      <c r="BI90" s="8">
        <v>17.0</v>
      </c>
      <c r="BJ90" s="8" t="s">
        <v>1820</v>
      </c>
      <c r="BK90" s="8" t="s">
        <v>1164</v>
      </c>
      <c r="BL90" s="8" t="s">
        <v>1820</v>
      </c>
      <c r="BM90" s="8" t="s">
        <v>1821</v>
      </c>
      <c r="BN90" s="8" t="s">
        <v>969</v>
      </c>
      <c r="BO90" s="8" t="s">
        <v>969</v>
      </c>
      <c r="BP90" s="8" t="s">
        <v>969</v>
      </c>
      <c r="BQ90" s="8" t="s">
        <v>969</v>
      </c>
      <c r="BR90" s="8" t="s">
        <v>2912</v>
      </c>
      <c r="BS90" s="8" t="s">
        <v>1822</v>
      </c>
      <c r="BT90" s="3" t="s">
        <v>3137</v>
      </c>
      <c r="BU90" s="3" t="s">
        <v>66</v>
      </c>
      <c r="BW90" s="8" t="s">
        <v>51</v>
      </c>
      <c r="BX90" s="3">
        <v>1.0</v>
      </c>
      <c r="BY90" s="8" t="str">
        <f>HYPERLINK("https%3A%2F%2Fwww.webofscience.com%2Fwos%2Fwoscc%2Ffull-record%2FWOS:000253444600003","View Full Record in Web of Science")</f>
        <v>View Full Record in Web of Science</v>
      </c>
    </row>
    <row r="91" ht="12.75" customHeight="1">
      <c r="A91" s="8" t="s">
        <v>967</v>
      </c>
      <c r="B91" s="8" t="s">
        <v>1742</v>
      </c>
      <c r="C91" s="8" t="s">
        <v>969</v>
      </c>
      <c r="D91" s="8" t="s">
        <v>969</v>
      </c>
      <c r="E91" s="8" t="s">
        <v>969</v>
      </c>
      <c r="F91" s="8" t="s">
        <v>1743</v>
      </c>
      <c r="G91" s="8" t="s">
        <v>969</v>
      </c>
      <c r="H91" s="8" t="s">
        <v>969</v>
      </c>
      <c r="I91" s="8" t="s">
        <v>1744</v>
      </c>
      <c r="J91" s="8" t="s">
        <v>1745</v>
      </c>
      <c r="K91" s="8" t="s">
        <v>969</v>
      </c>
      <c r="L91" s="8" t="s">
        <v>969</v>
      </c>
      <c r="M91" s="8" t="s">
        <v>972</v>
      </c>
      <c r="N91" s="8" t="s">
        <v>973</v>
      </c>
      <c r="O91" s="8" t="s">
        <v>969</v>
      </c>
      <c r="P91" s="8" t="s">
        <v>969</v>
      </c>
      <c r="Q91" s="8" t="s">
        <v>969</v>
      </c>
      <c r="R91" s="8" t="s">
        <v>969</v>
      </c>
      <c r="S91" s="8" t="s">
        <v>969</v>
      </c>
      <c r="T91" s="8" t="s">
        <v>1746</v>
      </c>
      <c r="U91" s="8" t="s">
        <v>1747</v>
      </c>
      <c r="V91" s="8" t="s">
        <v>1748</v>
      </c>
      <c r="W91" s="8" t="s">
        <v>1749</v>
      </c>
      <c r="X91" s="8" t="s">
        <v>1750</v>
      </c>
      <c r="Y91" s="8" t="s">
        <v>1751</v>
      </c>
      <c r="Z91" s="8" t="s">
        <v>1752</v>
      </c>
      <c r="AA91" s="8" t="s">
        <v>3168</v>
      </c>
      <c r="AB91" s="8" t="s">
        <v>3169</v>
      </c>
      <c r="AC91" s="8" t="s">
        <v>969</v>
      </c>
      <c r="AD91" s="8" t="s">
        <v>969</v>
      </c>
      <c r="AE91" s="8" t="s">
        <v>969</v>
      </c>
      <c r="AF91" s="8" t="s">
        <v>969</v>
      </c>
      <c r="AG91" s="8">
        <v>94.0</v>
      </c>
      <c r="AH91" s="8">
        <v>229.0</v>
      </c>
      <c r="AI91" s="8">
        <v>266.0</v>
      </c>
      <c r="AJ91" s="8">
        <v>1.0</v>
      </c>
      <c r="AK91" s="8">
        <v>120.0</v>
      </c>
      <c r="AL91" s="8" t="s">
        <v>1755</v>
      </c>
      <c r="AM91" s="8" t="s">
        <v>1756</v>
      </c>
      <c r="AN91" s="8" t="s">
        <v>1757</v>
      </c>
      <c r="AO91" s="8" t="s">
        <v>1758</v>
      </c>
      <c r="AP91" s="8" t="s">
        <v>1759</v>
      </c>
      <c r="AQ91" s="8" t="s">
        <v>969</v>
      </c>
      <c r="AR91" s="8" t="s">
        <v>1760</v>
      </c>
      <c r="AS91" s="8" t="s">
        <v>1761</v>
      </c>
      <c r="AT91" s="8" t="s">
        <v>1016</v>
      </c>
      <c r="AU91" s="8">
        <v>2008.0</v>
      </c>
      <c r="AV91" s="8">
        <v>171.0</v>
      </c>
      <c r="AW91" s="8">
        <v>1.0</v>
      </c>
      <c r="AX91" s="8" t="s">
        <v>969</v>
      </c>
      <c r="AY91" s="8" t="s">
        <v>969</v>
      </c>
      <c r="AZ91" s="8" t="s">
        <v>969</v>
      </c>
      <c r="BA91" s="8" t="s">
        <v>969</v>
      </c>
      <c r="BB91" s="8" t="s">
        <v>1762</v>
      </c>
      <c r="BC91" s="8" t="s">
        <v>1763</v>
      </c>
      <c r="BD91" s="8" t="s">
        <v>969</v>
      </c>
      <c r="BE91" s="8" t="s">
        <v>647</v>
      </c>
      <c r="BF91" s="13" t="str">
        <f>HYPERLINK("http://dx.doi.org/10.1086/523949","http://dx.doi.org/10.1086/523949")</f>
        <v>http://dx.doi.org/10.1086/523949</v>
      </c>
      <c r="BG91" s="8" t="s">
        <v>969</v>
      </c>
      <c r="BH91" s="8" t="s">
        <v>969</v>
      </c>
      <c r="BI91" s="8">
        <v>19.0</v>
      </c>
      <c r="BJ91" s="8" t="s">
        <v>1764</v>
      </c>
      <c r="BK91" s="8" t="s">
        <v>988</v>
      </c>
      <c r="BL91" s="8" t="s">
        <v>1765</v>
      </c>
      <c r="BM91" s="8" t="s">
        <v>1766</v>
      </c>
      <c r="BN91" s="8">
        <v>1.817114E7</v>
      </c>
      <c r="BO91" s="8" t="s">
        <v>969</v>
      </c>
      <c r="BP91" s="8" t="s">
        <v>969</v>
      </c>
      <c r="BQ91" s="8" t="s">
        <v>969</v>
      </c>
      <c r="BR91" s="8" t="s">
        <v>2912</v>
      </c>
      <c r="BS91" s="8" t="s">
        <v>1767</v>
      </c>
      <c r="BT91" s="3" t="s">
        <v>3137</v>
      </c>
      <c r="BU91" s="3" t="s">
        <v>66</v>
      </c>
      <c r="BW91" s="8" t="s">
        <v>40</v>
      </c>
      <c r="BX91" s="3">
        <v>1.0</v>
      </c>
      <c r="BY91" s="8" t="str">
        <f>HYPERLINK("https%3A%2F%2Fwww.webofscience.com%2Fwos%2Fwoscc%2Ffull-record%2FWOS:000252191700017","View Full Record in Web of Science")</f>
        <v>View Full Record in Web of Science</v>
      </c>
    </row>
    <row r="92" ht="12.75" customHeight="1">
      <c r="A92" s="8" t="s">
        <v>967</v>
      </c>
      <c r="B92" s="8" t="s">
        <v>1729</v>
      </c>
      <c r="C92" s="8" t="s">
        <v>969</v>
      </c>
      <c r="D92" s="8" t="s">
        <v>969</v>
      </c>
      <c r="E92" s="8" t="s">
        <v>969</v>
      </c>
      <c r="F92" s="8" t="s">
        <v>1730</v>
      </c>
      <c r="G92" s="8" t="s">
        <v>969</v>
      </c>
      <c r="H92" s="8" t="s">
        <v>969</v>
      </c>
      <c r="I92" s="8" t="s">
        <v>1731</v>
      </c>
      <c r="J92" s="8" t="s">
        <v>1538</v>
      </c>
      <c r="K92" s="8" t="s">
        <v>969</v>
      </c>
      <c r="L92" s="8" t="s">
        <v>969</v>
      </c>
      <c r="M92" s="8" t="s">
        <v>972</v>
      </c>
      <c r="N92" s="8" t="s">
        <v>973</v>
      </c>
      <c r="O92" s="8" t="s">
        <v>969</v>
      </c>
      <c r="P92" s="8" t="s">
        <v>969</v>
      </c>
      <c r="Q92" s="8" t="s">
        <v>969</v>
      </c>
      <c r="R92" s="8" t="s">
        <v>969</v>
      </c>
      <c r="S92" s="8" t="s">
        <v>969</v>
      </c>
      <c r="T92" s="8" t="s">
        <v>1732</v>
      </c>
      <c r="U92" s="8" t="s">
        <v>1733</v>
      </c>
      <c r="V92" s="8" t="s">
        <v>1734</v>
      </c>
      <c r="W92" s="8" t="s">
        <v>1735</v>
      </c>
      <c r="X92" s="8" t="s">
        <v>3170</v>
      </c>
      <c r="Y92" s="8" t="s">
        <v>1737</v>
      </c>
      <c r="Z92" s="8" t="s">
        <v>1738</v>
      </c>
      <c r="AA92" s="8" t="s">
        <v>1739</v>
      </c>
      <c r="AB92" s="8" t="s">
        <v>969</v>
      </c>
      <c r="AC92" s="8" t="s">
        <v>969</v>
      </c>
      <c r="AD92" s="8" t="s">
        <v>969</v>
      </c>
      <c r="AE92" s="8" t="s">
        <v>969</v>
      </c>
      <c r="AF92" s="8" t="s">
        <v>969</v>
      </c>
      <c r="AG92" s="8">
        <v>51.0</v>
      </c>
      <c r="AH92" s="8">
        <v>115.0</v>
      </c>
      <c r="AI92" s="8">
        <v>141.0</v>
      </c>
      <c r="AJ92" s="8">
        <v>1.0</v>
      </c>
      <c r="AK92" s="8">
        <v>48.0</v>
      </c>
      <c r="AL92" s="8" t="s">
        <v>1091</v>
      </c>
      <c r="AM92" s="8" t="s">
        <v>1092</v>
      </c>
      <c r="AN92" s="8" t="s">
        <v>1093</v>
      </c>
      <c r="AO92" s="8" t="s">
        <v>1548</v>
      </c>
      <c r="AP92" s="8" t="s">
        <v>1549</v>
      </c>
      <c r="AQ92" s="8" t="s">
        <v>969</v>
      </c>
      <c r="AR92" s="8" t="s">
        <v>1550</v>
      </c>
      <c r="AS92" s="8" t="s">
        <v>1551</v>
      </c>
      <c r="AT92" s="8" t="s">
        <v>986</v>
      </c>
      <c r="AU92" s="8">
        <v>2007.0</v>
      </c>
      <c r="AV92" s="8">
        <v>21.0</v>
      </c>
      <c r="AW92" s="8">
        <v>6.0</v>
      </c>
      <c r="AX92" s="8" t="s">
        <v>969</v>
      </c>
      <c r="AY92" s="8" t="s">
        <v>969</v>
      </c>
      <c r="AZ92" s="8" t="s">
        <v>969</v>
      </c>
      <c r="BA92" s="8" t="s">
        <v>969</v>
      </c>
      <c r="BB92" s="8">
        <v>1545.0</v>
      </c>
      <c r="BC92" s="8">
        <v>1555.0</v>
      </c>
      <c r="BD92" s="8" t="s">
        <v>969</v>
      </c>
      <c r="BE92" s="8" t="s">
        <v>776</v>
      </c>
      <c r="BF92" s="13" t="str">
        <f>HYPERLINK("http://dx.doi.org/10.1111/j.1523-1739.2007.00814.x","http://dx.doi.org/10.1111/j.1523-1739.2007.00814.x")</f>
        <v>http://dx.doi.org/10.1111/j.1523-1739.2007.00814.x</v>
      </c>
      <c r="BG92" s="8" t="s">
        <v>969</v>
      </c>
      <c r="BH92" s="8" t="s">
        <v>969</v>
      </c>
      <c r="BI92" s="8">
        <v>11.0</v>
      </c>
      <c r="BJ92" s="8" t="s">
        <v>987</v>
      </c>
      <c r="BK92" s="8" t="s">
        <v>988</v>
      </c>
      <c r="BL92" s="8" t="s">
        <v>989</v>
      </c>
      <c r="BM92" s="8" t="s">
        <v>1740</v>
      </c>
      <c r="BN92" s="8">
        <v>1.8173478E7</v>
      </c>
      <c r="BO92" s="8" t="s">
        <v>969</v>
      </c>
      <c r="BP92" s="8" t="s">
        <v>969</v>
      </c>
      <c r="BQ92" s="8" t="s">
        <v>969</v>
      </c>
      <c r="BR92" s="8" t="s">
        <v>2912</v>
      </c>
      <c r="BS92" s="8" t="s">
        <v>1741</v>
      </c>
      <c r="BT92" s="3" t="s">
        <v>3137</v>
      </c>
      <c r="BU92" s="3" t="s">
        <v>66</v>
      </c>
      <c r="BW92" s="8" t="s">
        <v>51</v>
      </c>
      <c r="BX92" s="3">
        <v>1.0</v>
      </c>
      <c r="BY92" s="8" t="str">
        <f>HYPERLINK("https%3A%2F%2Fwww.webofscience.com%2Fwos%2Fwoscc%2Ffull-record%2FWOS:000251764200024","View Full Record in Web of Science")</f>
        <v>View Full Record in Web of Science</v>
      </c>
    </row>
    <row r="93" ht="12.75" customHeight="1">
      <c r="A93" s="8" t="s">
        <v>967</v>
      </c>
      <c r="B93" s="8" t="s">
        <v>1679</v>
      </c>
      <c r="C93" s="8" t="s">
        <v>969</v>
      </c>
      <c r="D93" s="8" t="s">
        <v>969</v>
      </c>
      <c r="E93" s="8" t="s">
        <v>969</v>
      </c>
      <c r="F93" s="8" t="s">
        <v>1680</v>
      </c>
      <c r="G93" s="8" t="s">
        <v>969</v>
      </c>
      <c r="H93" s="8" t="s">
        <v>969</v>
      </c>
      <c r="I93" s="8" t="s">
        <v>1681</v>
      </c>
      <c r="J93" s="8" t="s">
        <v>1538</v>
      </c>
      <c r="K93" s="8" t="s">
        <v>969</v>
      </c>
      <c r="L93" s="8" t="s">
        <v>969</v>
      </c>
      <c r="M93" s="8" t="s">
        <v>972</v>
      </c>
      <c r="N93" s="8" t="s">
        <v>973</v>
      </c>
      <c r="O93" s="8" t="s">
        <v>969</v>
      </c>
      <c r="P93" s="8" t="s">
        <v>969</v>
      </c>
      <c r="Q93" s="8" t="s">
        <v>969</v>
      </c>
      <c r="R93" s="8" t="s">
        <v>969</v>
      </c>
      <c r="S93" s="8" t="s">
        <v>969</v>
      </c>
      <c r="T93" s="8" t="s">
        <v>1682</v>
      </c>
      <c r="U93" s="8" t="s">
        <v>1683</v>
      </c>
      <c r="V93" s="8" t="s">
        <v>1684</v>
      </c>
      <c r="W93" s="8" t="s">
        <v>1685</v>
      </c>
      <c r="X93" s="8" t="s">
        <v>969</v>
      </c>
      <c r="Y93" s="8" t="s">
        <v>1686</v>
      </c>
      <c r="Z93" s="8" t="s">
        <v>1687</v>
      </c>
      <c r="AA93" s="8" t="s">
        <v>969</v>
      </c>
      <c r="AB93" s="8" t="s">
        <v>969</v>
      </c>
      <c r="AC93" s="8" t="s">
        <v>969</v>
      </c>
      <c r="AD93" s="8" t="s">
        <v>969</v>
      </c>
      <c r="AE93" s="8" t="s">
        <v>969</v>
      </c>
      <c r="AF93" s="8" t="s">
        <v>969</v>
      </c>
      <c r="AG93" s="8">
        <v>41.0</v>
      </c>
      <c r="AH93" s="8">
        <v>105.0</v>
      </c>
      <c r="AI93" s="8">
        <v>130.0</v>
      </c>
      <c r="AJ93" s="8">
        <v>1.0</v>
      </c>
      <c r="AK93" s="8">
        <v>144.0</v>
      </c>
      <c r="AL93" s="8" t="s">
        <v>1091</v>
      </c>
      <c r="AM93" s="8" t="s">
        <v>1092</v>
      </c>
      <c r="AN93" s="8" t="s">
        <v>1093</v>
      </c>
      <c r="AO93" s="8" t="s">
        <v>1548</v>
      </c>
      <c r="AP93" s="8" t="s">
        <v>1549</v>
      </c>
      <c r="AQ93" s="8" t="s">
        <v>969</v>
      </c>
      <c r="AR93" s="8" t="s">
        <v>1550</v>
      </c>
      <c r="AS93" s="8" t="s">
        <v>1551</v>
      </c>
      <c r="AT93" s="8" t="s">
        <v>1211</v>
      </c>
      <c r="AU93" s="8">
        <v>2007.0</v>
      </c>
      <c r="AV93" s="8">
        <v>21.0</v>
      </c>
      <c r="AW93" s="8">
        <v>4.0</v>
      </c>
      <c r="AX93" s="8" t="s">
        <v>969</v>
      </c>
      <c r="AY93" s="8" t="s">
        <v>969</v>
      </c>
      <c r="AZ93" s="8" t="s">
        <v>969</v>
      </c>
      <c r="BA93" s="8" t="s">
        <v>969</v>
      </c>
      <c r="BB93" s="8">
        <v>1092.0</v>
      </c>
      <c r="BC93" s="8">
        <v>1104.0</v>
      </c>
      <c r="BD93" s="8" t="s">
        <v>969</v>
      </c>
      <c r="BE93" s="8" t="s">
        <v>773</v>
      </c>
      <c r="BF93" s="13" t="str">
        <f>HYPERLINK("http://dx.doi.org/10.1111/j.1523-1739.2007.00719.x","http://dx.doi.org/10.1111/j.1523-1739.2007.00719.x")</f>
        <v>http://dx.doi.org/10.1111/j.1523-1739.2007.00719.x</v>
      </c>
      <c r="BG93" s="8" t="s">
        <v>969</v>
      </c>
      <c r="BH93" s="8" t="s">
        <v>969</v>
      </c>
      <c r="BI93" s="8">
        <v>13.0</v>
      </c>
      <c r="BJ93" s="8" t="s">
        <v>987</v>
      </c>
      <c r="BK93" s="8" t="s">
        <v>988</v>
      </c>
      <c r="BL93" s="8" t="s">
        <v>989</v>
      </c>
      <c r="BM93" s="8" t="s">
        <v>1688</v>
      </c>
      <c r="BN93" s="8">
        <v>1.7650258E7</v>
      </c>
      <c r="BO93" s="8" t="s">
        <v>969</v>
      </c>
      <c r="BP93" s="8" t="s">
        <v>969</v>
      </c>
      <c r="BQ93" s="8" t="s">
        <v>969</v>
      </c>
      <c r="BR93" s="8" t="s">
        <v>2912</v>
      </c>
      <c r="BS93" s="8" t="s">
        <v>1689</v>
      </c>
      <c r="BT93" s="3" t="s">
        <v>3137</v>
      </c>
      <c r="BU93" s="3" t="s">
        <v>66</v>
      </c>
      <c r="BW93" s="8" t="s">
        <v>56</v>
      </c>
      <c r="BX93" s="3">
        <v>1.0</v>
      </c>
      <c r="BY93" s="8" t="str">
        <f>HYPERLINK("https%3A%2F%2Fwww.webofscience.com%2Fwos%2Fwoscc%2Ffull-record%2FWOS:000248401200029","View Full Record in Web of Science")</f>
        <v>View Full Record in Web of Science</v>
      </c>
    </row>
    <row r="94" ht="12.75" customHeight="1">
      <c r="A94" s="8" t="s">
        <v>967</v>
      </c>
      <c r="B94" s="8" t="s">
        <v>1600</v>
      </c>
      <c r="C94" s="8" t="s">
        <v>969</v>
      </c>
      <c r="D94" s="8" t="s">
        <v>969</v>
      </c>
      <c r="E94" s="8" t="s">
        <v>969</v>
      </c>
      <c r="F94" s="8" t="s">
        <v>1601</v>
      </c>
      <c r="G94" s="8" t="s">
        <v>969</v>
      </c>
      <c r="H94" s="8" t="s">
        <v>969</v>
      </c>
      <c r="I94" s="8" t="s">
        <v>1602</v>
      </c>
      <c r="J94" s="8" t="s">
        <v>1025</v>
      </c>
      <c r="K94" s="8" t="s">
        <v>969</v>
      </c>
      <c r="L94" s="8" t="s">
        <v>969</v>
      </c>
      <c r="M94" s="8" t="s">
        <v>972</v>
      </c>
      <c r="N94" s="8" t="s">
        <v>973</v>
      </c>
      <c r="O94" s="8" t="s">
        <v>969</v>
      </c>
      <c r="P94" s="8" t="s">
        <v>969</v>
      </c>
      <c r="Q94" s="8" t="s">
        <v>969</v>
      </c>
      <c r="R94" s="8" t="s">
        <v>969</v>
      </c>
      <c r="S94" s="8" t="s">
        <v>969</v>
      </c>
      <c r="T94" s="8" t="s">
        <v>969</v>
      </c>
      <c r="U94" s="8" t="s">
        <v>1603</v>
      </c>
      <c r="V94" s="8" t="s">
        <v>1604</v>
      </c>
      <c r="W94" s="8" t="s">
        <v>969</v>
      </c>
      <c r="X94" s="8" t="s">
        <v>969</v>
      </c>
      <c r="Y94" s="8" t="s">
        <v>1605</v>
      </c>
      <c r="Z94" s="8" t="s">
        <v>1606</v>
      </c>
      <c r="AA94" s="8" t="s">
        <v>1607</v>
      </c>
      <c r="AB94" s="8" t="s">
        <v>1608</v>
      </c>
      <c r="AC94" s="8" t="s">
        <v>969</v>
      </c>
      <c r="AD94" s="8" t="s">
        <v>969</v>
      </c>
      <c r="AE94" s="8" t="s">
        <v>969</v>
      </c>
      <c r="AF94" s="8" t="s">
        <v>969</v>
      </c>
      <c r="AG94" s="8">
        <v>72.0</v>
      </c>
      <c r="AH94" s="8">
        <v>26.0</v>
      </c>
      <c r="AI94" s="8">
        <v>30.0</v>
      </c>
      <c r="AJ94" s="8">
        <v>0.0</v>
      </c>
      <c r="AK94" s="8">
        <v>10.0</v>
      </c>
      <c r="AL94" s="8" t="s">
        <v>1609</v>
      </c>
      <c r="AM94" s="8" t="s">
        <v>1032</v>
      </c>
      <c r="AN94" s="8" t="s">
        <v>1210</v>
      </c>
      <c r="AO94" s="8" t="s">
        <v>1034</v>
      </c>
      <c r="AP94" s="8" t="s">
        <v>1610</v>
      </c>
      <c r="AQ94" s="8" t="s">
        <v>969</v>
      </c>
      <c r="AR94" s="8" t="s">
        <v>1025</v>
      </c>
      <c r="AS94" s="8" t="s">
        <v>1035</v>
      </c>
      <c r="AT94" s="8" t="s">
        <v>1177</v>
      </c>
      <c r="AU94" s="8">
        <v>2006.0</v>
      </c>
      <c r="AV94" s="8">
        <v>76.0</v>
      </c>
      <c r="AW94" s="8" t="s">
        <v>1200</v>
      </c>
      <c r="AX94" s="8" t="s">
        <v>969</v>
      </c>
      <c r="AY94" s="8" t="s">
        <v>969</v>
      </c>
      <c r="AZ94" s="8" t="s">
        <v>969</v>
      </c>
      <c r="BA94" s="8" t="s">
        <v>969</v>
      </c>
      <c r="BB94" s="8">
        <v>91.0</v>
      </c>
      <c r="BC94" s="8">
        <v>119.0</v>
      </c>
      <c r="BD94" s="8" t="s">
        <v>969</v>
      </c>
      <c r="BE94" s="8" t="s">
        <v>536</v>
      </c>
      <c r="BF94" s="13" t="str">
        <f>HYPERLINK("http://dx.doi.org/10.1007/s10584-005-9014-1","http://dx.doi.org/10.1007/s10584-005-9014-1")</f>
        <v>http://dx.doi.org/10.1007/s10584-005-9014-1</v>
      </c>
      <c r="BG94" s="8" t="s">
        <v>969</v>
      </c>
      <c r="BH94" s="8" t="s">
        <v>969</v>
      </c>
      <c r="BI94" s="8">
        <v>29.0</v>
      </c>
      <c r="BJ94" s="8" t="s">
        <v>1037</v>
      </c>
      <c r="BK94" s="8" t="s">
        <v>988</v>
      </c>
      <c r="BL94" s="8" t="s">
        <v>1038</v>
      </c>
      <c r="BM94" s="8" t="s">
        <v>1611</v>
      </c>
      <c r="BN94" s="8" t="s">
        <v>969</v>
      </c>
      <c r="BO94" s="8" t="s">
        <v>969</v>
      </c>
      <c r="BP94" s="8" t="s">
        <v>969</v>
      </c>
      <c r="BQ94" s="8" t="s">
        <v>969</v>
      </c>
      <c r="BR94" s="8" t="s">
        <v>2912</v>
      </c>
      <c r="BS94" s="8" t="s">
        <v>1612</v>
      </c>
      <c r="BT94" s="3" t="s">
        <v>3137</v>
      </c>
      <c r="BU94" s="3" t="s">
        <v>66</v>
      </c>
      <c r="BW94" s="8" t="s">
        <v>67</v>
      </c>
      <c r="BX94" s="3">
        <v>1.0</v>
      </c>
      <c r="BY94" s="8" t="str">
        <f>HYPERLINK("https%3A%2F%2Fwww.webofscience.com%2Fwos%2Fwoscc%2Ffull-record%2FWOS:000239060600006","View Full Record in Web of Science")</f>
        <v>View Full Record in Web of Science</v>
      </c>
    </row>
    <row r="95" ht="12.75" customHeight="1">
      <c r="A95" s="8" t="s">
        <v>967</v>
      </c>
      <c r="B95" s="8" t="s">
        <v>1476</v>
      </c>
      <c r="C95" s="8" t="s">
        <v>969</v>
      </c>
      <c r="D95" s="8" t="s">
        <v>969</v>
      </c>
      <c r="E95" s="8" t="s">
        <v>969</v>
      </c>
      <c r="F95" s="8" t="s">
        <v>1476</v>
      </c>
      <c r="G95" s="8" t="s">
        <v>969</v>
      </c>
      <c r="H95" s="8" t="s">
        <v>969</v>
      </c>
      <c r="I95" s="8" t="s">
        <v>1477</v>
      </c>
      <c r="J95" s="8" t="s">
        <v>1377</v>
      </c>
      <c r="K95" s="8" t="s">
        <v>969</v>
      </c>
      <c r="L95" s="8" t="s">
        <v>969</v>
      </c>
      <c r="M95" s="8" t="s">
        <v>972</v>
      </c>
      <c r="N95" s="8" t="s">
        <v>973</v>
      </c>
      <c r="O95" s="8" t="s">
        <v>969</v>
      </c>
      <c r="P95" s="8" t="s">
        <v>969</v>
      </c>
      <c r="Q95" s="8" t="s">
        <v>969</v>
      </c>
      <c r="R95" s="8" t="s">
        <v>969</v>
      </c>
      <c r="S95" s="8" t="s">
        <v>969</v>
      </c>
      <c r="T95" s="8" t="s">
        <v>1478</v>
      </c>
      <c r="U95" s="8" t="s">
        <v>1479</v>
      </c>
      <c r="V95" s="8" t="s">
        <v>1480</v>
      </c>
      <c r="W95" s="8" t="s">
        <v>1481</v>
      </c>
      <c r="X95" s="8" t="s">
        <v>1482</v>
      </c>
      <c r="Y95" s="8" t="s">
        <v>1483</v>
      </c>
      <c r="Z95" s="8" t="s">
        <v>1484</v>
      </c>
      <c r="AA95" s="8" t="s">
        <v>3171</v>
      </c>
      <c r="AB95" s="8" t="s">
        <v>3172</v>
      </c>
      <c r="AC95" s="8" t="s">
        <v>969</v>
      </c>
      <c r="AD95" s="8" t="s">
        <v>969</v>
      </c>
      <c r="AE95" s="8" t="s">
        <v>969</v>
      </c>
      <c r="AF95" s="8" t="s">
        <v>969</v>
      </c>
      <c r="AG95" s="8">
        <v>40.0</v>
      </c>
      <c r="AH95" s="8">
        <v>128.0</v>
      </c>
      <c r="AI95" s="8">
        <v>157.0</v>
      </c>
      <c r="AJ95" s="8">
        <v>1.0</v>
      </c>
      <c r="AK95" s="8">
        <v>48.0</v>
      </c>
      <c r="AL95" s="8" t="s">
        <v>1387</v>
      </c>
      <c r="AM95" s="8" t="s">
        <v>1388</v>
      </c>
      <c r="AN95" s="8" t="s">
        <v>1389</v>
      </c>
      <c r="AO95" s="8" t="s">
        <v>1390</v>
      </c>
      <c r="AP95" s="8" t="s">
        <v>1391</v>
      </c>
      <c r="AQ95" s="8" t="s">
        <v>969</v>
      </c>
      <c r="AR95" s="8" t="s">
        <v>1392</v>
      </c>
      <c r="AS95" s="8" t="s">
        <v>1393</v>
      </c>
      <c r="AT95" s="8" t="s">
        <v>1487</v>
      </c>
      <c r="AU95" s="8">
        <v>2005.0</v>
      </c>
      <c r="AV95" s="8">
        <v>102.0</v>
      </c>
      <c r="AW95" s="8">
        <v>45.0</v>
      </c>
      <c r="AX95" s="8" t="s">
        <v>969</v>
      </c>
      <c r="AY95" s="8" t="s">
        <v>969</v>
      </c>
      <c r="AZ95" s="8" t="s">
        <v>969</v>
      </c>
      <c r="BA95" s="8" t="s">
        <v>969</v>
      </c>
      <c r="BB95" s="8">
        <v>16281.0</v>
      </c>
      <c r="BC95" s="8">
        <v>16286.0</v>
      </c>
      <c r="BD95" s="8" t="s">
        <v>969</v>
      </c>
      <c r="BE95" s="8" t="s">
        <v>638</v>
      </c>
      <c r="BF95" s="13" t="str">
        <f>HYPERLINK("http://dx.doi.org/10.1073/pnas.0501427102","http://dx.doi.org/10.1073/pnas.0501427102")</f>
        <v>http://dx.doi.org/10.1073/pnas.0501427102</v>
      </c>
      <c r="BG95" s="8" t="s">
        <v>969</v>
      </c>
      <c r="BH95" s="8" t="s">
        <v>969</v>
      </c>
      <c r="BI95" s="8">
        <v>6.0</v>
      </c>
      <c r="BJ95" s="8" t="s">
        <v>1076</v>
      </c>
      <c r="BK95" s="8" t="s">
        <v>988</v>
      </c>
      <c r="BL95" s="8" t="s">
        <v>1077</v>
      </c>
      <c r="BM95" s="8" t="s">
        <v>1488</v>
      </c>
      <c r="BN95" s="8">
        <v>1.626075E7</v>
      </c>
      <c r="BO95" s="8" t="s">
        <v>1227</v>
      </c>
      <c r="BP95" s="8" t="s">
        <v>969</v>
      </c>
      <c r="BQ95" s="8" t="s">
        <v>969</v>
      </c>
      <c r="BR95" s="8" t="s">
        <v>2912</v>
      </c>
      <c r="BS95" s="8" t="s">
        <v>1489</v>
      </c>
      <c r="BT95" s="3" t="s">
        <v>3137</v>
      </c>
      <c r="BU95" s="3" t="s">
        <v>66</v>
      </c>
      <c r="BW95" s="8" t="s">
        <v>51</v>
      </c>
      <c r="BX95" s="3">
        <v>1.0</v>
      </c>
      <c r="BY95" s="8" t="str">
        <f>HYPERLINK("https%3A%2F%2Fwww.webofscience.com%2Fwos%2Fwoscc%2Ffull-record%2FWOS:000233283700029","View Full Record in Web of Science")</f>
        <v>View Full Record in Web of Science</v>
      </c>
    </row>
    <row r="96" ht="12.75" customHeight="1">
      <c r="A96" s="8" t="s">
        <v>967</v>
      </c>
      <c r="B96" s="8" t="s">
        <v>1425</v>
      </c>
      <c r="C96" s="8" t="s">
        <v>969</v>
      </c>
      <c r="D96" s="8" t="s">
        <v>969</v>
      </c>
      <c r="E96" s="8" t="s">
        <v>969</v>
      </c>
      <c r="F96" s="8" t="s">
        <v>1425</v>
      </c>
      <c r="G96" s="8" t="s">
        <v>969</v>
      </c>
      <c r="H96" s="8" t="s">
        <v>969</v>
      </c>
      <c r="I96" s="8" t="s">
        <v>1426</v>
      </c>
      <c r="J96" s="8" t="s">
        <v>1427</v>
      </c>
      <c r="K96" s="8" t="s">
        <v>969</v>
      </c>
      <c r="L96" s="8" t="s">
        <v>969</v>
      </c>
      <c r="M96" s="8" t="s">
        <v>972</v>
      </c>
      <c r="N96" s="8" t="s">
        <v>973</v>
      </c>
      <c r="O96" s="8" t="s">
        <v>969</v>
      </c>
      <c r="P96" s="8" t="s">
        <v>969</v>
      </c>
      <c r="Q96" s="8" t="s">
        <v>969</v>
      </c>
      <c r="R96" s="8" t="s">
        <v>969</v>
      </c>
      <c r="S96" s="8" t="s">
        <v>969</v>
      </c>
      <c r="T96" s="8" t="s">
        <v>1428</v>
      </c>
      <c r="U96" s="8" t="s">
        <v>1429</v>
      </c>
      <c r="V96" s="8" t="s">
        <v>1430</v>
      </c>
      <c r="W96" s="8" t="s">
        <v>1431</v>
      </c>
      <c r="X96" s="8" t="s">
        <v>1432</v>
      </c>
      <c r="Y96" s="8" t="s">
        <v>1433</v>
      </c>
      <c r="Z96" s="8" t="s">
        <v>1434</v>
      </c>
      <c r="AA96" s="8" t="s">
        <v>3173</v>
      </c>
      <c r="AB96" s="8" t="s">
        <v>3174</v>
      </c>
      <c r="AC96" s="8" t="s">
        <v>969</v>
      </c>
      <c r="AD96" s="8" t="s">
        <v>969</v>
      </c>
      <c r="AE96" s="8" t="s">
        <v>969</v>
      </c>
      <c r="AF96" s="8" t="s">
        <v>969</v>
      </c>
      <c r="AG96" s="8">
        <v>43.0</v>
      </c>
      <c r="AH96" s="8">
        <v>198.0</v>
      </c>
      <c r="AI96" s="8">
        <v>246.0</v>
      </c>
      <c r="AJ96" s="8">
        <v>2.0</v>
      </c>
      <c r="AK96" s="8">
        <v>182.0</v>
      </c>
      <c r="AL96" s="8" t="s">
        <v>1010</v>
      </c>
      <c r="AM96" s="8" t="s">
        <v>1011</v>
      </c>
      <c r="AN96" s="8" t="s">
        <v>1012</v>
      </c>
      <c r="AO96" s="8" t="s">
        <v>1437</v>
      </c>
      <c r="AP96" s="8" t="s">
        <v>969</v>
      </c>
      <c r="AQ96" s="8" t="s">
        <v>969</v>
      </c>
      <c r="AR96" s="8" t="s">
        <v>1438</v>
      </c>
      <c r="AS96" s="8" t="s">
        <v>1439</v>
      </c>
      <c r="AT96" s="8" t="s">
        <v>1096</v>
      </c>
      <c r="AU96" s="8">
        <v>2005.0</v>
      </c>
      <c r="AV96" s="8">
        <v>11.0</v>
      </c>
      <c r="AW96" s="8">
        <v>4.0</v>
      </c>
      <c r="AX96" s="8" t="s">
        <v>969</v>
      </c>
      <c r="AY96" s="8" t="s">
        <v>969</v>
      </c>
      <c r="AZ96" s="8" t="s">
        <v>969</v>
      </c>
      <c r="BA96" s="8" t="s">
        <v>969</v>
      </c>
      <c r="BB96" s="8">
        <v>299.0</v>
      </c>
      <c r="BC96" s="8">
        <v>310.0</v>
      </c>
      <c r="BD96" s="8" t="s">
        <v>969</v>
      </c>
      <c r="BE96" s="8" t="s">
        <v>737</v>
      </c>
      <c r="BF96" s="13" t="str">
        <f>HYPERLINK("http://dx.doi.org/10.1111/j.1366-9516.2005.00153.x","http://dx.doi.org/10.1111/j.1366-9516.2005.00153.x")</f>
        <v>http://dx.doi.org/10.1111/j.1366-9516.2005.00153.x</v>
      </c>
      <c r="BG96" s="8" t="s">
        <v>969</v>
      </c>
      <c r="BH96" s="8" t="s">
        <v>969</v>
      </c>
      <c r="BI96" s="8">
        <v>12.0</v>
      </c>
      <c r="BJ96" s="8" t="s">
        <v>1286</v>
      </c>
      <c r="BK96" s="8" t="s">
        <v>988</v>
      </c>
      <c r="BL96" s="8" t="s">
        <v>989</v>
      </c>
      <c r="BM96" s="8" t="s">
        <v>1440</v>
      </c>
      <c r="BN96" s="8" t="s">
        <v>969</v>
      </c>
      <c r="BO96" s="8" t="s">
        <v>1441</v>
      </c>
      <c r="BP96" s="8" t="s">
        <v>969</v>
      </c>
      <c r="BQ96" s="8" t="s">
        <v>969</v>
      </c>
      <c r="BR96" s="8" t="s">
        <v>2912</v>
      </c>
      <c r="BS96" s="8" t="s">
        <v>1442</v>
      </c>
      <c r="BT96" s="3" t="s">
        <v>3137</v>
      </c>
      <c r="BU96" s="3" t="s">
        <v>66</v>
      </c>
      <c r="BW96" s="8" t="s">
        <v>67</v>
      </c>
      <c r="BX96" s="3">
        <v>1.0</v>
      </c>
      <c r="BY96" s="8" t="str">
        <f>HYPERLINK("https%3A%2F%2Fwww.webofscience.com%2Fwos%2Fwoscc%2Ffull-record%2FWOS:000230784400004","View Full Record in Web of Science")</f>
        <v>View Full Record in Web of Science</v>
      </c>
    </row>
    <row r="97" ht="12.75" customHeight="1">
      <c r="A97" s="8" t="s">
        <v>967</v>
      </c>
      <c r="B97" s="8" t="s">
        <v>1357</v>
      </c>
      <c r="C97" s="8" t="s">
        <v>969</v>
      </c>
      <c r="D97" s="8" t="s">
        <v>969</v>
      </c>
      <c r="E97" s="8" t="s">
        <v>969</v>
      </c>
      <c r="F97" s="8" t="s">
        <v>1357</v>
      </c>
      <c r="G97" s="8" t="s">
        <v>969</v>
      </c>
      <c r="H97" s="8" t="s">
        <v>969</v>
      </c>
      <c r="I97" s="8" t="s">
        <v>1358</v>
      </c>
      <c r="J97" s="8" t="s">
        <v>1359</v>
      </c>
      <c r="K97" s="8" t="s">
        <v>969</v>
      </c>
      <c r="L97" s="8" t="s">
        <v>969</v>
      </c>
      <c r="M97" s="8" t="s">
        <v>972</v>
      </c>
      <c r="N97" s="8" t="s">
        <v>973</v>
      </c>
      <c r="O97" s="8" t="s">
        <v>969</v>
      </c>
      <c r="P97" s="8" t="s">
        <v>969</v>
      </c>
      <c r="Q97" s="8" t="s">
        <v>969</v>
      </c>
      <c r="R97" s="8" t="s">
        <v>969</v>
      </c>
      <c r="S97" s="8" t="s">
        <v>969</v>
      </c>
      <c r="T97" s="8" t="s">
        <v>1360</v>
      </c>
      <c r="U97" s="8" t="s">
        <v>1361</v>
      </c>
      <c r="V97" s="8" t="s">
        <v>1362</v>
      </c>
      <c r="W97" s="8" t="s">
        <v>1363</v>
      </c>
      <c r="X97" s="8" t="s">
        <v>1364</v>
      </c>
      <c r="Y97" s="8" t="s">
        <v>1365</v>
      </c>
      <c r="Z97" s="8" t="s">
        <v>1366</v>
      </c>
      <c r="AA97" s="8" t="s">
        <v>3175</v>
      </c>
      <c r="AB97" s="8" t="s">
        <v>1368</v>
      </c>
      <c r="AC97" s="8" t="s">
        <v>969</v>
      </c>
      <c r="AD97" s="8" t="s">
        <v>969</v>
      </c>
      <c r="AE97" s="8" t="s">
        <v>969</v>
      </c>
      <c r="AF97" s="8" t="s">
        <v>969</v>
      </c>
      <c r="AG97" s="8">
        <v>51.0</v>
      </c>
      <c r="AH97" s="8">
        <v>45.0</v>
      </c>
      <c r="AI97" s="8">
        <v>61.0</v>
      </c>
      <c r="AJ97" s="8">
        <v>1.0</v>
      </c>
      <c r="AK97" s="8">
        <v>34.0</v>
      </c>
      <c r="AL97" s="8" t="s">
        <v>1091</v>
      </c>
      <c r="AM97" s="8" t="s">
        <v>1092</v>
      </c>
      <c r="AN97" s="8" t="s">
        <v>1093</v>
      </c>
      <c r="AO97" s="8" t="s">
        <v>1369</v>
      </c>
      <c r="AP97" s="8" t="s">
        <v>1370</v>
      </c>
      <c r="AQ97" s="8" t="s">
        <v>969</v>
      </c>
      <c r="AR97" s="8" t="s">
        <v>1359</v>
      </c>
      <c r="AS97" s="8" t="s">
        <v>1371</v>
      </c>
      <c r="AT97" s="8" t="s">
        <v>1285</v>
      </c>
      <c r="AU97" s="8">
        <v>2005.0</v>
      </c>
      <c r="AV97" s="8">
        <v>37.0</v>
      </c>
      <c r="AW97" s="8">
        <v>2.0</v>
      </c>
      <c r="AX97" s="8" t="s">
        <v>969</v>
      </c>
      <c r="AY97" s="8" t="s">
        <v>969</v>
      </c>
      <c r="AZ97" s="8" t="s">
        <v>969</v>
      </c>
      <c r="BA97" s="8" t="s">
        <v>969</v>
      </c>
      <c r="BB97" s="8">
        <v>202.0</v>
      </c>
      <c r="BC97" s="8">
        <v>208.0</v>
      </c>
      <c r="BD97" s="8" t="s">
        <v>969</v>
      </c>
      <c r="BE97" s="8" t="s">
        <v>785</v>
      </c>
      <c r="BF97" s="13" t="str">
        <f>HYPERLINK("http://dx.doi.org/10.1111/j.1744-7429.2005.00027.x","http://dx.doi.org/10.1111/j.1744-7429.2005.00027.x")</f>
        <v>http://dx.doi.org/10.1111/j.1744-7429.2005.00027.x</v>
      </c>
      <c r="BG97" s="8" t="s">
        <v>969</v>
      </c>
      <c r="BH97" s="8" t="s">
        <v>969</v>
      </c>
      <c r="BI97" s="8">
        <v>7.0</v>
      </c>
      <c r="BJ97" s="8" t="s">
        <v>1267</v>
      </c>
      <c r="BK97" s="8" t="s">
        <v>988</v>
      </c>
      <c r="BL97" s="8" t="s">
        <v>1268</v>
      </c>
      <c r="BM97" s="8" t="s">
        <v>1372</v>
      </c>
      <c r="BN97" s="8" t="s">
        <v>969</v>
      </c>
      <c r="BO97" s="8" t="s">
        <v>969</v>
      </c>
      <c r="BP97" s="8" t="s">
        <v>969</v>
      </c>
      <c r="BQ97" s="8" t="s">
        <v>969</v>
      </c>
      <c r="BR97" s="8" t="s">
        <v>2912</v>
      </c>
      <c r="BS97" s="8" t="s">
        <v>1373</v>
      </c>
      <c r="BT97" s="3" t="s">
        <v>3137</v>
      </c>
      <c r="BU97" s="3" t="s">
        <v>66</v>
      </c>
      <c r="BW97" s="8" t="s">
        <v>240</v>
      </c>
      <c r="BX97" s="3">
        <v>1.0</v>
      </c>
      <c r="BY97" s="8" t="str">
        <f>HYPERLINK("https%3A%2F%2Fwww.webofscience.com%2Fwos%2Fwoscc%2Ffull-record%2FWOS:000229355500007","View Full Record in Web of Science")</f>
        <v>View Full Record in Web of Science</v>
      </c>
    </row>
    <row r="98" ht="12.75" customHeight="1">
      <c r="A98" s="8" t="s">
        <v>967</v>
      </c>
      <c r="B98" s="8" t="s">
        <v>1303</v>
      </c>
      <c r="C98" s="8" t="s">
        <v>969</v>
      </c>
      <c r="D98" s="8" t="s">
        <v>969</v>
      </c>
      <c r="E98" s="8" t="s">
        <v>969</v>
      </c>
      <c r="F98" s="8" t="s">
        <v>1303</v>
      </c>
      <c r="G98" s="8" t="s">
        <v>969</v>
      </c>
      <c r="H98" s="8" t="s">
        <v>969</v>
      </c>
      <c r="I98" s="8" t="s">
        <v>1304</v>
      </c>
      <c r="J98" s="8" t="s">
        <v>1305</v>
      </c>
      <c r="K98" s="8" t="s">
        <v>969</v>
      </c>
      <c r="L98" s="8" t="s">
        <v>969</v>
      </c>
      <c r="M98" s="8" t="s">
        <v>972</v>
      </c>
      <c r="N98" s="8" t="s">
        <v>973</v>
      </c>
      <c r="O98" s="8" t="s">
        <v>969</v>
      </c>
      <c r="P98" s="8" t="s">
        <v>969</v>
      </c>
      <c r="Q98" s="8" t="s">
        <v>969</v>
      </c>
      <c r="R98" s="8" t="s">
        <v>969</v>
      </c>
      <c r="S98" s="8" t="s">
        <v>969</v>
      </c>
      <c r="T98" s="8" t="s">
        <v>969</v>
      </c>
      <c r="U98" s="8" t="s">
        <v>1306</v>
      </c>
      <c r="V98" s="8" t="s">
        <v>1307</v>
      </c>
      <c r="W98" s="8" t="s">
        <v>1308</v>
      </c>
      <c r="X98" s="8" t="s">
        <v>1309</v>
      </c>
      <c r="Y98" s="8" t="s">
        <v>1310</v>
      </c>
      <c r="Z98" s="8" t="s">
        <v>1174</v>
      </c>
      <c r="AA98" s="8" t="s">
        <v>3176</v>
      </c>
      <c r="AB98" s="8" t="s">
        <v>3177</v>
      </c>
      <c r="AC98" s="8" t="s">
        <v>969</v>
      </c>
      <c r="AD98" s="8" t="s">
        <v>969</v>
      </c>
      <c r="AE98" s="8" t="s">
        <v>969</v>
      </c>
      <c r="AF98" s="8" t="s">
        <v>969</v>
      </c>
      <c r="AG98" s="8">
        <v>55.0</v>
      </c>
      <c r="AH98" s="8">
        <v>48.0</v>
      </c>
      <c r="AI98" s="8">
        <v>61.0</v>
      </c>
      <c r="AJ98" s="8">
        <v>1.0</v>
      </c>
      <c r="AK98" s="8">
        <v>29.0</v>
      </c>
      <c r="AL98" s="8" t="s">
        <v>1313</v>
      </c>
      <c r="AM98" s="8" t="s">
        <v>1314</v>
      </c>
      <c r="AN98" s="8" t="s">
        <v>1315</v>
      </c>
      <c r="AO98" s="8" t="s">
        <v>1316</v>
      </c>
      <c r="AP98" s="8" t="s">
        <v>1317</v>
      </c>
      <c r="AQ98" s="8" t="s">
        <v>969</v>
      </c>
      <c r="AR98" s="8" t="s">
        <v>1318</v>
      </c>
      <c r="AS98" s="8" t="s">
        <v>1319</v>
      </c>
      <c r="AT98" s="8" t="s">
        <v>1285</v>
      </c>
      <c r="AU98" s="8">
        <v>2004.0</v>
      </c>
      <c r="AV98" s="8">
        <v>82.0</v>
      </c>
      <c r="AW98" s="8">
        <v>6.0</v>
      </c>
      <c r="AX98" s="8" t="s">
        <v>969</v>
      </c>
      <c r="AY98" s="8" t="s">
        <v>969</v>
      </c>
      <c r="AZ98" s="8" t="s">
        <v>969</v>
      </c>
      <c r="BA98" s="8" t="s">
        <v>969</v>
      </c>
      <c r="BB98" s="8">
        <v>851.0</v>
      </c>
      <c r="BC98" s="8">
        <v>858.0</v>
      </c>
      <c r="BD98" s="8" t="s">
        <v>969</v>
      </c>
      <c r="BE98" s="8" t="s">
        <v>1320</v>
      </c>
      <c r="BF98" s="13" t="str">
        <f>HYPERLINK("http://dx.doi.org/10.1139/Z04-064","http://dx.doi.org/10.1139/Z04-064")</f>
        <v>http://dx.doi.org/10.1139/Z04-064</v>
      </c>
      <c r="BG98" s="8" t="s">
        <v>969</v>
      </c>
      <c r="BH98" s="8" t="s">
        <v>969</v>
      </c>
      <c r="BI98" s="8">
        <v>8.0</v>
      </c>
      <c r="BJ98" s="8" t="s">
        <v>1321</v>
      </c>
      <c r="BK98" s="8" t="s">
        <v>988</v>
      </c>
      <c r="BL98" s="8" t="s">
        <v>1321</v>
      </c>
      <c r="BM98" s="8" t="s">
        <v>1322</v>
      </c>
      <c r="BN98" s="8" t="s">
        <v>969</v>
      </c>
      <c r="BO98" s="8" t="s">
        <v>1227</v>
      </c>
      <c r="BP98" s="8" t="s">
        <v>969</v>
      </c>
      <c r="BQ98" s="8" t="s">
        <v>969</v>
      </c>
      <c r="BR98" s="8" t="s">
        <v>2912</v>
      </c>
      <c r="BS98" s="8" t="s">
        <v>1323</v>
      </c>
      <c r="BT98" s="3" t="s">
        <v>3137</v>
      </c>
      <c r="BU98" s="3" t="s">
        <v>66</v>
      </c>
      <c r="BW98" s="8" t="s">
        <v>33</v>
      </c>
      <c r="BX98" s="3">
        <v>1.0</v>
      </c>
      <c r="BY98" s="8" t="str">
        <f>HYPERLINK("https%3A%2F%2Fwww.webofscience.com%2Fwos%2Fwoscc%2Ffull-record%2FWOS:000223983200003","View Full Record in Web of Science")</f>
        <v>View Full Record in Web of Science</v>
      </c>
    </row>
    <row r="99" ht="12.75" customHeight="1">
      <c r="A99" s="8" t="s">
        <v>967</v>
      </c>
      <c r="B99" s="8" t="s">
        <v>1203</v>
      </c>
      <c r="C99" s="8" t="s">
        <v>969</v>
      </c>
      <c r="D99" s="8" t="s">
        <v>969</v>
      </c>
      <c r="E99" s="8" t="s">
        <v>969</v>
      </c>
      <c r="F99" s="8" t="s">
        <v>1203</v>
      </c>
      <c r="G99" s="8" t="s">
        <v>969</v>
      </c>
      <c r="H99" s="8" t="s">
        <v>969</v>
      </c>
      <c r="I99" s="8" t="s">
        <v>1204</v>
      </c>
      <c r="J99" s="8" t="s">
        <v>1025</v>
      </c>
      <c r="K99" s="8" t="s">
        <v>969</v>
      </c>
      <c r="L99" s="8" t="s">
        <v>969</v>
      </c>
      <c r="M99" s="8" t="s">
        <v>972</v>
      </c>
      <c r="N99" s="8" t="s">
        <v>973</v>
      </c>
      <c r="O99" s="8" t="s">
        <v>969</v>
      </c>
      <c r="P99" s="8" t="s">
        <v>969</v>
      </c>
      <c r="Q99" s="8" t="s">
        <v>969</v>
      </c>
      <c r="R99" s="8" t="s">
        <v>969</v>
      </c>
      <c r="S99" s="8" t="s">
        <v>969</v>
      </c>
      <c r="T99" s="8" t="s">
        <v>969</v>
      </c>
      <c r="U99" s="8" t="s">
        <v>1205</v>
      </c>
      <c r="V99" s="8" t="s">
        <v>1206</v>
      </c>
      <c r="W99" s="8" t="s">
        <v>1207</v>
      </c>
      <c r="X99" s="8" t="s">
        <v>1208</v>
      </c>
      <c r="Y99" s="8" t="s">
        <v>1209</v>
      </c>
      <c r="Z99" s="8" t="s">
        <v>969</v>
      </c>
      <c r="AA99" s="8" t="s">
        <v>969</v>
      </c>
      <c r="AB99" s="8" t="s">
        <v>969</v>
      </c>
      <c r="AC99" s="8" t="s">
        <v>969</v>
      </c>
      <c r="AD99" s="8" t="s">
        <v>969</v>
      </c>
      <c r="AE99" s="8" t="s">
        <v>969</v>
      </c>
      <c r="AF99" s="8" t="s">
        <v>969</v>
      </c>
      <c r="AG99" s="8">
        <v>26.0</v>
      </c>
      <c r="AH99" s="8">
        <v>236.0</v>
      </c>
      <c r="AI99" s="8">
        <v>277.0</v>
      </c>
      <c r="AJ99" s="8">
        <v>1.0</v>
      </c>
      <c r="AK99" s="8">
        <v>75.0</v>
      </c>
      <c r="AL99" s="8" t="s">
        <v>1031</v>
      </c>
      <c r="AM99" s="8" t="s">
        <v>1032</v>
      </c>
      <c r="AN99" s="8" t="s">
        <v>1210</v>
      </c>
      <c r="AO99" s="8" t="s">
        <v>1034</v>
      </c>
      <c r="AP99" s="8" t="s">
        <v>969</v>
      </c>
      <c r="AQ99" s="8" t="s">
        <v>969</v>
      </c>
      <c r="AR99" s="8" t="s">
        <v>1025</v>
      </c>
      <c r="AS99" s="8" t="s">
        <v>1035</v>
      </c>
      <c r="AT99" s="8" t="s">
        <v>1211</v>
      </c>
      <c r="AU99" s="8">
        <v>2003.0</v>
      </c>
      <c r="AV99" s="8">
        <v>59.0</v>
      </c>
      <c r="AW99" s="8">
        <v>3.0</v>
      </c>
      <c r="AX99" s="8" t="s">
        <v>969</v>
      </c>
      <c r="AY99" s="8" t="s">
        <v>969</v>
      </c>
      <c r="AZ99" s="8" t="s">
        <v>969</v>
      </c>
      <c r="BA99" s="8" t="s">
        <v>969</v>
      </c>
      <c r="BB99" s="8">
        <v>389.0</v>
      </c>
      <c r="BC99" s="8">
        <v>409.0</v>
      </c>
      <c r="BD99" s="8" t="s">
        <v>969</v>
      </c>
      <c r="BE99" s="8" t="s">
        <v>587</v>
      </c>
      <c r="BF99" s="13" t="str">
        <f>HYPERLINK("http://dx.doi.org/10.1023/A:1024847723344","http://dx.doi.org/10.1023/A:1024847723344")</f>
        <v>http://dx.doi.org/10.1023/A:1024847723344</v>
      </c>
      <c r="BG99" s="8" t="s">
        <v>969</v>
      </c>
      <c r="BH99" s="8" t="s">
        <v>969</v>
      </c>
      <c r="BI99" s="8">
        <v>21.0</v>
      </c>
      <c r="BJ99" s="8" t="s">
        <v>1037</v>
      </c>
      <c r="BK99" s="8" t="s">
        <v>988</v>
      </c>
      <c r="BL99" s="8" t="s">
        <v>1038</v>
      </c>
      <c r="BM99" s="8" t="s">
        <v>1212</v>
      </c>
      <c r="BN99" s="8" t="s">
        <v>969</v>
      </c>
      <c r="BO99" s="8" t="s">
        <v>969</v>
      </c>
      <c r="BP99" s="8" t="s">
        <v>969</v>
      </c>
      <c r="BQ99" s="8" t="s">
        <v>969</v>
      </c>
      <c r="BR99" s="8" t="s">
        <v>2912</v>
      </c>
      <c r="BS99" s="8" t="s">
        <v>1213</v>
      </c>
      <c r="BT99" s="3" t="s">
        <v>3137</v>
      </c>
      <c r="BU99" s="3" t="s">
        <v>66</v>
      </c>
      <c r="BW99" s="8" t="s">
        <v>67</v>
      </c>
      <c r="BX99" s="3">
        <v>1.0</v>
      </c>
      <c r="BY99" s="8" t="str">
        <f>HYPERLINK("https%3A%2F%2Fwww.webofscience.com%2Fwos%2Fwoscc%2Ffull-record%2FWOS:000184319800006","View Full Record in Web of Science")</f>
        <v>View Full Record in Web of Science</v>
      </c>
    </row>
    <row r="100" ht="12.75" customHeight="1">
      <c r="A100" s="8" t="s">
        <v>967</v>
      </c>
      <c r="B100" s="8" t="s">
        <v>1167</v>
      </c>
      <c r="C100" s="8" t="s">
        <v>969</v>
      </c>
      <c r="D100" s="8" t="s">
        <v>969</v>
      </c>
      <c r="E100" s="8" t="s">
        <v>969</v>
      </c>
      <c r="F100" s="8" t="s">
        <v>1167</v>
      </c>
      <c r="G100" s="8" t="s">
        <v>969</v>
      </c>
      <c r="H100" s="8" t="s">
        <v>969</v>
      </c>
      <c r="I100" s="8" t="s">
        <v>1168</v>
      </c>
      <c r="J100" s="8" t="s">
        <v>971</v>
      </c>
      <c r="K100" s="8" t="s">
        <v>969</v>
      </c>
      <c r="L100" s="8" t="s">
        <v>969</v>
      </c>
      <c r="M100" s="8" t="s">
        <v>972</v>
      </c>
      <c r="N100" s="8" t="s">
        <v>973</v>
      </c>
      <c r="O100" s="8" t="s">
        <v>969</v>
      </c>
      <c r="P100" s="8" t="s">
        <v>969</v>
      </c>
      <c r="Q100" s="8" t="s">
        <v>969</v>
      </c>
      <c r="R100" s="8" t="s">
        <v>969</v>
      </c>
      <c r="S100" s="8" t="s">
        <v>969</v>
      </c>
      <c r="T100" s="8" t="s">
        <v>1169</v>
      </c>
      <c r="U100" s="8" t="s">
        <v>1170</v>
      </c>
      <c r="V100" s="8" t="s">
        <v>1171</v>
      </c>
      <c r="W100" s="8" t="s">
        <v>1172</v>
      </c>
      <c r="X100" s="8" t="s">
        <v>1173</v>
      </c>
      <c r="Y100" s="8" t="s">
        <v>1067</v>
      </c>
      <c r="Z100" s="8" t="s">
        <v>1174</v>
      </c>
      <c r="AA100" s="8" t="s">
        <v>3178</v>
      </c>
      <c r="AB100" s="8" t="s">
        <v>1176</v>
      </c>
      <c r="AC100" s="8" t="s">
        <v>969</v>
      </c>
      <c r="AD100" s="8" t="s">
        <v>969</v>
      </c>
      <c r="AE100" s="8" t="s">
        <v>969</v>
      </c>
      <c r="AF100" s="8" t="s">
        <v>969</v>
      </c>
      <c r="AG100" s="8">
        <v>44.0</v>
      </c>
      <c r="AH100" s="8">
        <v>132.0</v>
      </c>
      <c r="AI100" s="8">
        <v>165.0</v>
      </c>
      <c r="AJ100" s="8">
        <v>0.0</v>
      </c>
      <c r="AK100" s="8">
        <v>93.0</v>
      </c>
      <c r="AL100" s="8" t="s">
        <v>1091</v>
      </c>
      <c r="AM100" s="8" t="s">
        <v>1092</v>
      </c>
      <c r="AN100" s="8" t="s">
        <v>1093</v>
      </c>
      <c r="AO100" s="8" t="s">
        <v>983</v>
      </c>
      <c r="AP100" s="8" t="s">
        <v>1094</v>
      </c>
      <c r="AQ100" s="8" t="s">
        <v>969</v>
      </c>
      <c r="AR100" s="8" t="s">
        <v>1095</v>
      </c>
      <c r="AS100" s="8" t="s">
        <v>985</v>
      </c>
      <c r="AT100" s="8" t="s">
        <v>1177</v>
      </c>
      <c r="AU100" s="8">
        <v>2003.0</v>
      </c>
      <c r="AV100" s="8">
        <v>9.0</v>
      </c>
      <c r="AW100" s="8">
        <v>5.0</v>
      </c>
      <c r="AX100" s="8" t="s">
        <v>969</v>
      </c>
      <c r="AY100" s="8" t="s">
        <v>969</v>
      </c>
      <c r="AZ100" s="8" t="s">
        <v>969</v>
      </c>
      <c r="BA100" s="8" t="s">
        <v>969</v>
      </c>
      <c r="BB100" s="8">
        <v>647.0</v>
      </c>
      <c r="BC100" s="8">
        <v>655.0</v>
      </c>
      <c r="BD100" s="8" t="s">
        <v>969</v>
      </c>
      <c r="BE100" s="8" t="s">
        <v>614</v>
      </c>
      <c r="BF100" s="13" t="str">
        <f>HYPERLINK("http://dx.doi.org/10.1046/j.1365-2486.2003.00616.x","http://dx.doi.org/10.1046/j.1365-2486.2003.00616.x")</f>
        <v>http://dx.doi.org/10.1046/j.1365-2486.2003.00616.x</v>
      </c>
      <c r="BG100" s="8" t="s">
        <v>969</v>
      </c>
      <c r="BH100" s="8" t="s">
        <v>969</v>
      </c>
      <c r="BI100" s="8">
        <v>9.0</v>
      </c>
      <c r="BJ100" s="8" t="s">
        <v>987</v>
      </c>
      <c r="BK100" s="8" t="s">
        <v>988</v>
      </c>
      <c r="BL100" s="8" t="s">
        <v>989</v>
      </c>
      <c r="BM100" s="8" t="s">
        <v>1178</v>
      </c>
      <c r="BN100" s="8" t="s">
        <v>969</v>
      </c>
      <c r="BO100" s="8" t="s">
        <v>969</v>
      </c>
      <c r="BP100" s="8" t="s">
        <v>969</v>
      </c>
      <c r="BQ100" s="8" t="s">
        <v>969</v>
      </c>
      <c r="BR100" s="8" t="s">
        <v>2912</v>
      </c>
      <c r="BS100" s="8" t="s">
        <v>1179</v>
      </c>
      <c r="BT100" s="3" t="s">
        <v>3137</v>
      </c>
      <c r="BU100" s="3" t="s">
        <v>66</v>
      </c>
      <c r="BW100" s="8" t="s">
        <v>81</v>
      </c>
      <c r="BX100" s="3">
        <v>1.0</v>
      </c>
      <c r="BY100" s="8" t="str">
        <f>HYPERLINK("https%3A%2F%2Fwww.webofscience.com%2Fwos%2Fwoscc%2Ffull-record%2FWOS:000182653700001","View Full Record in Web of Science")</f>
        <v>View Full Record in Web of Science</v>
      </c>
    </row>
    <row r="101" ht="12.75" customHeight="1">
      <c r="A101" s="8" t="s">
        <v>967</v>
      </c>
      <c r="B101" s="8" t="s">
        <v>1060</v>
      </c>
      <c r="C101" s="8" t="s">
        <v>969</v>
      </c>
      <c r="D101" s="8" t="s">
        <v>969</v>
      </c>
      <c r="E101" s="8" t="s">
        <v>969</v>
      </c>
      <c r="F101" s="8" t="s">
        <v>1060</v>
      </c>
      <c r="G101" s="8" t="s">
        <v>969</v>
      </c>
      <c r="H101" s="8" t="s">
        <v>969</v>
      </c>
      <c r="I101" s="8" t="s">
        <v>1061</v>
      </c>
      <c r="J101" s="8" t="s">
        <v>1062</v>
      </c>
      <c r="K101" s="8" t="s">
        <v>969</v>
      </c>
      <c r="L101" s="8" t="s">
        <v>969</v>
      </c>
      <c r="M101" s="8" t="s">
        <v>972</v>
      </c>
      <c r="N101" s="8" t="s">
        <v>973</v>
      </c>
      <c r="O101" s="8" t="s">
        <v>969</v>
      </c>
      <c r="P101" s="8" t="s">
        <v>969</v>
      </c>
      <c r="Q101" s="8" t="s">
        <v>969</v>
      </c>
      <c r="R101" s="8" t="s">
        <v>969</v>
      </c>
      <c r="S101" s="8" t="s">
        <v>969</v>
      </c>
      <c r="T101" s="8" t="s">
        <v>969</v>
      </c>
      <c r="U101" s="8" t="s">
        <v>1063</v>
      </c>
      <c r="V101" s="8" t="s">
        <v>1064</v>
      </c>
      <c r="W101" s="8" t="s">
        <v>1065</v>
      </c>
      <c r="X101" s="8" t="s">
        <v>1066</v>
      </c>
      <c r="Y101" s="8" t="s">
        <v>1067</v>
      </c>
      <c r="Z101" s="8" t="s">
        <v>969</v>
      </c>
      <c r="AA101" s="8" t="s">
        <v>3179</v>
      </c>
      <c r="AB101" s="8" t="s">
        <v>1069</v>
      </c>
      <c r="AC101" s="8" t="s">
        <v>969</v>
      </c>
      <c r="AD101" s="8" t="s">
        <v>969</v>
      </c>
      <c r="AE101" s="8" t="s">
        <v>969</v>
      </c>
      <c r="AF101" s="8" t="s">
        <v>969</v>
      </c>
      <c r="AG101" s="8">
        <v>29.0</v>
      </c>
      <c r="AH101" s="8">
        <v>653.0</v>
      </c>
      <c r="AI101" s="8">
        <v>790.0</v>
      </c>
      <c r="AJ101" s="8">
        <v>1.0</v>
      </c>
      <c r="AK101" s="8">
        <v>206.0</v>
      </c>
      <c r="AL101" s="8" t="s">
        <v>1070</v>
      </c>
      <c r="AM101" s="8" t="s">
        <v>1071</v>
      </c>
      <c r="AN101" s="8" t="s">
        <v>1072</v>
      </c>
      <c r="AO101" s="8" t="s">
        <v>1073</v>
      </c>
      <c r="AP101" s="8" t="s">
        <v>969</v>
      </c>
      <c r="AQ101" s="8" t="s">
        <v>969</v>
      </c>
      <c r="AR101" s="8" t="s">
        <v>1062</v>
      </c>
      <c r="AS101" s="8" t="s">
        <v>1074</v>
      </c>
      <c r="AT101" s="8" t="s">
        <v>1075</v>
      </c>
      <c r="AU101" s="8">
        <v>2002.0</v>
      </c>
      <c r="AV101" s="8">
        <v>416.0</v>
      </c>
      <c r="AW101" s="8">
        <v>6881.0</v>
      </c>
      <c r="AX101" s="8" t="s">
        <v>969</v>
      </c>
      <c r="AY101" s="8" t="s">
        <v>969</v>
      </c>
      <c r="AZ101" s="8" t="s">
        <v>969</v>
      </c>
      <c r="BA101" s="8" t="s">
        <v>969</v>
      </c>
      <c r="BB101" s="8">
        <v>626.0</v>
      </c>
      <c r="BC101" s="8">
        <v>629.0</v>
      </c>
      <c r="BD101" s="8" t="s">
        <v>969</v>
      </c>
      <c r="BE101" s="8" t="s">
        <v>590</v>
      </c>
      <c r="BF101" s="13" t="str">
        <f>HYPERLINK("http://dx.doi.org/10.1038/416626a","http://dx.doi.org/10.1038/416626a")</f>
        <v>http://dx.doi.org/10.1038/416626a</v>
      </c>
      <c r="BG101" s="8" t="s">
        <v>969</v>
      </c>
      <c r="BH101" s="8" t="s">
        <v>969</v>
      </c>
      <c r="BI101" s="8">
        <v>5.0</v>
      </c>
      <c r="BJ101" s="8" t="s">
        <v>1076</v>
      </c>
      <c r="BK101" s="8" t="s">
        <v>988</v>
      </c>
      <c r="BL101" s="8" t="s">
        <v>1077</v>
      </c>
      <c r="BM101" s="8" t="s">
        <v>1078</v>
      </c>
      <c r="BN101" s="8">
        <v>1.1948349E7</v>
      </c>
      <c r="BO101" s="8" t="s">
        <v>969</v>
      </c>
      <c r="BP101" s="8" t="s">
        <v>969</v>
      </c>
      <c r="BQ101" s="8" t="s">
        <v>969</v>
      </c>
      <c r="BR101" s="8" t="s">
        <v>2912</v>
      </c>
      <c r="BS101" s="8" t="s">
        <v>1079</v>
      </c>
      <c r="BT101" s="3" t="s">
        <v>3137</v>
      </c>
      <c r="BU101" s="3" t="s">
        <v>66</v>
      </c>
      <c r="BW101" s="8" t="s">
        <v>114</v>
      </c>
      <c r="BX101" s="3">
        <v>1.0</v>
      </c>
      <c r="BY101" s="8" t="str">
        <f>HYPERLINK("https%3A%2F%2Fwww.webofscience.com%2Fwos%2Fwoscc%2Ffull-record%2FWOS:000174901900041","View Full Record in Web of Science")</f>
        <v>View Full Record in Web of Science</v>
      </c>
    </row>
    <row r="102" ht="12.75" customHeight="1">
      <c r="A102" s="8" t="s">
        <v>967</v>
      </c>
      <c r="B102" s="8" t="s">
        <v>1023</v>
      </c>
      <c r="C102" s="8" t="s">
        <v>969</v>
      </c>
      <c r="D102" s="8" t="s">
        <v>969</v>
      </c>
      <c r="E102" s="8" t="s">
        <v>969</v>
      </c>
      <c r="F102" s="8" t="s">
        <v>1023</v>
      </c>
      <c r="G102" s="8" t="s">
        <v>969</v>
      </c>
      <c r="H102" s="8" t="s">
        <v>969</v>
      </c>
      <c r="I102" s="8" t="s">
        <v>1024</v>
      </c>
      <c r="J102" s="8" t="s">
        <v>1025</v>
      </c>
      <c r="K102" s="8" t="s">
        <v>969</v>
      </c>
      <c r="L102" s="8" t="s">
        <v>969</v>
      </c>
      <c r="M102" s="8" t="s">
        <v>972</v>
      </c>
      <c r="N102" s="8" t="s">
        <v>973</v>
      </c>
      <c r="O102" s="8" t="s">
        <v>969</v>
      </c>
      <c r="P102" s="8" t="s">
        <v>969</v>
      </c>
      <c r="Q102" s="8" t="s">
        <v>969</v>
      </c>
      <c r="R102" s="8" t="s">
        <v>969</v>
      </c>
      <c r="S102" s="8" t="s">
        <v>969</v>
      </c>
      <c r="T102" s="8" t="s">
        <v>969</v>
      </c>
      <c r="U102" s="8" t="s">
        <v>1026</v>
      </c>
      <c r="V102" s="8" t="s">
        <v>1027</v>
      </c>
      <c r="W102" s="8" t="s">
        <v>1028</v>
      </c>
      <c r="X102" s="8" t="s">
        <v>1029</v>
      </c>
      <c r="Y102" s="8" t="s">
        <v>1030</v>
      </c>
      <c r="Z102" s="8" t="s">
        <v>969</v>
      </c>
      <c r="AA102" s="8" t="s">
        <v>969</v>
      </c>
      <c r="AB102" s="8" t="s">
        <v>969</v>
      </c>
      <c r="AC102" s="8" t="s">
        <v>969</v>
      </c>
      <c r="AD102" s="8" t="s">
        <v>969</v>
      </c>
      <c r="AE102" s="8" t="s">
        <v>969</v>
      </c>
      <c r="AF102" s="8" t="s">
        <v>969</v>
      </c>
      <c r="AG102" s="8">
        <v>71.0</v>
      </c>
      <c r="AH102" s="8">
        <v>54.0</v>
      </c>
      <c r="AI102" s="8">
        <v>60.0</v>
      </c>
      <c r="AJ102" s="8">
        <v>0.0</v>
      </c>
      <c r="AK102" s="8">
        <v>11.0</v>
      </c>
      <c r="AL102" s="8" t="s">
        <v>1031</v>
      </c>
      <c r="AM102" s="8" t="s">
        <v>1032</v>
      </c>
      <c r="AN102" s="8" t="s">
        <v>1033</v>
      </c>
      <c r="AO102" s="8" t="s">
        <v>1034</v>
      </c>
      <c r="AP102" s="8" t="s">
        <v>969</v>
      </c>
      <c r="AQ102" s="8" t="s">
        <v>969</v>
      </c>
      <c r="AR102" s="8" t="s">
        <v>1025</v>
      </c>
      <c r="AS102" s="8" t="s">
        <v>1035</v>
      </c>
      <c r="AT102" s="8" t="s">
        <v>1036</v>
      </c>
      <c r="AU102" s="8">
        <v>1999.0</v>
      </c>
      <c r="AV102" s="8">
        <v>41.0</v>
      </c>
      <c r="AW102" s="8">
        <v>2.0</v>
      </c>
      <c r="AX102" s="8" t="s">
        <v>969</v>
      </c>
      <c r="AY102" s="8" t="s">
        <v>969</v>
      </c>
      <c r="AZ102" s="8" t="s">
        <v>969</v>
      </c>
      <c r="BA102" s="8" t="s">
        <v>969</v>
      </c>
      <c r="BB102" s="8">
        <v>213.0</v>
      </c>
      <c r="BC102" s="8">
        <v>248.0</v>
      </c>
      <c r="BD102" s="8" t="s">
        <v>969</v>
      </c>
      <c r="BE102" s="8" t="s">
        <v>584</v>
      </c>
      <c r="BF102" s="13" t="str">
        <f>HYPERLINK("http://dx.doi.org/10.1023/A:1005483507351","http://dx.doi.org/10.1023/A:1005483507351")</f>
        <v>http://dx.doi.org/10.1023/A:1005483507351</v>
      </c>
      <c r="BG102" s="8" t="s">
        <v>969</v>
      </c>
      <c r="BH102" s="8" t="s">
        <v>969</v>
      </c>
      <c r="BI102" s="8">
        <v>36.0</v>
      </c>
      <c r="BJ102" s="8" t="s">
        <v>1037</v>
      </c>
      <c r="BK102" s="8" t="s">
        <v>988</v>
      </c>
      <c r="BL102" s="8" t="s">
        <v>1038</v>
      </c>
      <c r="BM102" s="8" t="s">
        <v>1039</v>
      </c>
      <c r="BN102" s="8" t="s">
        <v>969</v>
      </c>
      <c r="BO102" s="8" t="s">
        <v>969</v>
      </c>
      <c r="BP102" s="8" t="s">
        <v>969</v>
      </c>
      <c r="BQ102" s="8" t="s">
        <v>969</v>
      </c>
      <c r="BR102" s="8" t="s">
        <v>2912</v>
      </c>
      <c r="BS102" s="8" t="s">
        <v>1040</v>
      </c>
      <c r="BT102" s="3" t="s">
        <v>3137</v>
      </c>
      <c r="BU102" s="3" t="s">
        <v>66</v>
      </c>
      <c r="BW102" s="8" t="s">
        <v>51</v>
      </c>
      <c r="BX102" s="3">
        <v>1.0</v>
      </c>
      <c r="BY102" s="8" t="str">
        <f>HYPERLINK("https%3A%2F%2Fwww.webofscience.com%2Fwos%2Fwoscc%2Ffull-record%2FWOS:000078751700005","View Full Record in Web of Science")</f>
        <v>View Full Record in Web of Science</v>
      </c>
    </row>
    <row r="103" ht="12.75" customHeight="1">
      <c r="A103" s="8" t="s">
        <v>967</v>
      </c>
      <c r="B103" s="8" t="s">
        <v>968</v>
      </c>
      <c r="C103" s="8" t="s">
        <v>969</v>
      </c>
      <c r="D103" s="8" t="s">
        <v>969</v>
      </c>
      <c r="E103" s="8" t="s">
        <v>969</v>
      </c>
      <c r="F103" s="8" t="s">
        <v>968</v>
      </c>
      <c r="G103" s="8" t="s">
        <v>969</v>
      </c>
      <c r="H103" s="8" t="s">
        <v>969</v>
      </c>
      <c r="I103" s="8" t="s">
        <v>970</v>
      </c>
      <c r="J103" s="8" t="s">
        <v>971</v>
      </c>
      <c r="K103" s="8" t="s">
        <v>969</v>
      </c>
      <c r="L103" s="8" t="s">
        <v>969</v>
      </c>
      <c r="M103" s="8" t="s">
        <v>972</v>
      </c>
      <c r="N103" s="8" t="s">
        <v>973</v>
      </c>
      <c r="O103" s="8" t="s">
        <v>969</v>
      </c>
      <c r="P103" s="8" t="s">
        <v>969</v>
      </c>
      <c r="Q103" s="8" t="s">
        <v>969</v>
      </c>
      <c r="R103" s="8" t="s">
        <v>969</v>
      </c>
      <c r="S103" s="8" t="s">
        <v>969</v>
      </c>
      <c r="T103" s="8" t="s">
        <v>974</v>
      </c>
      <c r="U103" s="8" t="s">
        <v>975</v>
      </c>
      <c r="V103" s="8" t="s">
        <v>976</v>
      </c>
      <c r="W103" s="8" t="s">
        <v>977</v>
      </c>
      <c r="X103" s="8" t="s">
        <v>978</v>
      </c>
      <c r="Y103" s="8" t="s">
        <v>979</v>
      </c>
      <c r="Z103" s="8" t="s">
        <v>969</v>
      </c>
      <c r="AA103" s="8" t="s">
        <v>969</v>
      </c>
      <c r="AB103" s="8" t="s">
        <v>969</v>
      </c>
      <c r="AC103" s="8" t="s">
        <v>969</v>
      </c>
      <c r="AD103" s="8" t="s">
        <v>969</v>
      </c>
      <c r="AE103" s="8" t="s">
        <v>969</v>
      </c>
      <c r="AF103" s="8" t="s">
        <v>969</v>
      </c>
      <c r="AG103" s="8">
        <v>38.0</v>
      </c>
      <c r="AH103" s="8">
        <v>28.0</v>
      </c>
      <c r="AI103" s="8">
        <v>35.0</v>
      </c>
      <c r="AJ103" s="8">
        <v>1.0</v>
      </c>
      <c r="AK103" s="8">
        <v>44.0</v>
      </c>
      <c r="AL103" s="8" t="s">
        <v>980</v>
      </c>
      <c r="AM103" s="8" t="s">
        <v>981</v>
      </c>
      <c r="AN103" s="8" t="s">
        <v>982</v>
      </c>
      <c r="AO103" s="8" t="s">
        <v>983</v>
      </c>
      <c r="AP103" s="8" t="s">
        <v>969</v>
      </c>
      <c r="AQ103" s="8" t="s">
        <v>969</v>
      </c>
      <c r="AR103" s="8" t="s">
        <v>984</v>
      </c>
      <c r="AS103" s="8" t="s">
        <v>985</v>
      </c>
      <c r="AT103" s="8" t="s">
        <v>986</v>
      </c>
      <c r="AU103" s="8">
        <v>1997.0</v>
      </c>
      <c r="AV103" s="8">
        <v>3.0</v>
      </c>
      <c r="AW103" s="8">
        <v>6.0</v>
      </c>
      <c r="AX103" s="8" t="s">
        <v>969</v>
      </c>
      <c r="AY103" s="8" t="s">
        <v>969</v>
      </c>
      <c r="AZ103" s="8" t="s">
        <v>969</v>
      </c>
      <c r="BA103" s="8" t="s">
        <v>969</v>
      </c>
      <c r="BB103" s="8">
        <v>531.0</v>
      </c>
      <c r="BC103" s="8">
        <v>544.0</v>
      </c>
      <c r="BD103" s="8" t="s">
        <v>969</v>
      </c>
      <c r="BE103" s="8" t="s">
        <v>605</v>
      </c>
      <c r="BF103" s="13" t="str">
        <f>HYPERLINK("http://dx.doi.org/10.1046/j.1365-2486.1997.00093.x","http://dx.doi.org/10.1046/j.1365-2486.1997.00093.x")</f>
        <v>http://dx.doi.org/10.1046/j.1365-2486.1997.00093.x</v>
      </c>
      <c r="BG103" s="8" t="s">
        <v>969</v>
      </c>
      <c r="BH103" s="8" t="s">
        <v>969</v>
      </c>
      <c r="BI103" s="8">
        <v>14.0</v>
      </c>
      <c r="BJ103" s="8" t="s">
        <v>987</v>
      </c>
      <c r="BK103" s="8" t="s">
        <v>988</v>
      </c>
      <c r="BL103" s="8" t="s">
        <v>989</v>
      </c>
      <c r="BM103" s="8" t="s">
        <v>990</v>
      </c>
      <c r="BN103" s="8" t="s">
        <v>969</v>
      </c>
      <c r="BO103" s="8" t="s">
        <v>969</v>
      </c>
      <c r="BP103" s="8" t="s">
        <v>969</v>
      </c>
      <c r="BQ103" s="8" t="s">
        <v>969</v>
      </c>
      <c r="BR103" s="8" t="s">
        <v>2912</v>
      </c>
      <c r="BS103" s="8" t="s">
        <v>992</v>
      </c>
      <c r="BT103" s="3" t="s">
        <v>3137</v>
      </c>
      <c r="BU103" s="3" t="s">
        <v>66</v>
      </c>
      <c r="BW103" s="8" t="s">
        <v>56</v>
      </c>
      <c r="BX103" s="3">
        <v>1.0</v>
      </c>
      <c r="BY103" s="8" t="str">
        <f>HYPERLINK("https%3A%2F%2Fwww.webofscience.com%2Fwos%2Fwoscc%2Ffull-record%2FWOS:000071220600007","View Full Record in Web of Science")</f>
        <v>View Full Record in Web of Science</v>
      </c>
    </row>
    <row r="104" ht="12.75" customHeight="1">
      <c r="A104" s="8" t="s">
        <v>967</v>
      </c>
      <c r="B104" s="8" t="s">
        <v>2867</v>
      </c>
      <c r="C104" s="8" t="s">
        <v>969</v>
      </c>
      <c r="D104" s="8" t="s">
        <v>969</v>
      </c>
      <c r="E104" s="8" t="s">
        <v>969</v>
      </c>
      <c r="F104" s="8" t="s">
        <v>2867</v>
      </c>
      <c r="G104" s="8" t="s">
        <v>969</v>
      </c>
      <c r="H104" s="8" t="s">
        <v>969</v>
      </c>
      <c r="I104" s="8" t="s">
        <v>2868</v>
      </c>
      <c r="J104" s="8" t="s">
        <v>2869</v>
      </c>
      <c r="K104" s="8" t="s">
        <v>969</v>
      </c>
      <c r="L104" s="8" t="s">
        <v>969</v>
      </c>
      <c r="M104" s="8" t="s">
        <v>972</v>
      </c>
      <c r="N104" s="8" t="s">
        <v>1145</v>
      </c>
      <c r="O104" s="8" t="s">
        <v>2870</v>
      </c>
      <c r="P104" s="8" t="s">
        <v>2871</v>
      </c>
      <c r="Q104" s="8" t="s">
        <v>2872</v>
      </c>
      <c r="R104" s="8" t="s">
        <v>2873</v>
      </c>
      <c r="S104" s="8" t="s">
        <v>969</v>
      </c>
      <c r="T104" s="8" t="s">
        <v>969</v>
      </c>
      <c r="U104" s="8" t="s">
        <v>2874</v>
      </c>
      <c r="V104" s="8" t="s">
        <v>2875</v>
      </c>
      <c r="W104" s="8" t="s">
        <v>2876</v>
      </c>
      <c r="X104" s="8" t="s">
        <v>969</v>
      </c>
      <c r="Y104" s="8" t="s">
        <v>2877</v>
      </c>
      <c r="Z104" s="8" t="s">
        <v>969</v>
      </c>
      <c r="AA104" s="8" t="s">
        <v>2878</v>
      </c>
      <c r="AB104" s="8" t="s">
        <v>2879</v>
      </c>
      <c r="AC104" s="8" t="s">
        <v>969</v>
      </c>
      <c r="AD104" s="8" t="s">
        <v>969</v>
      </c>
      <c r="AE104" s="8" t="s">
        <v>969</v>
      </c>
      <c r="AF104" s="8" t="s">
        <v>969</v>
      </c>
      <c r="AG104" s="8">
        <v>27.0</v>
      </c>
      <c r="AH104" s="8">
        <v>386.0</v>
      </c>
      <c r="AI104" s="8">
        <v>475.0</v>
      </c>
      <c r="AJ104" s="8">
        <v>0.0</v>
      </c>
      <c r="AK104" s="8">
        <v>91.0</v>
      </c>
      <c r="AL104" s="8" t="s">
        <v>2880</v>
      </c>
      <c r="AM104" s="8" t="s">
        <v>2881</v>
      </c>
      <c r="AN104" s="8" t="s">
        <v>2882</v>
      </c>
      <c r="AO104" s="8" t="s">
        <v>2883</v>
      </c>
      <c r="AP104" s="8" t="s">
        <v>969</v>
      </c>
      <c r="AQ104" s="8" t="s">
        <v>969</v>
      </c>
      <c r="AR104" s="8" t="s">
        <v>2884</v>
      </c>
      <c r="AS104" s="8" t="s">
        <v>2885</v>
      </c>
      <c r="AT104" s="8" t="s">
        <v>1096</v>
      </c>
      <c r="AU104" s="8">
        <v>1996.0</v>
      </c>
      <c r="AV104" s="8">
        <v>41.0</v>
      </c>
      <c r="AW104" s="8">
        <v>5.0</v>
      </c>
      <c r="AX104" s="8" t="s">
        <v>969</v>
      </c>
      <c r="AY104" s="8" t="s">
        <v>969</v>
      </c>
      <c r="AZ104" s="8" t="s">
        <v>969</v>
      </c>
      <c r="BA104" s="8" t="s">
        <v>969</v>
      </c>
      <c r="BB104" s="8">
        <v>1109.0</v>
      </c>
      <c r="BC104" s="8">
        <v>1115.0</v>
      </c>
      <c r="BD104" s="8" t="s">
        <v>969</v>
      </c>
      <c r="BE104" s="8" t="s">
        <v>854</v>
      </c>
      <c r="BF104" s="13" t="str">
        <f>HYPERLINK("http://dx.doi.org/10.4319/lo.1996.41.5.1109","http://dx.doi.org/10.4319/lo.1996.41.5.1109")</f>
        <v>http://dx.doi.org/10.4319/lo.1996.41.5.1109</v>
      </c>
      <c r="BG104" s="8" t="s">
        <v>969</v>
      </c>
      <c r="BH104" s="8" t="s">
        <v>969</v>
      </c>
      <c r="BI104" s="8">
        <v>7.0</v>
      </c>
      <c r="BJ104" s="8" t="s">
        <v>2886</v>
      </c>
      <c r="BK104" s="8" t="s">
        <v>2887</v>
      </c>
      <c r="BL104" s="8" t="s">
        <v>2888</v>
      </c>
      <c r="BM104" s="8" t="s">
        <v>2889</v>
      </c>
      <c r="BN104" s="8" t="s">
        <v>969</v>
      </c>
      <c r="BO104" s="8" t="s">
        <v>1247</v>
      </c>
      <c r="BP104" s="8" t="s">
        <v>969</v>
      </c>
      <c r="BQ104" s="8" t="s">
        <v>969</v>
      </c>
      <c r="BR104" s="8" t="s">
        <v>2912</v>
      </c>
      <c r="BS104" s="8" t="s">
        <v>2890</v>
      </c>
      <c r="BT104" s="3" t="s">
        <v>3137</v>
      </c>
      <c r="BU104" s="3" t="s">
        <v>66</v>
      </c>
      <c r="BW104" s="8" t="s">
        <v>67</v>
      </c>
      <c r="BX104" s="3">
        <v>1.0</v>
      </c>
      <c r="BY104" s="8" t="str">
        <f>HYPERLINK("https%3A%2F%2Fwww.webofscience.com%2Fwos%2Fwoscc%2Ffull-record%2FWOS:A1996VN45800034","View Full Record in Web of Science")</f>
        <v>View Full Record in Web of Science</v>
      </c>
    </row>
    <row r="105" ht="12.75" customHeight="1">
      <c r="A105" s="8" t="s">
        <v>967</v>
      </c>
      <c r="B105" s="8" t="s">
        <v>2822</v>
      </c>
      <c r="C105" s="8" t="s">
        <v>969</v>
      </c>
      <c r="D105" s="8" t="s">
        <v>969</v>
      </c>
      <c r="E105" s="8" t="s">
        <v>969</v>
      </c>
      <c r="F105" s="8" t="s">
        <v>2822</v>
      </c>
      <c r="G105" s="8" t="s">
        <v>969</v>
      </c>
      <c r="H105" s="8" t="s">
        <v>969</v>
      </c>
      <c r="I105" s="8" t="s">
        <v>2823</v>
      </c>
      <c r="J105" s="8" t="s">
        <v>1538</v>
      </c>
      <c r="K105" s="8" t="s">
        <v>969</v>
      </c>
      <c r="L105" s="8" t="s">
        <v>969</v>
      </c>
      <c r="M105" s="8" t="s">
        <v>972</v>
      </c>
      <c r="N105" s="8" t="s">
        <v>973</v>
      </c>
      <c r="O105" s="8" t="s">
        <v>969</v>
      </c>
      <c r="P105" s="8" t="s">
        <v>969</v>
      </c>
      <c r="Q105" s="8" t="s">
        <v>969</v>
      </c>
      <c r="R105" s="8" t="s">
        <v>969</v>
      </c>
      <c r="S105" s="8" t="s">
        <v>969</v>
      </c>
      <c r="T105" s="8" t="s">
        <v>969</v>
      </c>
      <c r="U105" s="8" t="s">
        <v>969</v>
      </c>
      <c r="V105" s="8" t="s">
        <v>2824</v>
      </c>
      <c r="W105" s="8" t="s">
        <v>2825</v>
      </c>
      <c r="X105" s="8" t="s">
        <v>2826</v>
      </c>
      <c r="Y105" s="8" t="s">
        <v>969</v>
      </c>
      <c r="Z105" s="8" t="s">
        <v>969</v>
      </c>
      <c r="AA105" s="8" t="s">
        <v>969</v>
      </c>
      <c r="AB105" s="8" t="s">
        <v>969</v>
      </c>
      <c r="AC105" s="8" t="s">
        <v>969</v>
      </c>
      <c r="AD105" s="8" t="s">
        <v>969</v>
      </c>
      <c r="AE105" s="8" t="s">
        <v>969</v>
      </c>
      <c r="AF105" s="8" t="s">
        <v>969</v>
      </c>
      <c r="AG105" s="8">
        <v>0.0</v>
      </c>
      <c r="AH105" s="8">
        <v>172.0</v>
      </c>
      <c r="AI105" s="8">
        <v>184.0</v>
      </c>
      <c r="AJ105" s="8">
        <v>0.0</v>
      </c>
      <c r="AK105" s="8">
        <v>65.0</v>
      </c>
      <c r="AL105" s="8" t="s">
        <v>2827</v>
      </c>
      <c r="AM105" s="8" t="s">
        <v>1011</v>
      </c>
      <c r="AN105" s="8" t="s">
        <v>2828</v>
      </c>
      <c r="AO105" s="8" t="s">
        <v>1548</v>
      </c>
      <c r="AP105" s="8" t="s">
        <v>969</v>
      </c>
      <c r="AQ105" s="8" t="s">
        <v>969</v>
      </c>
      <c r="AR105" s="8" t="s">
        <v>1550</v>
      </c>
      <c r="AS105" s="8" t="s">
        <v>1551</v>
      </c>
      <c r="AT105" s="8" t="s">
        <v>1300</v>
      </c>
      <c r="AU105" s="8">
        <v>1992.0</v>
      </c>
      <c r="AV105" s="8">
        <v>6.0</v>
      </c>
      <c r="AW105" s="8">
        <v>3.0</v>
      </c>
      <c r="AX105" s="8" t="s">
        <v>969</v>
      </c>
      <c r="AY105" s="8" t="s">
        <v>969</v>
      </c>
      <c r="AZ105" s="8" t="s">
        <v>969</v>
      </c>
      <c r="BA105" s="8" t="s">
        <v>969</v>
      </c>
      <c r="BB105" s="8">
        <v>409.0</v>
      </c>
      <c r="BC105" s="8">
        <v>415.0</v>
      </c>
      <c r="BD105" s="8" t="s">
        <v>969</v>
      </c>
      <c r="BE105" s="8" t="s">
        <v>629</v>
      </c>
      <c r="BF105" s="13" t="str">
        <f>HYPERLINK("http://dx.doi.org/10.1046/j.1523-1739.1992.06030409.x","http://dx.doi.org/10.1046/j.1523-1739.1992.06030409.x")</f>
        <v>http://dx.doi.org/10.1046/j.1523-1739.1992.06030409.x</v>
      </c>
      <c r="BG105" s="8" t="s">
        <v>969</v>
      </c>
      <c r="BH105" s="8" t="s">
        <v>969</v>
      </c>
      <c r="BI105" s="8">
        <v>7.0</v>
      </c>
      <c r="BJ105" s="8" t="s">
        <v>987</v>
      </c>
      <c r="BK105" s="8" t="s">
        <v>988</v>
      </c>
      <c r="BL105" s="8" t="s">
        <v>989</v>
      </c>
      <c r="BM105" s="8" t="s">
        <v>2829</v>
      </c>
      <c r="BN105" s="8" t="s">
        <v>969</v>
      </c>
      <c r="BO105" s="8" t="s">
        <v>969</v>
      </c>
      <c r="BP105" s="8" t="s">
        <v>969</v>
      </c>
      <c r="BQ105" s="8" t="s">
        <v>969</v>
      </c>
      <c r="BR105" s="8" t="s">
        <v>2912</v>
      </c>
      <c r="BS105" s="8" t="s">
        <v>2830</v>
      </c>
      <c r="BT105" s="3" t="s">
        <v>3137</v>
      </c>
      <c r="BU105" s="3" t="s">
        <v>66</v>
      </c>
      <c r="BW105" s="8" t="s">
        <v>56</v>
      </c>
      <c r="BX105" s="3">
        <v>1.0</v>
      </c>
      <c r="BY105" s="8" t="str">
        <f>HYPERLINK("https%3A%2F%2Fwww.webofscience.com%2Fwos%2Fwoscc%2Ffull-record%2FWOS:A1992JM32200013","View Full Record in Web of Science")</f>
        <v>View Full Record in Web of Science</v>
      </c>
    </row>
    <row r="106" ht="12.75" customHeight="1">
      <c r="A106" s="8" t="s">
        <v>967</v>
      </c>
      <c r="B106" s="8" t="s">
        <v>2788</v>
      </c>
      <c r="C106" s="8" t="s">
        <v>969</v>
      </c>
      <c r="D106" s="8" t="s">
        <v>969</v>
      </c>
      <c r="E106" s="8" t="s">
        <v>969</v>
      </c>
      <c r="F106" s="8" t="s">
        <v>2789</v>
      </c>
      <c r="G106" s="8" t="s">
        <v>969</v>
      </c>
      <c r="H106" s="8" t="s">
        <v>969</v>
      </c>
      <c r="I106" s="8" t="s">
        <v>2790</v>
      </c>
      <c r="J106" s="8" t="s">
        <v>2695</v>
      </c>
      <c r="K106" s="8" t="s">
        <v>969</v>
      </c>
      <c r="L106" s="8" t="s">
        <v>969</v>
      </c>
      <c r="M106" s="8" t="s">
        <v>972</v>
      </c>
      <c r="N106" s="8" t="s">
        <v>973</v>
      </c>
      <c r="O106" s="8" t="s">
        <v>969</v>
      </c>
      <c r="P106" s="8" t="s">
        <v>969</v>
      </c>
      <c r="Q106" s="8" t="s">
        <v>969</v>
      </c>
      <c r="R106" s="8" t="s">
        <v>969</v>
      </c>
      <c r="S106" s="8" t="s">
        <v>969</v>
      </c>
      <c r="T106" s="8" t="s">
        <v>2791</v>
      </c>
      <c r="U106" s="8" t="s">
        <v>2792</v>
      </c>
      <c r="V106" s="8" t="s">
        <v>2793</v>
      </c>
      <c r="W106" s="8" t="s">
        <v>2794</v>
      </c>
      <c r="X106" s="8" t="s">
        <v>2795</v>
      </c>
      <c r="Y106" s="8" t="s">
        <v>2796</v>
      </c>
      <c r="Z106" s="8" t="s">
        <v>2797</v>
      </c>
      <c r="AA106" s="8" t="s">
        <v>3180</v>
      </c>
      <c r="AB106" s="8" t="s">
        <v>3181</v>
      </c>
      <c r="AC106" s="8" t="s">
        <v>2800</v>
      </c>
      <c r="AD106" s="8" t="s">
        <v>2801</v>
      </c>
      <c r="AE106" s="8" t="s">
        <v>2802</v>
      </c>
      <c r="AF106" s="8" t="s">
        <v>969</v>
      </c>
      <c r="AG106" s="8">
        <v>69.0</v>
      </c>
      <c r="AH106" s="8">
        <v>27.0</v>
      </c>
      <c r="AI106" s="8">
        <v>30.0</v>
      </c>
      <c r="AJ106" s="8">
        <v>2.0</v>
      </c>
      <c r="AK106" s="8">
        <v>120.0</v>
      </c>
      <c r="AL106" s="8" t="s">
        <v>2705</v>
      </c>
      <c r="AM106" s="8" t="s">
        <v>2706</v>
      </c>
      <c r="AN106" s="8" t="s">
        <v>2707</v>
      </c>
      <c r="AO106" s="8" t="s">
        <v>2708</v>
      </c>
      <c r="AP106" s="8" t="s">
        <v>2709</v>
      </c>
      <c r="AQ106" s="8" t="s">
        <v>969</v>
      </c>
      <c r="AR106" s="8" t="s">
        <v>2710</v>
      </c>
      <c r="AS106" s="8" t="s">
        <v>2711</v>
      </c>
      <c r="AT106" s="8" t="s">
        <v>986</v>
      </c>
      <c r="AU106" s="8">
        <v>2013.0</v>
      </c>
      <c r="AV106" s="8">
        <v>13.0</v>
      </c>
      <c r="AW106" s="8">
        <v>6.0</v>
      </c>
      <c r="AX106" s="8" t="s">
        <v>969</v>
      </c>
      <c r="AY106" s="8" t="s">
        <v>969</v>
      </c>
      <c r="AZ106" s="8" t="s">
        <v>969</v>
      </c>
      <c r="BA106" s="8" t="s">
        <v>969</v>
      </c>
      <c r="BB106" s="8">
        <v>1245.0</v>
      </c>
      <c r="BC106" s="8">
        <v>1257.0</v>
      </c>
      <c r="BD106" s="8" t="s">
        <v>969</v>
      </c>
      <c r="BE106" s="8" t="s">
        <v>518</v>
      </c>
      <c r="BF106" s="13" t="str">
        <f>HYPERLINK("http://dx.doi.org/10.1007/s10113-013-0425-7","http://dx.doi.org/10.1007/s10113-013-0425-7")</f>
        <v>http://dx.doi.org/10.1007/s10113-013-0425-7</v>
      </c>
      <c r="BG106" s="8" t="s">
        <v>969</v>
      </c>
      <c r="BH106" s="8" t="s">
        <v>969</v>
      </c>
      <c r="BI106" s="8">
        <v>13.0</v>
      </c>
      <c r="BJ106" s="8" t="s">
        <v>2712</v>
      </c>
      <c r="BK106" s="8" t="s">
        <v>1519</v>
      </c>
      <c r="BL106" s="8" t="s">
        <v>1268</v>
      </c>
      <c r="BM106" s="8" t="s">
        <v>2803</v>
      </c>
      <c r="BN106" s="8" t="s">
        <v>969</v>
      </c>
      <c r="BO106" s="8" t="s">
        <v>969</v>
      </c>
      <c r="BP106" s="8" t="s">
        <v>969</v>
      </c>
      <c r="BQ106" s="8" t="s">
        <v>969</v>
      </c>
      <c r="BR106" s="8" t="s">
        <v>2912</v>
      </c>
      <c r="BS106" s="8" t="s">
        <v>2804</v>
      </c>
      <c r="BT106" s="3" t="s">
        <v>3137</v>
      </c>
      <c r="BU106" s="3" t="s">
        <v>50</v>
      </c>
      <c r="BW106" s="8" t="s">
        <v>51</v>
      </c>
      <c r="BX106" s="3">
        <v>1.0</v>
      </c>
      <c r="BY106" s="8" t="str">
        <f>HYPERLINK("https%3A%2F%2Fwww.webofscience.com%2Fwos%2Fwoscc%2Ffull-record%2FWOS:000327501900010","View Full Record in Web of Science")</f>
        <v>View Full Record in Web of Science</v>
      </c>
    </row>
    <row r="107" ht="12.75" customHeight="1">
      <c r="A107" s="8" t="s">
        <v>967</v>
      </c>
      <c r="B107" s="8" t="s">
        <v>1948</v>
      </c>
      <c r="C107" s="8" t="s">
        <v>969</v>
      </c>
      <c r="D107" s="8" t="s">
        <v>969</v>
      </c>
      <c r="E107" s="8" t="s">
        <v>969</v>
      </c>
      <c r="F107" s="8" t="s">
        <v>1949</v>
      </c>
      <c r="G107" s="8" t="s">
        <v>969</v>
      </c>
      <c r="H107" s="8" t="s">
        <v>969</v>
      </c>
      <c r="I107" s="8" t="s">
        <v>1950</v>
      </c>
      <c r="J107" s="8" t="s">
        <v>1951</v>
      </c>
      <c r="K107" s="8" t="s">
        <v>969</v>
      </c>
      <c r="L107" s="8" t="s">
        <v>969</v>
      </c>
      <c r="M107" s="8" t="s">
        <v>972</v>
      </c>
      <c r="N107" s="8" t="s">
        <v>973</v>
      </c>
      <c r="O107" s="8" t="s">
        <v>969</v>
      </c>
      <c r="P107" s="8" t="s">
        <v>969</v>
      </c>
      <c r="Q107" s="8" t="s">
        <v>969</v>
      </c>
      <c r="R107" s="8" t="s">
        <v>969</v>
      </c>
      <c r="S107" s="8" t="s">
        <v>969</v>
      </c>
      <c r="T107" s="8" t="s">
        <v>969</v>
      </c>
      <c r="U107" s="8" t="s">
        <v>1952</v>
      </c>
      <c r="V107" s="8" t="s">
        <v>1953</v>
      </c>
      <c r="W107" s="8" t="s">
        <v>1954</v>
      </c>
      <c r="X107" s="8" t="s">
        <v>1955</v>
      </c>
      <c r="Y107" s="8" t="s">
        <v>1956</v>
      </c>
      <c r="Z107" s="8" t="s">
        <v>1957</v>
      </c>
      <c r="AA107" s="8" t="s">
        <v>3182</v>
      </c>
      <c r="AB107" s="8" t="s">
        <v>1959</v>
      </c>
      <c r="AC107" s="8" t="s">
        <v>1960</v>
      </c>
      <c r="AD107" s="8" t="s">
        <v>1961</v>
      </c>
      <c r="AE107" s="8" t="s">
        <v>1962</v>
      </c>
      <c r="AF107" s="8" t="s">
        <v>969</v>
      </c>
      <c r="AG107" s="8">
        <v>32.0</v>
      </c>
      <c r="AH107" s="8">
        <v>985.0</v>
      </c>
      <c r="AI107" s="8">
        <v>1170.0</v>
      </c>
      <c r="AJ107" s="8">
        <v>8.0</v>
      </c>
      <c r="AK107" s="8">
        <v>546.0</v>
      </c>
      <c r="AL107" s="8" t="s">
        <v>1963</v>
      </c>
      <c r="AM107" s="8" t="s">
        <v>1388</v>
      </c>
      <c r="AN107" s="8" t="s">
        <v>1964</v>
      </c>
      <c r="AO107" s="8" t="s">
        <v>1965</v>
      </c>
      <c r="AP107" s="8" t="s">
        <v>1966</v>
      </c>
      <c r="AQ107" s="8" t="s">
        <v>969</v>
      </c>
      <c r="AR107" s="8" t="s">
        <v>1951</v>
      </c>
      <c r="AS107" s="8" t="s">
        <v>1967</v>
      </c>
      <c r="AT107" s="8" t="s">
        <v>1968</v>
      </c>
      <c r="AU107" s="8">
        <v>2008.0</v>
      </c>
      <c r="AV107" s="8">
        <v>322.0</v>
      </c>
      <c r="AW107" s="8">
        <v>5899.0</v>
      </c>
      <c r="AX107" s="8" t="s">
        <v>969</v>
      </c>
      <c r="AY107" s="8" t="s">
        <v>969</v>
      </c>
      <c r="AZ107" s="8" t="s">
        <v>969</v>
      </c>
      <c r="BA107" s="8" t="s">
        <v>969</v>
      </c>
      <c r="BB107" s="8">
        <v>258.0</v>
      </c>
      <c r="BC107" s="8">
        <v>261.0</v>
      </c>
      <c r="BD107" s="8" t="s">
        <v>969</v>
      </c>
      <c r="BE107" s="8" t="s">
        <v>797</v>
      </c>
      <c r="BF107" s="13" t="str">
        <f>HYPERLINK("http://dx.doi.org/10.1126/science.1162547","http://dx.doi.org/10.1126/science.1162547")</f>
        <v>http://dx.doi.org/10.1126/science.1162547</v>
      </c>
      <c r="BG107" s="8" t="s">
        <v>969</v>
      </c>
      <c r="BH107" s="8" t="s">
        <v>969</v>
      </c>
      <c r="BI107" s="8">
        <v>4.0</v>
      </c>
      <c r="BJ107" s="8" t="s">
        <v>1076</v>
      </c>
      <c r="BK107" s="8" t="s">
        <v>988</v>
      </c>
      <c r="BL107" s="8" t="s">
        <v>1077</v>
      </c>
      <c r="BM107" s="8" t="s">
        <v>1969</v>
      </c>
      <c r="BN107" s="8">
        <v>1.8845754E7</v>
      </c>
      <c r="BO107" s="8" t="s">
        <v>969</v>
      </c>
      <c r="BP107" s="8" t="s">
        <v>969</v>
      </c>
      <c r="BQ107" s="8" t="s">
        <v>969</v>
      </c>
      <c r="BR107" s="8" t="s">
        <v>2912</v>
      </c>
      <c r="BS107" s="8" t="s">
        <v>1970</v>
      </c>
      <c r="BT107" s="3" t="s">
        <v>3137</v>
      </c>
      <c r="BU107" s="3" t="s">
        <v>50</v>
      </c>
      <c r="BW107" s="8" t="s">
        <v>96</v>
      </c>
      <c r="BX107" s="3">
        <v>1.0</v>
      </c>
      <c r="BY107" s="8" t="str">
        <f>HYPERLINK("https%3A%2F%2Fwww.webofscience.com%2Fwos%2Fwoscc%2Ffull-record%2FWOS:000259902300048","View Full Record in Web of Science")</f>
        <v>View Full Record in Web of Science</v>
      </c>
    </row>
    <row r="108" ht="12.75" customHeight="1">
      <c r="A108" s="8" t="s">
        <v>967</v>
      </c>
      <c r="B108" s="8" t="s">
        <v>1343</v>
      </c>
      <c r="C108" s="8" t="s">
        <v>969</v>
      </c>
      <c r="D108" s="8" t="s">
        <v>969</v>
      </c>
      <c r="E108" s="8" t="s">
        <v>969</v>
      </c>
      <c r="F108" s="8" t="s">
        <v>1343</v>
      </c>
      <c r="G108" s="8" t="s">
        <v>969</v>
      </c>
      <c r="H108" s="8" t="s">
        <v>969</v>
      </c>
      <c r="I108" s="8" t="s">
        <v>1344</v>
      </c>
      <c r="J108" s="8" t="s">
        <v>1144</v>
      </c>
      <c r="K108" s="8" t="s">
        <v>969</v>
      </c>
      <c r="L108" s="8" t="s">
        <v>969</v>
      </c>
      <c r="M108" s="8" t="s">
        <v>972</v>
      </c>
      <c r="N108" s="8" t="s">
        <v>973</v>
      </c>
      <c r="O108" s="8" t="s">
        <v>969</v>
      </c>
      <c r="P108" s="8" t="s">
        <v>969</v>
      </c>
      <c r="Q108" s="8" t="s">
        <v>969</v>
      </c>
      <c r="R108" s="8" t="s">
        <v>969</v>
      </c>
      <c r="S108" s="8" t="s">
        <v>969</v>
      </c>
      <c r="T108" s="8" t="s">
        <v>1345</v>
      </c>
      <c r="U108" s="8" t="s">
        <v>1346</v>
      </c>
      <c r="V108" s="8" t="s">
        <v>1347</v>
      </c>
      <c r="W108" s="8" t="s">
        <v>1348</v>
      </c>
      <c r="X108" s="8" t="s">
        <v>1349</v>
      </c>
      <c r="Y108" s="8" t="s">
        <v>1350</v>
      </c>
      <c r="Z108" s="8" t="s">
        <v>1351</v>
      </c>
      <c r="AA108" s="8" t="s">
        <v>1352</v>
      </c>
      <c r="AB108" s="8" t="s">
        <v>1353</v>
      </c>
      <c r="AC108" s="8" t="s">
        <v>969</v>
      </c>
      <c r="AD108" s="8" t="s">
        <v>969</v>
      </c>
      <c r="AE108" s="8" t="s">
        <v>969</v>
      </c>
      <c r="AF108" s="8" t="s">
        <v>969</v>
      </c>
      <c r="AG108" s="8">
        <v>56.0</v>
      </c>
      <c r="AH108" s="8">
        <v>92.0</v>
      </c>
      <c r="AI108" s="8">
        <v>110.0</v>
      </c>
      <c r="AJ108" s="8">
        <v>0.0</v>
      </c>
      <c r="AK108" s="8">
        <v>108.0</v>
      </c>
      <c r="AL108" s="8" t="s">
        <v>1091</v>
      </c>
      <c r="AM108" s="8" t="s">
        <v>1092</v>
      </c>
      <c r="AN108" s="8" t="s">
        <v>1093</v>
      </c>
      <c r="AO108" s="8" t="s">
        <v>1159</v>
      </c>
      <c r="AP108" s="8" t="s">
        <v>1160</v>
      </c>
      <c r="AQ108" s="8" t="s">
        <v>969</v>
      </c>
      <c r="AR108" s="8" t="s">
        <v>1161</v>
      </c>
      <c r="AS108" s="8" t="s">
        <v>1162</v>
      </c>
      <c r="AT108" s="8" t="s">
        <v>1163</v>
      </c>
      <c r="AU108" s="8">
        <v>2004.0</v>
      </c>
      <c r="AV108" s="8">
        <v>13.0</v>
      </c>
      <c r="AW108" s="8">
        <v>6.0</v>
      </c>
      <c r="AX108" s="8" t="s">
        <v>969</v>
      </c>
      <c r="AY108" s="8" t="s">
        <v>969</v>
      </c>
      <c r="AZ108" s="8" t="s">
        <v>969</v>
      </c>
      <c r="BA108" s="8" t="s">
        <v>969</v>
      </c>
      <c r="BB108" s="8">
        <v>553.0</v>
      </c>
      <c r="BC108" s="8">
        <v>565.0</v>
      </c>
      <c r="BD108" s="8" t="s">
        <v>969</v>
      </c>
      <c r="BE108" s="8" t="s">
        <v>755</v>
      </c>
      <c r="BF108" s="13" t="str">
        <f>HYPERLINK("http://dx.doi.org/10.1111/j.1466-822X.2004.00105.x","http://dx.doi.org/10.1111/j.1466-822X.2004.00105.x")</f>
        <v>http://dx.doi.org/10.1111/j.1466-822X.2004.00105.x</v>
      </c>
      <c r="BG108" s="8" t="s">
        <v>969</v>
      </c>
      <c r="BH108" s="8" t="s">
        <v>969</v>
      </c>
      <c r="BI108" s="8">
        <v>13.0</v>
      </c>
      <c r="BJ108" s="8" t="s">
        <v>1017</v>
      </c>
      <c r="BK108" s="8" t="s">
        <v>988</v>
      </c>
      <c r="BL108" s="8" t="s">
        <v>1018</v>
      </c>
      <c r="BM108" s="8" t="s">
        <v>1354</v>
      </c>
      <c r="BN108" s="8" t="s">
        <v>969</v>
      </c>
      <c r="BO108" s="8" t="s">
        <v>969</v>
      </c>
      <c r="BP108" s="8" t="s">
        <v>969</v>
      </c>
      <c r="BQ108" s="8" t="s">
        <v>969</v>
      </c>
      <c r="BR108" s="8" t="s">
        <v>2912</v>
      </c>
      <c r="BS108" s="8" t="s">
        <v>1355</v>
      </c>
      <c r="BT108" s="3" t="s">
        <v>3137</v>
      </c>
      <c r="BU108" s="3" t="s">
        <v>50</v>
      </c>
      <c r="BW108" s="8" t="s">
        <v>51</v>
      </c>
      <c r="BX108" s="3">
        <v>1.0</v>
      </c>
      <c r="BY108" s="8" t="str">
        <f>HYPERLINK("https%3A%2F%2Fwww.webofscience.com%2Fwos%2Fwoscc%2Ffull-record%2FWOS:000224648000008","View Full Record in Web of Science")</f>
        <v>View Full Record in Web of Science</v>
      </c>
    </row>
    <row r="109" ht="12.75" customHeight="1">
      <c r="A109" s="8" t="s">
        <v>967</v>
      </c>
      <c r="B109" s="8" t="s">
        <v>2753</v>
      </c>
      <c r="C109" s="8" t="s">
        <v>969</v>
      </c>
      <c r="D109" s="8" t="s">
        <v>969</v>
      </c>
      <c r="E109" s="8" t="s">
        <v>969</v>
      </c>
      <c r="F109" s="8" t="s">
        <v>2754</v>
      </c>
      <c r="G109" s="8" t="s">
        <v>969</v>
      </c>
      <c r="H109" s="8" t="s">
        <v>969</v>
      </c>
      <c r="I109" s="8" t="s">
        <v>2755</v>
      </c>
      <c r="J109" s="8" t="s">
        <v>2358</v>
      </c>
      <c r="K109" s="8" t="s">
        <v>969</v>
      </c>
      <c r="L109" s="8" t="s">
        <v>969</v>
      </c>
      <c r="M109" s="8" t="s">
        <v>972</v>
      </c>
      <c r="N109" s="8" t="s">
        <v>973</v>
      </c>
      <c r="O109" s="8" t="s">
        <v>969</v>
      </c>
      <c r="P109" s="8" t="s">
        <v>969</v>
      </c>
      <c r="Q109" s="8" t="s">
        <v>969</v>
      </c>
      <c r="R109" s="8" t="s">
        <v>969</v>
      </c>
      <c r="S109" s="8" t="s">
        <v>969</v>
      </c>
      <c r="T109" s="8" t="s">
        <v>969</v>
      </c>
      <c r="U109" s="8" t="s">
        <v>2756</v>
      </c>
      <c r="V109" s="8" t="s">
        <v>2757</v>
      </c>
      <c r="W109" s="8" t="s">
        <v>2758</v>
      </c>
      <c r="X109" s="8" t="s">
        <v>3183</v>
      </c>
      <c r="Y109" s="8" t="s">
        <v>2760</v>
      </c>
      <c r="Z109" s="8" t="s">
        <v>2761</v>
      </c>
      <c r="AA109" s="8" t="s">
        <v>3184</v>
      </c>
      <c r="AB109" s="8" t="s">
        <v>3185</v>
      </c>
      <c r="AC109" s="8" t="s">
        <v>3186</v>
      </c>
      <c r="AD109" s="8" t="s">
        <v>3187</v>
      </c>
      <c r="AE109" s="8" t="s">
        <v>2766</v>
      </c>
      <c r="AF109" s="8" t="s">
        <v>969</v>
      </c>
      <c r="AG109" s="8">
        <v>30.0</v>
      </c>
      <c r="AH109" s="8">
        <v>313.0</v>
      </c>
      <c r="AI109" s="8">
        <v>355.0</v>
      </c>
      <c r="AJ109" s="8">
        <v>8.0</v>
      </c>
      <c r="AK109" s="8">
        <v>247.0</v>
      </c>
      <c r="AL109" s="8" t="s">
        <v>1070</v>
      </c>
      <c r="AM109" s="8" t="s">
        <v>1071</v>
      </c>
      <c r="AN109" s="8" t="s">
        <v>1072</v>
      </c>
      <c r="AO109" s="8" t="s">
        <v>2369</v>
      </c>
      <c r="AP109" s="8" t="s">
        <v>2370</v>
      </c>
      <c r="AQ109" s="8" t="s">
        <v>969</v>
      </c>
      <c r="AR109" s="8" t="s">
        <v>2371</v>
      </c>
      <c r="AS109" s="8" t="s">
        <v>2372</v>
      </c>
      <c r="AT109" s="8" t="s">
        <v>1096</v>
      </c>
      <c r="AU109" s="8">
        <v>2013.0</v>
      </c>
      <c r="AV109" s="8">
        <v>3.0</v>
      </c>
      <c r="AW109" s="8">
        <v>7.0</v>
      </c>
      <c r="AX109" s="8" t="s">
        <v>969</v>
      </c>
      <c r="AY109" s="8" t="s">
        <v>969</v>
      </c>
      <c r="AZ109" s="8" t="s">
        <v>969</v>
      </c>
      <c r="BA109" s="8" t="s">
        <v>969</v>
      </c>
      <c r="BB109" s="8">
        <v>678.0</v>
      </c>
      <c r="BC109" s="8">
        <v>682.0</v>
      </c>
      <c r="BD109" s="8" t="s">
        <v>969</v>
      </c>
      <c r="BE109" s="8" t="s">
        <v>2767</v>
      </c>
      <c r="BF109" s="13" t="str">
        <f>HYPERLINK("http://dx.doi.org/10.1038/NCLIMATE1887","http://dx.doi.org/10.1038/NCLIMATE1887")</f>
        <v>http://dx.doi.org/10.1038/NCLIMATE1887</v>
      </c>
      <c r="BG109" s="8" t="s">
        <v>969</v>
      </c>
      <c r="BH109" s="8" t="s">
        <v>969</v>
      </c>
      <c r="BI109" s="8">
        <v>5.0</v>
      </c>
      <c r="BJ109" s="8" t="s">
        <v>2374</v>
      </c>
      <c r="BK109" s="8" t="s">
        <v>1519</v>
      </c>
      <c r="BL109" s="8" t="s">
        <v>1038</v>
      </c>
      <c r="BM109" s="8" t="s">
        <v>2768</v>
      </c>
      <c r="BN109" s="8" t="s">
        <v>969</v>
      </c>
      <c r="BO109" s="8" t="s">
        <v>969</v>
      </c>
      <c r="BP109" s="8" t="s">
        <v>969</v>
      </c>
      <c r="BQ109" s="8" t="s">
        <v>969</v>
      </c>
      <c r="BR109" s="8" t="s">
        <v>2912</v>
      </c>
      <c r="BS109" s="8" t="s">
        <v>2769</v>
      </c>
      <c r="BT109" s="3" t="s">
        <v>3188</v>
      </c>
      <c r="BW109" s="8" t="s">
        <v>128</v>
      </c>
      <c r="BX109" s="3">
        <v>1.0</v>
      </c>
      <c r="BY109" s="8" t="str">
        <f>HYPERLINK("https%3A%2F%2Fwww.webofscience.com%2Fwos%2Fwoscc%2Ffull-record%2FWOS:000324486300025","View Full Record in Web of Science")</f>
        <v>View Full Record in Web of Science</v>
      </c>
    </row>
    <row r="110" ht="12.75" customHeight="1">
      <c r="A110" s="8" t="s">
        <v>967</v>
      </c>
      <c r="B110" s="8" t="s">
        <v>2641</v>
      </c>
      <c r="C110" s="8" t="s">
        <v>969</v>
      </c>
      <c r="D110" s="8" t="s">
        <v>969</v>
      </c>
      <c r="E110" s="8" t="s">
        <v>969</v>
      </c>
      <c r="F110" s="8" t="s">
        <v>2642</v>
      </c>
      <c r="G110" s="8" t="s">
        <v>969</v>
      </c>
      <c r="H110" s="8" t="s">
        <v>969</v>
      </c>
      <c r="I110" s="8" t="s">
        <v>2643</v>
      </c>
      <c r="J110" s="8" t="s">
        <v>1974</v>
      </c>
      <c r="K110" s="8" t="s">
        <v>969</v>
      </c>
      <c r="L110" s="8" t="s">
        <v>969</v>
      </c>
      <c r="M110" s="8" t="s">
        <v>972</v>
      </c>
      <c r="N110" s="8" t="s">
        <v>973</v>
      </c>
      <c r="O110" s="8" t="s">
        <v>969</v>
      </c>
      <c r="P110" s="8" t="s">
        <v>969</v>
      </c>
      <c r="Q110" s="8" t="s">
        <v>969</v>
      </c>
      <c r="R110" s="8" t="s">
        <v>969</v>
      </c>
      <c r="S110" s="8" t="s">
        <v>969</v>
      </c>
      <c r="T110" s="8" t="s">
        <v>969</v>
      </c>
      <c r="U110" s="8" t="s">
        <v>2644</v>
      </c>
      <c r="V110" s="8" t="s">
        <v>2645</v>
      </c>
      <c r="W110" s="8" t="s">
        <v>2646</v>
      </c>
      <c r="X110" s="8" t="s">
        <v>2647</v>
      </c>
      <c r="Y110" s="8" t="s">
        <v>2648</v>
      </c>
      <c r="Z110" s="8" t="s">
        <v>2649</v>
      </c>
      <c r="AA110" s="8" t="s">
        <v>3189</v>
      </c>
      <c r="AB110" s="8" t="s">
        <v>3190</v>
      </c>
      <c r="AC110" s="8" t="s">
        <v>2652</v>
      </c>
      <c r="AD110" s="8" t="s">
        <v>2653</v>
      </c>
      <c r="AE110" s="8" t="s">
        <v>2654</v>
      </c>
      <c r="AF110" s="8" t="s">
        <v>969</v>
      </c>
      <c r="AG110" s="8">
        <v>41.0</v>
      </c>
      <c r="AH110" s="8">
        <v>710.0</v>
      </c>
      <c r="AI110" s="8">
        <v>814.0</v>
      </c>
      <c r="AJ110" s="8">
        <v>4.0</v>
      </c>
      <c r="AK110" s="8">
        <v>231.0</v>
      </c>
      <c r="AL110" s="8" t="s">
        <v>1985</v>
      </c>
      <c r="AM110" s="8" t="s">
        <v>1986</v>
      </c>
      <c r="AN110" s="8" t="s">
        <v>1987</v>
      </c>
      <c r="AO110" s="8" t="s">
        <v>1988</v>
      </c>
      <c r="AP110" s="8" t="s">
        <v>969</v>
      </c>
      <c r="AQ110" s="8" t="s">
        <v>969</v>
      </c>
      <c r="AR110" s="8" t="s">
        <v>1974</v>
      </c>
      <c r="AS110" s="8" t="s">
        <v>1989</v>
      </c>
      <c r="AT110" s="8" t="s">
        <v>2655</v>
      </c>
      <c r="AU110" s="8">
        <v>2013.0</v>
      </c>
      <c r="AV110" s="8">
        <v>8.0</v>
      </c>
      <c r="AW110" s="8">
        <v>6.0</v>
      </c>
      <c r="AX110" s="8" t="s">
        <v>969</v>
      </c>
      <c r="AY110" s="8" t="s">
        <v>969</v>
      </c>
      <c r="AZ110" s="8" t="s">
        <v>969</v>
      </c>
      <c r="BA110" s="8" t="s">
        <v>969</v>
      </c>
      <c r="BB110" s="8" t="s">
        <v>969</v>
      </c>
      <c r="BC110" s="8" t="s">
        <v>969</v>
      </c>
      <c r="BD110" s="8" t="s">
        <v>2656</v>
      </c>
      <c r="BE110" s="8" t="s">
        <v>827</v>
      </c>
      <c r="BF110" s="13" t="str">
        <f>HYPERLINK("http://dx.doi.org/10.1371/journal.pone.0065427","http://dx.doi.org/10.1371/journal.pone.0065427")</f>
        <v>http://dx.doi.org/10.1371/journal.pone.0065427</v>
      </c>
      <c r="BG110" s="8" t="s">
        <v>969</v>
      </c>
      <c r="BH110" s="8" t="s">
        <v>969</v>
      </c>
      <c r="BI110" s="8">
        <v>13.0</v>
      </c>
      <c r="BJ110" s="8" t="s">
        <v>1076</v>
      </c>
      <c r="BK110" s="8" t="s">
        <v>988</v>
      </c>
      <c r="BL110" s="8" t="s">
        <v>1077</v>
      </c>
      <c r="BM110" s="8" t="s">
        <v>2657</v>
      </c>
      <c r="BN110" s="8">
        <v>2.3950785E7</v>
      </c>
      <c r="BO110" s="8" t="s">
        <v>1140</v>
      </c>
      <c r="BP110" s="8" t="s">
        <v>969</v>
      </c>
      <c r="BQ110" s="8" t="s">
        <v>969</v>
      </c>
      <c r="BR110" s="8" t="s">
        <v>2912</v>
      </c>
      <c r="BS110" s="8" t="s">
        <v>2658</v>
      </c>
      <c r="BT110" s="3" t="s">
        <v>3188</v>
      </c>
      <c r="BW110" s="8" t="s">
        <v>296</v>
      </c>
      <c r="BX110" s="3">
        <v>1.0</v>
      </c>
      <c r="BY110" s="8" t="str">
        <f>HYPERLINK("https%3A%2F%2Fwww.webofscience.com%2Fwos%2Fwoscc%2Ffull-record%2FWOS:000320322400025","View Full Record in Web of Science")</f>
        <v>View Full Record in Web of Science</v>
      </c>
    </row>
    <row r="111" ht="12.75" customHeight="1">
      <c r="A111" s="8" t="s">
        <v>967</v>
      </c>
      <c r="B111" s="8" t="s">
        <v>2463</v>
      </c>
      <c r="C111" s="8" t="s">
        <v>969</v>
      </c>
      <c r="D111" s="8" t="s">
        <v>969</v>
      </c>
      <c r="E111" s="8" t="s">
        <v>969</v>
      </c>
      <c r="F111" s="8" t="s">
        <v>2464</v>
      </c>
      <c r="G111" s="8" t="s">
        <v>969</v>
      </c>
      <c r="H111" s="8" t="s">
        <v>969</v>
      </c>
      <c r="I111" s="8" t="s">
        <v>2465</v>
      </c>
      <c r="J111" s="8" t="s">
        <v>971</v>
      </c>
      <c r="K111" s="8" t="s">
        <v>969</v>
      </c>
      <c r="L111" s="8" t="s">
        <v>969</v>
      </c>
      <c r="M111" s="8" t="s">
        <v>972</v>
      </c>
      <c r="N111" s="8" t="s">
        <v>973</v>
      </c>
      <c r="O111" s="8" t="s">
        <v>969</v>
      </c>
      <c r="P111" s="8" t="s">
        <v>969</v>
      </c>
      <c r="Q111" s="8" t="s">
        <v>969</v>
      </c>
      <c r="R111" s="8" t="s">
        <v>969</v>
      </c>
      <c r="S111" s="8" t="s">
        <v>969</v>
      </c>
      <c r="T111" s="8" t="s">
        <v>2466</v>
      </c>
      <c r="U111" s="8" t="s">
        <v>2467</v>
      </c>
      <c r="V111" s="8" t="s">
        <v>2468</v>
      </c>
      <c r="W111" s="8" t="s">
        <v>2469</v>
      </c>
      <c r="X111" s="8" t="s">
        <v>2470</v>
      </c>
      <c r="Y111" s="8" t="s">
        <v>2471</v>
      </c>
      <c r="Z111" s="8" t="s">
        <v>2472</v>
      </c>
      <c r="AA111" s="8" t="s">
        <v>3191</v>
      </c>
      <c r="AB111" s="8" t="s">
        <v>3192</v>
      </c>
      <c r="AC111" s="8" t="s">
        <v>969</v>
      </c>
      <c r="AD111" s="8" t="s">
        <v>969</v>
      </c>
      <c r="AE111" s="8" t="s">
        <v>969</v>
      </c>
      <c r="AF111" s="8" t="s">
        <v>969</v>
      </c>
      <c r="AG111" s="8">
        <v>75.0</v>
      </c>
      <c r="AH111" s="8">
        <v>114.0</v>
      </c>
      <c r="AI111" s="8">
        <v>127.0</v>
      </c>
      <c r="AJ111" s="8">
        <v>4.0</v>
      </c>
      <c r="AK111" s="8">
        <v>183.0</v>
      </c>
      <c r="AL111" s="8" t="s">
        <v>1091</v>
      </c>
      <c r="AM111" s="8" t="s">
        <v>1092</v>
      </c>
      <c r="AN111" s="8" t="s">
        <v>1093</v>
      </c>
      <c r="AO111" s="8" t="s">
        <v>983</v>
      </c>
      <c r="AP111" s="8" t="s">
        <v>1094</v>
      </c>
      <c r="AQ111" s="8" t="s">
        <v>969</v>
      </c>
      <c r="AR111" s="8" t="s">
        <v>1095</v>
      </c>
      <c r="AS111" s="8" t="s">
        <v>985</v>
      </c>
      <c r="AT111" s="8" t="s">
        <v>1177</v>
      </c>
      <c r="AU111" s="8">
        <v>2012.0</v>
      </c>
      <c r="AV111" s="8">
        <v>18.0</v>
      </c>
      <c r="AW111" s="8">
        <v>5.0</v>
      </c>
      <c r="AX111" s="8" t="s">
        <v>969</v>
      </c>
      <c r="AY111" s="8" t="s">
        <v>969</v>
      </c>
      <c r="AZ111" s="8" t="s">
        <v>969</v>
      </c>
      <c r="BA111" s="8" t="s">
        <v>969</v>
      </c>
      <c r="BB111" s="8">
        <v>1520.0</v>
      </c>
      <c r="BC111" s="8">
        <v>1530.0</v>
      </c>
      <c r="BD111" s="8" t="s">
        <v>969</v>
      </c>
      <c r="BE111" s="8" t="s">
        <v>728</v>
      </c>
      <c r="BF111" s="13" t="str">
        <f>HYPERLINK("http://dx.doi.org/10.1111/j.1365-2486.2011.02623.x","http://dx.doi.org/10.1111/j.1365-2486.2011.02623.x")</f>
        <v>http://dx.doi.org/10.1111/j.1365-2486.2011.02623.x</v>
      </c>
      <c r="BG111" s="8" t="s">
        <v>969</v>
      </c>
      <c r="BH111" s="8" t="s">
        <v>969</v>
      </c>
      <c r="BI111" s="8">
        <v>11.0</v>
      </c>
      <c r="BJ111" s="8" t="s">
        <v>987</v>
      </c>
      <c r="BK111" s="8" t="s">
        <v>988</v>
      </c>
      <c r="BL111" s="8" t="s">
        <v>989</v>
      </c>
      <c r="BM111" s="8" t="s">
        <v>2475</v>
      </c>
      <c r="BN111" s="8" t="s">
        <v>969</v>
      </c>
      <c r="BO111" s="8" t="s">
        <v>969</v>
      </c>
      <c r="BP111" s="8" t="s">
        <v>969</v>
      </c>
      <c r="BQ111" s="8" t="s">
        <v>969</v>
      </c>
      <c r="BR111" s="8" t="s">
        <v>2912</v>
      </c>
      <c r="BS111" s="8" t="s">
        <v>2476</v>
      </c>
      <c r="BT111" s="3" t="s">
        <v>3188</v>
      </c>
      <c r="BW111" s="8" t="s">
        <v>40</v>
      </c>
      <c r="BX111" s="3">
        <v>1.0</v>
      </c>
      <c r="BY111" s="8" t="str">
        <f>HYPERLINK("https%3A%2F%2Fwww.webofscience.com%2Fwos%2Fwoscc%2Ffull-record%2FWOS:000302543500005","View Full Record in Web of Science")</f>
        <v>View Full Record in Web of Science</v>
      </c>
    </row>
    <row r="112" ht="12.75" customHeight="1">
      <c r="A112" s="8" t="s">
        <v>967</v>
      </c>
      <c r="B112" s="8" t="s">
        <v>2399</v>
      </c>
      <c r="C112" s="8" t="s">
        <v>969</v>
      </c>
      <c r="D112" s="8" t="s">
        <v>969</v>
      </c>
      <c r="E112" s="8" t="s">
        <v>969</v>
      </c>
      <c r="F112" s="8" t="s">
        <v>2400</v>
      </c>
      <c r="G112" s="8" t="s">
        <v>969</v>
      </c>
      <c r="H112" s="8" t="s">
        <v>969</v>
      </c>
      <c r="I112" s="8" t="s">
        <v>2401</v>
      </c>
      <c r="J112" s="8" t="s">
        <v>2380</v>
      </c>
      <c r="K112" s="8" t="s">
        <v>969</v>
      </c>
      <c r="L112" s="8" t="s">
        <v>969</v>
      </c>
      <c r="M112" s="8" t="s">
        <v>972</v>
      </c>
      <c r="N112" s="8" t="s">
        <v>973</v>
      </c>
      <c r="O112" s="8" t="s">
        <v>969</v>
      </c>
      <c r="P112" s="8" t="s">
        <v>969</v>
      </c>
      <c r="Q112" s="8" t="s">
        <v>969</v>
      </c>
      <c r="R112" s="8" t="s">
        <v>969</v>
      </c>
      <c r="S112" s="8" t="s">
        <v>969</v>
      </c>
      <c r="T112" s="8" t="s">
        <v>2402</v>
      </c>
      <c r="U112" s="8" t="s">
        <v>2403</v>
      </c>
      <c r="V112" s="8" t="s">
        <v>2404</v>
      </c>
      <c r="W112" s="8" t="s">
        <v>2405</v>
      </c>
      <c r="X112" s="8" t="s">
        <v>2406</v>
      </c>
      <c r="Y112" s="8" t="s">
        <v>2407</v>
      </c>
      <c r="Z112" s="8" t="s">
        <v>2408</v>
      </c>
      <c r="AA112" s="8" t="s">
        <v>2409</v>
      </c>
      <c r="AB112" s="8" t="s">
        <v>3193</v>
      </c>
      <c r="AC112" s="8" t="s">
        <v>3194</v>
      </c>
      <c r="AD112" s="8" t="s">
        <v>3195</v>
      </c>
      <c r="AE112" s="8" t="s">
        <v>2413</v>
      </c>
      <c r="AF112" s="8" t="s">
        <v>969</v>
      </c>
      <c r="AG112" s="8">
        <v>50.0</v>
      </c>
      <c r="AH112" s="8">
        <v>157.0</v>
      </c>
      <c r="AI112" s="8">
        <v>190.0</v>
      </c>
      <c r="AJ112" s="8">
        <v>0.0</v>
      </c>
      <c r="AK112" s="8">
        <v>174.0</v>
      </c>
      <c r="AL112" s="8" t="s">
        <v>1091</v>
      </c>
      <c r="AM112" s="8" t="s">
        <v>1092</v>
      </c>
      <c r="AN112" s="8" t="s">
        <v>1093</v>
      </c>
      <c r="AO112" s="8" t="s">
        <v>2393</v>
      </c>
      <c r="AP112" s="8" t="s">
        <v>2394</v>
      </c>
      <c r="AQ112" s="8" t="s">
        <v>969</v>
      </c>
      <c r="AR112" s="8" t="s">
        <v>2395</v>
      </c>
      <c r="AS112" s="8" t="s">
        <v>2396</v>
      </c>
      <c r="AT112" s="8" t="s">
        <v>986</v>
      </c>
      <c r="AU112" s="8">
        <v>2011.0</v>
      </c>
      <c r="AV112" s="8">
        <v>14.0</v>
      </c>
      <c r="AW112" s="8">
        <v>12.0</v>
      </c>
      <c r="AX112" s="8" t="s">
        <v>969</v>
      </c>
      <c r="AY112" s="8" t="s">
        <v>969</v>
      </c>
      <c r="AZ112" s="8" t="s">
        <v>969</v>
      </c>
      <c r="BA112" s="8" t="s">
        <v>969</v>
      </c>
      <c r="BB112" s="8">
        <v>1191.0</v>
      </c>
      <c r="BC112" s="8">
        <v>1200.0</v>
      </c>
      <c r="BD112" s="8" t="s">
        <v>969</v>
      </c>
      <c r="BE112" s="8" t="s">
        <v>752</v>
      </c>
      <c r="BF112" s="13" t="str">
        <f>HYPERLINK("http://dx.doi.org/10.1111/j.1461-0248.2011.01689.x","http://dx.doi.org/10.1111/j.1461-0248.2011.01689.x")</f>
        <v>http://dx.doi.org/10.1111/j.1461-0248.2011.01689.x</v>
      </c>
      <c r="BG112" s="8" t="s">
        <v>969</v>
      </c>
      <c r="BH112" s="8" t="s">
        <v>969</v>
      </c>
      <c r="BI112" s="8">
        <v>10.0</v>
      </c>
      <c r="BJ112" s="8" t="s">
        <v>1267</v>
      </c>
      <c r="BK112" s="8" t="s">
        <v>988</v>
      </c>
      <c r="BL112" s="8" t="s">
        <v>1268</v>
      </c>
      <c r="BM112" s="8" t="s">
        <v>2414</v>
      </c>
      <c r="BN112" s="8">
        <v>2.1978234E7</v>
      </c>
      <c r="BO112" s="8" t="s">
        <v>969</v>
      </c>
      <c r="BP112" s="8" t="s">
        <v>969</v>
      </c>
      <c r="BQ112" s="8" t="s">
        <v>969</v>
      </c>
      <c r="BR112" s="8" t="s">
        <v>2912</v>
      </c>
      <c r="BS112" s="8" t="s">
        <v>2415</v>
      </c>
      <c r="BT112" s="3" t="s">
        <v>3188</v>
      </c>
      <c r="BW112" s="8" t="s">
        <v>243</v>
      </c>
      <c r="BX112" s="3">
        <v>1.0</v>
      </c>
      <c r="BY112" s="8" t="str">
        <f>HYPERLINK("https%3A%2F%2Fwww.webofscience.com%2Fwos%2Fwoscc%2Ffull-record%2FWOS:000297147500002","View Full Record in Web of Science")</f>
        <v>View Full Record in Web of Science</v>
      </c>
    </row>
    <row r="113" ht="12.75" customHeight="1">
      <c r="A113" s="8" t="s">
        <v>967</v>
      </c>
      <c r="B113" s="8" t="s">
        <v>2198</v>
      </c>
      <c r="C113" s="8" t="s">
        <v>969</v>
      </c>
      <c r="D113" s="8" t="s">
        <v>969</v>
      </c>
      <c r="E113" s="8" t="s">
        <v>969</v>
      </c>
      <c r="F113" s="8" t="s">
        <v>2199</v>
      </c>
      <c r="G113" s="8" t="s">
        <v>969</v>
      </c>
      <c r="H113" s="8" t="s">
        <v>969</v>
      </c>
      <c r="I113" s="8" t="s">
        <v>2200</v>
      </c>
      <c r="J113" s="8" t="s">
        <v>1951</v>
      </c>
      <c r="K113" s="8" t="s">
        <v>969</v>
      </c>
      <c r="L113" s="8" t="s">
        <v>969</v>
      </c>
      <c r="M113" s="8" t="s">
        <v>972</v>
      </c>
      <c r="N113" s="8" t="s">
        <v>973</v>
      </c>
      <c r="O113" s="8" t="s">
        <v>969</v>
      </c>
      <c r="P113" s="8" t="s">
        <v>969</v>
      </c>
      <c r="Q113" s="8" t="s">
        <v>969</v>
      </c>
      <c r="R113" s="8" t="s">
        <v>969</v>
      </c>
      <c r="S113" s="8" t="s">
        <v>969</v>
      </c>
      <c r="T113" s="8" t="s">
        <v>969</v>
      </c>
      <c r="U113" s="8" t="s">
        <v>2201</v>
      </c>
      <c r="V113" s="8" t="s">
        <v>2202</v>
      </c>
      <c r="W113" s="8" t="s">
        <v>2203</v>
      </c>
      <c r="X113" s="8" t="s">
        <v>3196</v>
      </c>
      <c r="Y113" s="8" t="s">
        <v>2205</v>
      </c>
      <c r="Z113" s="8" t="s">
        <v>2206</v>
      </c>
      <c r="AA113" s="8" t="s">
        <v>3197</v>
      </c>
      <c r="AB113" s="8" t="s">
        <v>3198</v>
      </c>
      <c r="AC113" s="8" t="s">
        <v>3199</v>
      </c>
      <c r="AD113" s="8" t="s">
        <v>3200</v>
      </c>
      <c r="AE113" s="8" t="s">
        <v>2211</v>
      </c>
      <c r="AF113" s="8" t="s">
        <v>969</v>
      </c>
      <c r="AG113" s="8">
        <v>28.0</v>
      </c>
      <c r="AH113" s="8">
        <v>1531.0</v>
      </c>
      <c r="AI113" s="8">
        <v>1770.0</v>
      </c>
      <c r="AJ113" s="8">
        <v>6.0</v>
      </c>
      <c r="AK113" s="8">
        <v>773.0</v>
      </c>
      <c r="AL113" s="8" t="s">
        <v>1963</v>
      </c>
      <c r="AM113" s="8" t="s">
        <v>1388</v>
      </c>
      <c r="AN113" s="8" t="s">
        <v>1964</v>
      </c>
      <c r="AO113" s="8" t="s">
        <v>1965</v>
      </c>
      <c r="AP113" s="8" t="s">
        <v>1966</v>
      </c>
      <c r="AQ113" s="8" t="s">
        <v>969</v>
      </c>
      <c r="AR113" s="8" t="s">
        <v>1951</v>
      </c>
      <c r="AS113" s="8" t="s">
        <v>1967</v>
      </c>
      <c r="AT113" s="8" t="s">
        <v>2212</v>
      </c>
      <c r="AU113" s="8">
        <v>2010.0</v>
      </c>
      <c r="AV113" s="8">
        <v>328.0</v>
      </c>
      <c r="AW113" s="8">
        <v>5980.0</v>
      </c>
      <c r="AX113" s="8" t="s">
        <v>969</v>
      </c>
      <c r="AY113" s="8" t="s">
        <v>969</v>
      </c>
      <c r="AZ113" s="8" t="s">
        <v>969</v>
      </c>
      <c r="BA113" s="8" t="s">
        <v>969</v>
      </c>
      <c r="BB113" s="8">
        <v>894.0</v>
      </c>
      <c r="BC113" s="8">
        <v>899.0</v>
      </c>
      <c r="BD113" s="8" t="s">
        <v>969</v>
      </c>
      <c r="BE113" s="8" t="s">
        <v>800</v>
      </c>
      <c r="BF113" s="13" t="str">
        <f>HYPERLINK("http://dx.doi.org/10.1126/science.1184695","http://dx.doi.org/10.1126/science.1184695")</f>
        <v>http://dx.doi.org/10.1126/science.1184695</v>
      </c>
      <c r="BG113" s="8" t="s">
        <v>969</v>
      </c>
      <c r="BH113" s="8" t="s">
        <v>969</v>
      </c>
      <c r="BI113" s="8">
        <v>6.0</v>
      </c>
      <c r="BJ113" s="8" t="s">
        <v>1076</v>
      </c>
      <c r="BK113" s="8" t="s">
        <v>988</v>
      </c>
      <c r="BL113" s="8" t="s">
        <v>1077</v>
      </c>
      <c r="BM113" s="8" t="s">
        <v>2213</v>
      </c>
      <c r="BN113" s="8">
        <v>2.0466932E7</v>
      </c>
      <c r="BO113" s="8" t="s">
        <v>1227</v>
      </c>
      <c r="BP113" s="8" t="s">
        <v>969</v>
      </c>
      <c r="BQ113" s="8" t="s">
        <v>969</v>
      </c>
      <c r="BR113" s="8" t="s">
        <v>2912</v>
      </c>
      <c r="BS113" s="8" t="s">
        <v>2214</v>
      </c>
      <c r="BT113" s="3" t="s">
        <v>3188</v>
      </c>
      <c r="BW113" s="8" t="s">
        <v>40</v>
      </c>
      <c r="BX113" s="3">
        <v>1.0</v>
      </c>
      <c r="BY113" s="8" t="str">
        <f>HYPERLINK("https%3A%2F%2Fwww.webofscience.com%2Fwos%2Fwoscc%2Ffull-record%2FWOS:000277618800050","View Full Record in Web of Science")</f>
        <v>View Full Record in Web of Science</v>
      </c>
    </row>
    <row r="114" ht="12.75" customHeight="1">
      <c r="A114" s="8" t="s">
        <v>967</v>
      </c>
      <c r="B114" s="8" t="s">
        <v>1844</v>
      </c>
      <c r="C114" s="8" t="s">
        <v>969</v>
      </c>
      <c r="D114" s="8" t="s">
        <v>969</v>
      </c>
      <c r="E114" s="8" t="s">
        <v>969</v>
      </c>
      <c r="F114" s="8" t="s">
        <v>1845</v>
      </c>
      <c r="G114" s="8" t="s">
        <v>969</v>
      </c>
      <c r="H114" s="8" t="s">
        <v>969</v>
      </c>
      <c r="I114" s="8" t="s">
        <v>1846</v>
      </c>
      <c r="J114" s="8" t="s">
        <v>1847</v>
      </c>
      <c r="K114" s="8" t="s">
        <v>969</v>
      </c>
      <c r="L114" s="8" t="s">
        <v>969</v>
      </c>
      <c r="M114" s="8" t="s">
        <v>972</v>
      </c>
      <c r="N114" s="8" t="s">
        <v>973</v>
      </c>
      <c r="O114" s="8" t="s">
        <v>969</v>
      </c>
      <c r="P114" s="8" t="s">
        <v>969</v>
      </c>
      <c r="Q114" s="8" t="s">
        <v>969</v>
      </c>
      <c r="R114" s="8" t="s">
        <v>969</v>
      </c>
      <c r="S114" s="8" t="s">
        <v>969</v>
      </c>
      <c r="T114" s="8" t="s">
        <v>1848</v>
      </c>
      <c r="U114" s="8" t="s">
        <v>1849</v>
      </c>
      <c r="V114" s="8" t="s">
        <v>1850</v>
      </c>
      <c r="W114" s="8" t="s">
        <v>1851</v>
      </c>
      <c r="X114" s="8" t="s">
        <v>1852</v>
      </c>
      <c r="Y114" s="8" t="s">
        <v>1853</v>
      </c>
      <c r="Z114" s="8" t="s">
        <v>1854</v>
      </c>
      <c r="AA114" s="8" t="s">
        <v>3201</v>
      </c>
      <c r="AB114" s="8" t="s">
        <v>3202</v>
      </c>
      <c r="AC114" s="8" t="s">
        <v>969</v>
      </c>
      <c r="AD114" s="8" t="s">
        <v>969</v>
      </c>
      <c r="AE114" s="8" t="s">
        <v>969</v>
      </c>
      <c r="AF114" s="8" t="s">
        <v>969</v>
      </c>
      <c r="AG114" s="8">
        <v>60.0</v>
      </c>
      <c r="AH114" s="8">
        <v>262.0</v>
      </c>
      <c r="AI114" s="8">
        <v>300.0</v>
      </c>
      <c r="AJ114" s="8">
        <v>5.0</v>
      </c>
      <c r="AK114" s="8">
        <v>93.0</v>
      </c>
      <c r="AL114" s="8" t="s">
        <v>1813</v>
      </c>
      <c r="AM114" s="8" t="s">
        <v>1261</v>
      </c>
      <c r="AN114" s="8" t="s">
        <v>1814</v>
      </c>
      <c r="AO114" s="8" t="s">
        <v>1857</v>
      </c>
      <c r="AP114" s="8" t="s">
        <v>1858</v>
      </c>
      <c r="AQ114" s="8" t="s">
        <v>969</v>
      </c>
      <c r="AR114" s="8" t="s">
        <v>1859</v>
      </c>
      <c r="AS114" s="8" t="s">
        <v>1860</v>
      </c>
      <c r="AT114" s="8" t="s">
        <v>1285</v>
      </c>
      <c r="AU114" s="8">
        <v>2008.0</v>
      </c>
      <c r="AV114" s="8">
        <v>126.0</v>
      </c>
      <c r="AW114" s="8" t="s">
        <v>1200</v>
      </c>
      <c r="AX114" s="8" t="s">
        <v>969</v>
      </c>
      <c r="AY114" s="8" t="s">
        <v>969</v>
      </c>
      <c r="AZ114" s="8" t="s">
        <v>969</v>
      </c>
      <c r="BA114" s="8" t="s">
        <v>969</v>
      </c>
      <c r="BB114" s="8">
        <v>13.0</v>
      </c>
      <c r="BC114" s="8">
        <v>23.0</v>
      </c>
      <c r="BD114" s="8" t="s">
        <v>969</v>
      </c>
      <c r="BE114" s="8" t="s">
        <v>545</v>
      </c>
      <c r="BF114" s="13" t="str">
        <f>HYPERLINK("http://dx.doi.org/10.1016/j.agee.2008.01.013","http://dx.doi.org/10.1016/j.agee.2008.01.013")</f>
        <v>http://dx.doi.org/10.1016/j.agee.2008.01.013</v>
      </c>
      <c r="BG114" s="8" t="s">
        <v>969</v>
      </c>
      <c r="BH114" s="8" t="s">
        <v>969</v>
      </c>
      <c r="BI114" s="8">
        <v>11.0</v>
      </c>
      <c r="BJ114" s="8" t="s">
        <v>1861</v>
      </c>
      <c r="BK114" s="8" t="s">
        <v>988</v>
      </c>
      <c r="BL114" s="8" t="s">
        <v>1862</v>
      </c>
      <c r="BM114" s="8" t="s">
        <v>1863</v>
      </c>
      <c r="BN114" s="8" t="s">
        <v>969</v>
      </c>
      <c r="BO114" s="8" t="s">
        <v>969</v>
      </c>
      <c r="BP114" s="8" t="s">
        <v>969</v>
      </c>
      <c r="BQ114" s="8" t="s">
        <v>969</v>
      </c>
      <c r="BR114" s="8" t="s">
        <v>2912</v>
      </c>
      <c r="BS114" s="8" t="s">
        <v>1864</v>
      </c>
      <c r="BT114" s="3" t="s">
        <v>3188</v>
      </c>
      <c r="BW114" s="8" t="s">
        <v>51</v>
      </c>
      <c r="BX114" s="3">
        <v>1.0</v>
      </c>
      <c r="BY114" s="8" t="str">
        <f>HYPERLINK("https%3A%2F%2Fwww.webofscience.com%2Fwos%2Fwoscc%2Ffull-record%2FWOS:000255694700003","View Full Record in Web of Science")</f>
        <v>View Full Record in Web of Science</v>
      </c>
    </row>
    <row r="115" ht="12.75" customHeight="1">
      <c r="A115" s="8" t="s">
        <v>967</v>
      </c>
      <c r="B115" s="8" t="s">
        <v>1768</v>
      </c>
      <c r="C115" s="8" t="s">
        <v>969</v>
      </c>
      <c r="D115" s="8" t="s">
        <v>969</v>
      </c>
      <c r="E115" s="8" t="s">
        <v>969</v>
      </c>
      <c r="F115" s="8" t="s">
        <v>1769</v>
      </c>
      <c r="G115" s="8" t="s">
        <v>969</v>
      </c>
      <c r="H115" s="8" t="s">
        <v>969</v>
      </c>
      <c r="I115" s="8" t="s">
        <v>1770</v>
      </c>
      <c r="J115" s="8" t="s">
        <v>1538</v>
      </c>
      <c r="K115" s="8" t="s">
        <v>969</v>
      </c>
      <c r="L115" s="8" t="s">
        <v>969</v>
      </c>
      <c r="M115" s="8" t="s">
        <v>972</v>
      </c>
      <c r="N115" s="8" t="s">
        <v>973</v>
      </c>
      <c r="O115" s="8" t="s">
        <v>969</v>
      </c>
      <c r="P115" s="8" t="s">
        <v>969</v>
      </c>
      <c r="Q115" s="8" t="s">
        <v>969</v>
      </c>
      <c r="R115" s="8" t="s">
        <v>969</v>
      </c>
      <c r="S115" s="8" t="s">
        <v>969</v>
      </c>
      <c r="T115" s="8" t="s">
        <v>1771</v>
      </c>
      <c r="U115" s="8" t="s">
        <v>1772</v>
      </c>
      <c r="V115" s="8" t="s">
        <v>1773</v>
      </c>
      <c r="W115" s="8" t="s">
        <v>1774</v>
      </c>
      <c r="X115" s="8" t="s">
        <v>1775</v>
      </c>
      <c r="Y115" s="8" t="s">
        <v>1776</v>
      </c>
      <c r="Z115" s="8" t="s">
        <v>1777</v>
      </c>
      <c r="AA115" s="8" t="s">
        <v>3203</v>
      </c>
      <c r="AB115" s="8" t="s">
        <v>3204</v>
      </c>
      <c r="AC115" s="8" t="s">
        <v>969</v>
      </c>
      <c r="AD115" s="8" t="s">
        <v>969</v>
      </c>
      <c r="AE115" s="8" t="s">
        <v>969</v>
      </c>
      <c r="AF115" s="8" t="s">
        <v>969</v>
      </c>
      <c r="AG115" s="8">
        <v>54.0</v>
      </c>
      <c r="AH115" s="8">
        <v>475.0</v>
      </c>
      <c r="AI115" s="8">
        <v>593.0</v>
      </c>
      <c r="AJ115" s="8">
        <v>2.0</v>
      </c>
      <c r="AK115" s="8">
        <v>433.0</v>
      </c>
      <c r="AL115" s="8" t="s">
        <v>1010</v>
      </c>
      <c r="AM115" s="8" t="s">
        <v>1092</v>
      </c>
      <c r="AN115" s="8" t="s">
        <v>1093</v>
      </c>
      <c r="AO115" s="8" t="s">
        <v>1548</v>
      </c>
      <c r="AP115" s="8" t="s">
        <v>1549</v>
      </c>
      <c r="AQ115" s="8" t="s">
        <v>969</v>
      </c>
      <c r="AR115" s="8" t="s">
        <v>1550</v>
      </c>
      <c r="AS115" s="8" t="s">
        <v>1551</v>
      </c>
      <c r="AT115" s="8" t="s">
        <v>1036</v>
      </c>
      <c r="AU115" s="8">
        <v>2008.0</v>
      </c>
      <c r="AV115" s="8">
        <v>22.0</v>
      </c>
      <c r="AW115" s="8">
        <v>1.0</v>
      </c>
      <c r="AX115" s="8" t="s">
        <v>969</v>
      </c>
      <c r="AY115" s="8" t="s">
        <v>969</v>
      </c>
      <c r="AZ115" s="8" t="s">
        <v>969</v>
      </c>
      <c r="BA115" s="8" t="s">
        <v>969</v>
      </c>
      <c r="BB115" s="8">
        <v>140.0</v>
      </c>
      <c r="BC115" s="8">
        <v>150.0</v>
      </c>
      <c r="BD115" s="8" t="s">
        <v>969</v>
      </c>
      <c r="BE115" s="8" t="s">
        <v>779</v>
      </c>
      <c r="BF115" s="13" t="str">
        <f>HYPERLINK("http://dx.doi.org/10.1111/j.1523-1739.2007.00852.x","http://dx.doi.org/10.1111/j.1523-1739.2007.00852.x")</f>
        <v>http://dx.doi.org/10.1111/j.1523-1739.2007.00852.x</v>
      </c>
      <c r="BG115" s="8" t="s">
        <v>969</v>
      </c>
      <c r="BH115" s="8" t="s">
        <v>969</v>
      </c>
      <c r="BI115" s="8">
        <v>11.0</v>
      </c>
      <c r="BJ115" s="8" t="s">
        <v>987</v>
      </c>
      <c r="BK115" s="8" t="s">
        <v>988</v>
      </c>
      <c r="BL115" s="8" t="s">
        <v>989</v>
      </c>
      <c r="BM115" s="8" t="s">
        <v>1780</v>
      </c>
      <c r="BN115" s="8">
        <v>1.8254859E7</v>
      </c>
      <c r="BO115" s="8" t="s">
        <v>1247</v>
      </c>
      <c r="BP115" s="8" t="s">
        <v>969</v>
      </c>
      <c r="BQ115" s="8" t="s">
        <v>969</v>
      </c>
      <c r="BR115" s="8" t="s">
        <v>2912</v>
      </c>
      <c r="BS115" s="8" t="s">
        <v>1781</v>
      </c>
      <c r="BT115" s="3" t="s">
        <v>3188</v>
      </c>
      <c r="BW115" s="8" t="s">
        <v>81</v>
      </c>
      <c r="BX115" s="3">
        <v>1.0</v>
      </c>
      <c r="BY115" s="8" t="str">
        <f>HYPERLINK("https%3A%2F%2Fwww.webofscience.com%2Fwos%2Fwoscc%2Ffull-record%2FWOS:000252895700016","View Full Record in Web of Science")</f>
        <v>View Full Record in Web of Science</v>
      </c>
    </row>
    <row r="116" ht="12.75" customHeight="1">
      <c r="A116" s="8" t="s">
        <v>967</v>
      </c>
      <c r="B116" s="8" t="s">
        <v>3205</v>
      </c>
      <c r="C116" s="8" t="s">
        <v>969</v>
      </c>
      <c r="D116" s="8" t="s">
        <v>969</v>
      </c>
      <c r="E116" s="8" t="s">
        <v>969</v>
      </c>
      <c r="F116" s="8" t="s">
        <v>3206</v>
      </c>
      <c r="G116" s="8" t="s">
        <v>969</v>
      </c>
      <c r="H116" s="8" t="s">
        <v>969</v>
      </c>
      <c r="I116" s="8" t="s">
        <v>3207</v>
      </c>
      <c r="J116" s="8" t="s">
        <v>3208</v>
      </c>
      <c r="K116" s="8" t="s">
        <v>969</v>
      </c>
      <c r="L116" s="8" t="s">
        <v>969</v>
      </c>
      <c r="M116" s="8" t="s">
        <v>972</v>
      </c>
      <c r="N116" s="8" t="s">
        <v>973</v>
      </c>
      <c r="O116" s="8" t="s">
        <v>969</v>
      </c>
      <c r="P116" s="8" t="s">
        <v>969</v>
      </c>
      <c r="Q116" s="8" t="s">
        <v>969</v>
      </c>
      <c r="R116" s="8" t="s">
        <v>969</v>
      </c>
      <c r="S116" s="8" t="s">
        <v>969</v>
      </c>
      <c r="T116" s="8" t="s">
        <v>969</v>
      </c>
      <c r="U116" s="8" t="s">
        <v>3209</v>
      </c>
      <c r="V116" s="8" t="s">
        <v>3210</v>
      </c>
      <c r="W116" s="8" t="s">
        <v>3211</v>
      </c>
      <c r="X116" s="8" t="s">
        <v>3212</v>
      </c>
      <c r="Y116" s="8" t="s">
        <v>3213</v>
      </c>
      <c r="Z116" s="8" t="s">
        <v>3214</v>
      </c>
      <c r="AA116" s="8" t="s">
        <v>3215</v>
      </c>
      <c r="AB116" s="8" t="s">
        <v>3216</v>
      </c>
      <c r="AC116" s="8" t="s">
        <v>969</v>
      </c>
      <c r="AD116" s="8" t="s">
        <v>969</v>
      </c>
      <c r="AE116" s="8" t="s">
        <v>969</v>
      </c>
      <c r="AF116" s="8" t="s">
        <v>969</v>
      </c>
      <c r="AG116" s="8">
        <v>36.0</v>
      </c>
      <c r="AH116" s="8">
        <v>826.0</v>
      </c>
      <c r="AI116" s="8">
        <v>989.0</v>
      </c>
      <c r="AJ116" s="8">
        <v>10.0</v>
      </c>
      <c r="AK116" s="8">
        <v>455.0</v>
      </c>
      <c r="AL116" s="8" t="s">
        <v>1985</v>
      </c>
      <c r="AM116" s="8" t="s">
        <v>1986</v>
      </c>
      <c r="AN116" s="8" t="s">
        <v>1987</v>
      </c>
      <c r="AO116" s="8" t="s">
        <v>3217</v>
      </c>
      <c r="AP116" s="8" t="s">
        <v>3218</v>
      </c>
      <c r="AQ116" s="8" t="s">
        <v>969</v>
      </c>
      <c r="AR116" s="8" t="s">
        <v>3219</v>
      </c>
      <c r="AS116" s="8" t="s">
        <v>3220</v>
      </c>
      <c r="AT116" s="8" t="s">
        <v>1285</v>
      </c>
      <c r="AU116" s="8">
        <v>2007.0</v>
      </c>
      <c r="AV116" s="8">
        <v>5.0</v>
      </c>
      <c r="AW116" s="8">
        <v>6.0</v>
      </c>
      <c r="AX116" s="8" t="s">
        <v>969</v>
      </c>
      <c r="AY116" s="8" t="s">
        <v>969</v>
      </c>
      <c r="AZ116" s="8" t="s">
        <v>969</v>
      </c>
      <c r="BA116" s="8" t="s">
        <v>969</v>
      </c>
      <c r="BB116" s="8">
        <v>1211.0</v>
      </c>
      <c r="BC116" s="8">
        <v>1219.0</v>
      </c>
      <c r="BD116" s="8" t="s">
        <v>3221</v>
      </c>
      <c r="BE116" s="8" t="s">
        <v>806</v>
      </c>
      <c r="BF116" s="13" t="str">
        <f>HYPERLINK("http://dx.doi.org/10.1371/journal.pbio.0050157","http://dx.doi.org/10.1371/journal.pbio.0050157")</f>
        <v>http://dx.doi.org/10.1371/journal.pbio.0050157</v>
      </c>
      <c r="BG116" s="8" t="s">
        <v>969</v>
      </c>
      <c r="BH116" s="8" t="s">
        <v>969</v>
      </c>
      <c r="BI116" s="8">
        <v>9.0</v>
      </c>
      <c r="BJ116" s="8" t="s">
        <v>3222</v>
      </c>
      <c r="BK116" s="8" t="s">
        <v>988</v>
      </c>
      <c r="BL116" s="8" t="s">
        <v>3223</v>
      </c>
      <c r="BM116" s="8" t="s">
        <v>3224</v>
      </c>
      <c r="BN116" s="8">
        <v>1.7550306E7</v>
      </c>
      <c r="BO116" s="8" t="s">
        <v>1140</v>
      </c>
      <c r="BP116" s="8" t="s">
        <v>969</v>
      </c>
      <c r="BQ116" s="8" t="s">
        <v>969</v>
      </c>
      <c r="BR116" s="8" t="s">
        <v>2912</v>
      </c>
      <c r="BS116" s="8" t="s">
        <v>3225</v>
      </c>
      <c r="BT116" s="3" t="s">
        <v>3188</v>
      </c>
      <c r="BW116" s="8" t="s">
        <v>81</v>
      </c>
      <c r="BX116" s="3">
        <v>1.0</v>
      </c>
      <c r="BY116" s="8" t="str">
        <f>HYPERLINK("https%3A%2F%2Fwww.webofscience.com%2Fwos%2Fwoscc%2Ffull-record%2FWOS:000247173200006","View Full Record in Web of Science")</f>
        <v>View Full Record in Web of Science</v>
      </c>
    </row>
    <row r="117" ht="12.75" customHeight="1">
      <c r="A117" s="8" t="s">
        <v>967</v>
      </c>
      <c r="B117" s="8" t="s">
        <v>1536</v>
      </c>
      <c r="C117" s="8" t="s">
        <v>969</v>
      </c>
      <c r="D117" s="8" t="s">
        <v>969</v>
      </c>
      <c r="E117" s="8" t="s">
        <v>969</v>
      </c>
      <c r="F117" s="8" t="s">
        <v>1536</v>
      </c>
      <c r="G117" s="8" t="s">
        <v>969</v>
      </c>
      <c r="H117" s="8" t="s">
        <v>969</v>
      </c>
      <c r="I117" s="8" t="s">
        <v>1537</v>
      </c>
      <c r="J117" s="8" t="s">
        <v>1538</v>
      </c>
      <c r="K117" s="8" t="s">
        <v>969</v>
      </c>
      <c r="L117" s="8" t="s">
        <v>969</v>
      </c>
      <c r="M117" s="8" t="s">
        <v>972</v>
      </c>
      <c r="N117" s="8" t="s">
        <v>973</v>
      </c>
      <c r="O117" s="8" t="s">
        <v>969</v>
      </c>
      <c r="P117" s="8" t="s">
        <v>969</v>
      </c>
      <c r="Q117" s="8" t="s">
        <v>969</v>
      </c>
      <c r="R117" s="8" t="s">
        <v>969</v>
      </c>
      <c r="S117" s="8" t="s">
        <v>969</v>
      </c>
      <c r="T117" s="8" t="s">
        <v>1539</v>
      </c>
      <c r="U117" s="8" t="s">
        <v>1540</v>
      </c>
      <c r="V117" s="8" t="s">
        <v>1541</v>
      </c>
      <c r="W117" s="8" t="s">
        <v>1542</v>
      </c>
      <c r="X117" s="8" t="s">
        <v>1543</v>
      </c>
      <c r="Y117" s="8" t="s">
        <v>1544</v>
      </c>
      <c r="Z117" s="8" t="s">
        <v>1545</v>
      </c>
      <c r="AA117" s="8" t="s">
        <v>3226</v>
      </c>
      <c r="AB117" s="8" t="s">
        <v>3227</v>
      </c>
      <c r="AC117" s="8" t="s">
        <v>969</v>
      </c>
      <c r="AD117" s="8" t="s">
        <v>969</v>
      </c>
      <c r="AE117" s="8" t="s">
        <v>969</v>
      </c>
      <c r="AF117" s="8" t="s">
        <v>969</v>
      </c>
      <c r="AG117" s="8">
        <v>34.0</v>
      </c>
      <c r="AH117" s="8">
        <v>634.0</v>
      </c>
      <c r="AI117" s="8">
        <v>753.0</v>
      </c>
      <c r="AJ117" s="8">
        <v>5.0</v>
      </c>
      <c r="AK117" s="8">
        <v>609.0</v>
      </c>
      <c r="AL117" s="8" t="s">
        <v>1091</v>
      </c>
      <c r="AM117" s="8" t="s">
        <v>1092</v>
      </c>
      <c r="AN117" s="8" t="s">
        <v>1093</v>
      </c>
      <c r="AO117" s="8" t="s">
        <v>1548</v>
      </c>
      <c r="AP117" s="8" t="s">
        <v>1549</v>
      </c>
      <c r="AQ117" s="8" t="s">
        <v>969</v>
      </c>
      <c r="AR117" s="8" t="s">
        <v>1550</v>
      </c>
      <c r="AS117" s="8" t="s">
        <v>1551</v>
      </c>
      <c r="AT117" s="8" t="s">
        <v>1552</v>
      </c>
      <c r="AU117" s="8">
        <v>2006.0</v>
      </c>
      <c r="AV117" s="8">
        <v>20.0</v>
      </c>
      <c r="AW117" s="8">
        <v>2.0</v>
      </c>
      <c r="AX117" s="8" t="s">
        <v>969</v>
      </c>
      <c r="AY117" s="8" t="s">
        <v>969</v>
      </c>
      <c r="AZ117" s="8" t="s">
        <v>969</v>
      </c>
      <c r="BA117" s="8" t="s">
        <v>969</v>
      </c>
      <c r="BB117" s="8">
        <v>538.0</v>
      </c>
      <c r="BC117" s="8">
        <v>548.0</v>
      </c>
      <c r="BD117" s="8" t="s">
        <v>969</v>
      </c>
      <c r="BE117" s="8" t="s">
        <v>770</v>
      </c>
      <c r="BF117" s="13" t="str">
        <f>HYPERLINK("http://dx.doi.org/10.1111/j.1523-1739.2006.00364.x","http://dx.doi.org/10.1111/j.1523-1739.2006.00364.x")</f>
        <v>http://dx.doi.org/10.1111/j.1523-1739.2006.00364.x</v>
      </c>
      <c r="BG117" s="8" t="s">
        <v>969</v>
      </c>
      <c r="BH117" s="8" t="s">
        <v>969</v>
      </c>
      <c r="BI117" s="8">
        <v>11.0</v>
      </c>
      <c r="BJ117" s="8" t="s">
        <v>987</v>
      </c>
      <c r="BK117" s="8" t="s">
        <v>988</v>
      </c>
      <c r="BL117" s="8" t="s">
        <v>989</v>
      </c>
      <c r="BM117" s="8" t="s">
        <v>1553</v>
      </c>
      <c r="BN117" s="8">
        <v>1.6903114E7</v>
      </c>
      <c r="BO117" s="8" t="s">
        <v>969</v>
      </c>
      <c r="BP117" s="8" t="s">
        <v>969</v>
      </c>
      <c r="BQ117" s="8" t="s">
        <v>969</v>
      </c>
      <c r="BR117" s="8" t="s">
        <v>2912</v>
      </c>
      <c r="BS117" s="8" t="s">
        <v>1554</v>
      </c>
      <c r="BT117" s="3" t="s">
        <v>3188</v>
      </c>
      <c r="BW117" s="8" t="s">
        <v>257</v>
      </c>
      <c r="BX117" s="3">
        <v>1.0</v>
      </c>
      <c r="BY117" s="8" t="str">
        <f>HYPERLINK("https%3A%2F%2Fwww.webofscience.com%2Fwos%2Fwoscc%2Ffull-record%2FWOS:000236064200031","View Full Record in Web of Science")</f>
        <v>View Full Record in Web of Science</v>
      </c>
    </row>
    <row r="118" ht="12.75" customHeight="1">
      <c r="A118" s="8" t="s">
        <v>967</v>
      </c>
      <c r="B118" s="8" t="s">
        <v>1229</v>
      </c>
      <c r="C118" s="8" t="s">
        <v>969</v>
      </c>
      <c r="D118" s="8" t="s">
        <v>969</v>
      </c>
      <c r="E118" s="8" t="s">
        <v>969</v>
      </c>
      <c r="F118" s="8" t="s">
        <v>1229</v>
      </c>
      <c r="G118" s="8" t="s">
        <v>969</v>
      </c>
      <c r="H118" s="8" t="s">
        <v>969</v>
      </c>
      <c r="I118" s="8" t="s">
        <v>1230</v>
      </c>
      <c r="J118" s="8" t="s">
        <v>1062</v>
      </c>
      <c r="K118" s="8" t="s">
        <v>969</v>
      </c>
      <c r="L118" s="8" t="s">
        <v>969</v>
      </c>
      <c r="M118" s="8" t="s">
        <v>972</v>
      </c>
      <c r="N118" s="8" t="s">
        <v>973</v>
      </c>
      <c r="O118" s="8" t="s">
        <v>969</v>
      </c>
      <c r="P118" s="8" t="s">
        <v>969</v>
      </c>
      <c r="Q118" s="8" t="s">
        <v>969</v>
      </c>
      <c r="R118" s="8" t="s">
        <v>969</v>
      </c>
      <c r="S118" s="8" t="s">
        <v>969</v>
      </c>
      <c r="T118" s="8" t="s">
        <v>969</v>
      </c>
      <c r="U118" s="8" t="s">
        <v>1231</v>
      </c>
      <c r="V118" s="8" t="s">
        <v>1232</v>
      </c>
      <c r="W118" s="8" t="s">
        <v>1233</v>
      </c>
      <c r="X118" s="8" t="s">
        <v>1234</v>
      </c>
      <c r="Y118" s="8" t="s">
        <v>1235</v>
      </c>
      <c r="Z118" s="8" t="s">
        <v>1236</v>
      </c>
      <c r="AA118" s="8" t="s">
        <v>3228</v>
      </c>
      <c r="AB118" s="8" t="s">
        <v>3229</v>
      </c>
      <c r="AC118" s="8" t="s">
        <v>1239</v>
      </c>
      <c r="AD118" s="8" t="s">
        <v>1240</v>
      </c>
      <c r="AE118" s="8" t="s">
        <v>969</v>
      </c>
      <c r="AF118" s="8" t="s">
        <v>969</v>
      </c>
      <c r="AG118" s="8">
        <v>30.0</v>
      </c>
      <c r="AH118" s="8">
        <v>5471.0</v>
      </c>
      <c r="AI118" s="8">
        <v>6609.0</v>
      </c>
      <c r="AJ118" s="8">
        <v>52.0</v>
      </c>
      <c r="AK118" s="8">
        <v>6060.0</v>
      </c>
      <c r="AL118" s="8" t="s">
        <v>1241</v>
      </c>
      <c r="AM118" s="8" t="s">
        <v>1242</v>
      </c>
      <c r="AN118" s="8" t="s">
        <v>1243</v>
      </c>
      <c r="AO118" s="8" t="s">
        <v>1073</v>
      </c>
      <c r="AP118" s="8" t="s">
        <v>1244</v>
      </c>
      <c r="AQ118" s="8" t="s">
        <v>969</v>
      </c>
      <c r="AR118" s="8" t="s">
        <v>1062</v>
      </c>
      <c r="AS118" s="8" t="s">
        <v>1074</v>
      </c>
      <c r="AT118" s="8" t="s">
        <v>1245</v>
      </c>
      <c r="AU118" s="8">
        <v>2004.0</v>
      </c>
      <c r="AV118" s="8">
        <v>427.0</v>
      </c>
      <c r="AW118" s="8">
        <v>6970.0</v>
      </c>
      <c r="AX118" s="8" t="s">
        <v>969</v>
      </c>
      <c r="AY118" s="8" t="s">
        <v>969</v>
      </c>
      <c r="AZ118" s="8" t="s">
        <v>969</v>
      </c>
      <c r="BA118" s="8" t="s">
        <v>969</v>
      </c>
      <c r="BB118" s="8">
        <v>145.0</v>
      </c>
      <c r="BC118" s="8">
        <v>148.0</v>
      </c>
      <c r="BD118" s="8" t="s">
        <v>969</v>
      </c>
      <c r="BE118" s="8" t="s">
        <v>593</v>
      </c>
      <c r="BF118" s="13" t="str">
        <f>HYPERLINK("http://dx.doi.org/10.1038/nature02121","http://dx.doi.org/10.1038/nature02121")</f>
        <v>http://dx.doi.org/10.1038/nature02121</v>
      </c>
      <c r="BG118" s="8" t="s">
        <v>969</v>
      </c>
      <c r="BH118" s="8" t="s">
        <v>969</v>
      </c>
      <c r="BI118" s="8">
        <v>4.0</v>
      </c>
      <c r="BJ118" s="8" t="s">
        <v>1076</v>
      </c>
      <c r="BK118" s="8" t="s">
        <v>988</v>
      </c>
      <c r="BL118" s="8" t="s">
        <v>1077</v>
      </c>
      <c r="BM118" s="8" t="s">
        <v>1246</v>
      </c>
      <c r="BN118" s="8">
        <v>1.4712274E7</v>
      </c>
      <c r="BO118" s="8" t="s">
        <v>1247</v>
      </c>
      <c r="BP118" s="8" t="s">
        <v>969</v>
      </c>
      <c r="BQ118" s="8" t="s">
        <v>969</v>
      </c>
      <c r="BR118" s="8" t="s">
        <v>2912</v>
      </c>
      <c r="BS118" s="8" t="s">
        <v>1248</v>
      </c>
      <c r="BT118" s="3" t="s">
        <v>3188</v>
      </c>
      <c r="BW118" s="8" t="s">
        <v>118</v>
      </c>
      <c r="BX118" s="3">
        <v>1.0</v>
      </c>
      <c r="BY118" s="8" t="str">
        <f>HYPERLINK("https%3A%2F%2Fwww.webofscience.com%2Fwos%2Fwoscc%2Ffull-record%2FWOS:000187863900033","View Full Record in Web of Science")</f>
        <v>View Full Record in Web of Science</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BY$118">
    <sortState ref="A1:BY118">
      <sortCondition ref="BX1:BX118"/>
      <sortCondition ref="BT1:BT118"/>
    </sortState>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3" width="8.0"/>
  </cols>
  <sheetData>
    <row r="1" ht="12.75" customHeight="1">
      <c r="A1" s="8" t="s">
        <v>891</v>
      </c>
      <c r="B1" s="8" t="s">
        <v>23</v>
      </c>
      <c r="C1" s="8" t="s">
        <v>892</v>
      </c>
      <c r="D1" s="8" t="s">
        <v>893</v>
      </c>
      <c r="E1" s="8" t="s">
        <v>894</v>
      </c>
      <c r="F1" s="8" t="s">
        <v>895</v>
      </c>
      <c r="G1" s="8" t="s">
        <v>896</v>
      </c>
      <c r="H1" s="8" t="s">
        <v>897</v>
      </c>
      <c r="I1" s="8" t="s">
        <v>898</v>
      </c>
      <c r="J1" s="8" t="s">
        <v>899</v>
      </c>
      <c r="K1" s="8" t="s">
        <v>900</v>
      </c>
      <c r="L1" s="8" t="s">
        <v>901</v>
      </c>
      <c r="M1" s="8" t="s">
        <v>902</v>
      </c>
      <c r="N1" s="8" t="s">
        <v>903</v>
      </c>
      <c r="O1" s="8" t="s">
        <v>904</v>
      </c>
      <c r="P1" s="8" t="s">
        <v>905</v>
      </c>
      <c r="Q1" s="8" t="s">
        <v>906</v>
      </c>
      <c r="R1" s="8" t="s">
        <v>907</v>
      </c>
      <c r="S1" s="8" t="s">
        <v>908</v>
      </c>
      <c r="T1" s="8" t="s">
        <v>909</v>
      </c>
      <c r="U1" s="8" t="s">
        <v>910</v>
      </c>
      <c r="V1" s="8" t="s">
        <v>911</v>
      </c>
      <c r="W1" s="8" t="s">
        <v>912</v>
      </c>
      <c r="X1" s="8" t="s">
        <v>913</v>
      </c>
      <c r="Y1" s="8" t="s">
        <v>914</v>
      </c>
      <c r="Z1" s="8" t="s">
        <v>915</v>
      </c>
      <c r="AA1" s="8" t="s">
        <v>916</v>
      </c>
      <c r="AB1" s="8" t="s">
        <v>917</v>
      </c>
      <c r="AC1" s="8" t="s">
        <v>918</v>
      </c>
      <c r="AD1" s="8" t="s">
        <v>919</v>
      </c>
      <c r="AE1" s="8" t="s">
        <v>920</v>
      </c>
      <c r="AF1" s="8" t="s">
        <v>921</v>
      </c>
      <c r="AG1" s="8" t="s">
        <v>922</v>
      </c>
      <c r="AH1" s="8" t="s">
        <v>923</v>
      </c>
      <c r="AI1" s="8" t="s">
        <v>924</v>
      </c>
      <c r="AJ1" s="8" t="s">
        <v>925</v>
      </c>
      <c r="AK1" s="8" t="s">
        <v>926</v>
      </c>
      <c r="AL1" s="8" t="s">
        <v>927</v>
      </c>
      <c r="AM1" s="8" t="s">
        <v>928</v>
      </c>
      <c r="AN1" s="8" t="s">
        <v>929</v>
      </c>
      <c r="AO1" s="8" t="s">
        <v>930</v>
      </c>
      <c r="AP1" s="8" t="s">
        <v>931</v>
      </c>
      <c r="AQ1" s="8" t="s">
        <v>932</v>
      </c>
      <c r="AR1" s="8" t="s">
        <v>933</v>
      </c>
      <c r="AS1" s="8" t="s">
        <v>934</v>
      </c>
      <c r="AT1" s="8" t="s">
        <v>935</v>
      </c>
      <c r="AU1" s="8" t="s">
        <v>936</v>
      </c>
      <c r="AV1" s="8" t="s">
        <v>937</v>
      </c>
      <c r="AW1" s="8" t="s">
        <v>938</v>
      </c>
      <c r="AX1" s="8" t="s">
        <v>939</v>
      </c>
      <c r="AY1" s="8" t="s">
        <v>940</v>
      </c>
      <c r="AZ1" s="8" t="s">
        <v>941</v>
      </c>
      <c r="BA1" s="8" t="s">
        <v>942</v>
      </c>
      <c r="BB1" s="8" t="s">
        <v>943</v>
      </c>
      <c r="BC1" s="8" t="s">
        <v>944</v>
      </c>
      <c r="BD1" s="8" t="s">
        <v>945</v>
      </c>
      <c r="BE1" s="8" t="s">
        <v>503</v>
      </c>
      <c r="BF1" s="8" t="s">
        <v>946</v>
      </c>
      <c r="BG1" s="8" t="s">
        <v>947</v>
      </c>
      <c r="BH1" s="8" t="s">
        <v>948</v>
      </c>
      <c r="BI1" s="8" t="s">
        <v>949</v>
      </c>
      <c r="BJ1" s="8" t="s">
        <v>950</v>
      </c>
      <c r="BK1" s="8" t="s">
        <v>951</v>
      </c>
      <c r="BL1" s="8" t="s">
        <v>952</v>
      </c>
      <c r="BM1" s="8" t="s">
        <v>953</v>
      </c>
      <c r="BN1" s="8" t="s">
        <v>954</v>
      </c>
      <c r="BO1" s="8" t="s">
        <v>955</v>
      </c>
      <c r="BP1" s="8" t="s">
        <v>956</v>
      </c>
      <c r="BQ1" s="8" t="s">
        <v>957</v>
      </c>
      <c r="BR1" s="8" t="s">
        <v>958</v>
      </c>
      <c r="BS1" s="8" t="s">
        <v>959</v>
      </c>
      <c r="BT1" s="3" t="s">
        <v>2891</v>
      </c>
      <c r="BU1" s="8" t="s">
        <v>966</v>
      </c>
    </row>
    <row r="2" ht="12.75" customHeight="1">
      <c r="A2" s="8" t="s">
        <v>967</v>
      </c>
      <c r="B2" s="8" t="s">
        <v>1490</v>
      </c>
      <c r="C2" s="8" t="s">
        <v>969</v>
      </c>
      <c r="D2" s="8" t="s">
        <v>969</v>
      </c>
      <c r="E2" s="8" t="s">
        <v>969</v>
      </c>
      <c r="F2" s="8" t="s">
        <v>1490</v>
      </c>
      <c r="G2" s="8" t="s">
        <v>969</v>
      </c>
      <c r="H2" s="8" t="s">
        <v>969</v>
      </c>
      <c r="I2" s="8" t="s">
        <v>1491</v>
      </c>
      <c r="J2" s="8" t="s">
        <v>1427</v>
      </c>
      <c r="K2" s="8" t="s">
        <v>969</v>
      </c>
      <c r="L2" s="8" t="s">
        <v>969</v>
      </c>
      <c r="M2" s="8" t="s">
        <v>972</v>
      </c>
      <c r="N2" s="8" t="s">
        <v>973</v>
      </c>
      <c r="O2" s="8" t="s">
        <v>969</v>
      </c>
      <c r="P2" s="8" t="s">
        <v>969</v>
      </c>
      <c r="Q2" s="8" t="s">
        <v>969</v>
      </c>
      <c r="R2" s="8" t="s">
        <v>969</v>
      </c>
      <c r="S2" s="8" t="s">
        <v>969</v>
      </c>
      <c r="T2" s="8" t="s">
        <v>1492</v>
      </c>
      <c r="U2" s="8" t="s">
        <v>1493</v>
      </c>
      <c r="V2" s="8" t="s">
        <v>1494</v>
      </c>
      <c r="W2" s="8" t="s">
        <v>1495</v>
      </c>
      <c r="X2" s="8" t="s">
        <v>1496</v>
      </c>
      <c r="Y2" s="8" t="s">
        <v>1497</v>
      </c>
      <c r="Z2" s="8" t="s">
        <v>1384</v>
      </c>
      <c r="AA2" s="8" t="s">
        <v>3230</v>
      </c>
      <c r="AB2" s="8" t="s">
        <v>1386</v>
      </c>
      <c r="AC2" s="8" t="s">
        <v>969</v>
      </c>
      <c r="AD2" s="8" t="s">
        <v>969</v>
      </c>
      <c r="AE2" s="8" t="s">
        <v>969</v>
      </c>
      <c r="AF2" s="8" t="s">
        <v>969</v>
      </c>
      <c r="AG2" s="8">
        <v>89.0</v>
      </c>
      <c r="AH2" s="8">
        <v>221.0</v>
      </c>
      <c r="AI2" s="8">
        <v>252.0</v>
      </c>
      <c r="AJ2" s="8">
        <v>3.0</v>
      </c>
      <c r="AK2" s="8">
        <v>120.0</v>
      </c>
      <c r="AL2" s="8" t="s">
        <v>1091</v>
      </c>
      <c r="AM2" s="8" t="s">
        <v>1092</v>
      </c>
      <c r="AN2" s="8" t="s">
        <v>1093</v>
      </c>
      <c r="AO2" s="8" t="s">
        <v>1437</v>
      </c>
      <c r="AP2" s="8" t="s">
        <v>1499</v>
      </c>
      <c r="AQ2" s="8" t="s">
        <v>969</v>
      </c>
      <c r="AR2" s="8" t="s">
        <v>1438</v>
      </c>
      <c r="AS2" s="8" t="s">
        <v>1439</v>
      </c>
      <c r="AT2" s="8" t="s">
        <v>1016</v>
      </c>
      <c r="AU2" s="8">
        <v>2006.0</v>
      </c>
      <c r="AV2" s="8">
        <v>12.0</v>
      </c>
      <c r="AW2" s="8">
        <v>1.0</v>
      </c>
      <c r="AX2" s="8" t="s">
        <v>969</v>
      </c>
      <c r="AY2" s="8" t="s">
        <v>969</v>
      </c>
      <c r="AZ2" s="8" t="s">
        <v>969</v>
      </c>
      <c r="BA2" s="8" t="s">
        <v>969</v>
      </c>
      <c r="BB2" s="8">
        <v>49.0</v>
      </c>
      <c r="BC2" s="8">
        <v>60.0</v>
      </c>
      <c r="BD2" s="8" t="s">
        <v>969</v>
      </c>
      <c r="BE2" s="8" t="s">
        <v>740</v>
      </c>
      <c r="BF2" s="13" t="str">
        <f>HYPERLINK("http://dx.doi.org/10.1111/j.1366-9516.2006.00216.x","http://dx.doi.org/10.1111/j.1366-9516.2006.00216.x")</f>
        <v>http://dx.doi.org/10.1111/j.1366-9516.2006.00216.x</v>
      </c>
      <c r="BG2" s="8" t="s">
        <v>969</v>
      </c>
      <c r="BH2" s="8" t="s">
        <v>969</v>
      </c>
      <c r="BI2" s="8">
        <v>12.0</v>
      </c>
      <c r="BJ2" s="8" t="s">
        <v>1286</v>
      </c>
      <c r="BK2" s="8" t="s">
        <v>988</v>
      </c>
      <c r="BL2" s="8" t="s">
        <v>989</v>
      </c>
      <c r="BM2" s="8" t="s">
        <v>1500</v>
      </c>
      <c r="BN2" s="8" t="s">
        <v>969</v>
      </c>
      <c r="BO2" s="8" t="s">
        <v>1227</v>
      </c>
      <c r="BP2" s="8" t="s">
        <v>969</v>
      </c>
      <c r="BQ2" s="8" t="s">
        <v>969</v>
      </c>
      <c r="BR2" s="8" t="s">
        <v>3231</v>
      </c>
      <c r="BS2" s="8" t="s">
        <v>1501</v>
      </c>
      <c r="BT2" s="3" t="s">
        <v>3232</v>
      </c>
      <c r="BU2" s="8" t="str">
        <f>HYPERLINK("https%3A%2F%2Fwww.webofscience.com%2Fwos%2Fwoscc%2Ffull-record%2FWOS:000234026600006","View Full Record in Web of Science")</f>
        <v>View Full Record in Web of Science</v>
      </c>
    </row>
    <row r="3" ht="12.75" customHeight="1">
      <c r="A3" s="8" t="s">
        <v>967</v>
      </c>
      <c r="B3" s="8" t="s">
        <v>2921</v>
      </c>
      <c r="C3" s="8" t="s">
        <v>969</v>
      </c>
      <c r="D3" s="8" t="s">
        <v>969</v>
      </c>
      <c r="E3" s="8" t="s">
        <v>969</v>
      </c>
      <c r="F3" s="8" t="s">
        <v>2922</v>
      </c>
      <c r="G3" s="8" t="s">
        <v>969</v>
      </c>
      <c r="H3" s="8" t="s">
        <v>969</v>
      </c>
      <c r="I3" s="8" t="s">
        <v>2923</v>
      </c>
      <c r="J3" s="8" t="s">
        <v>971</v>
      </c>
      <c r="K3" s="8" t="s">
        <v>969</v>
      </c>
      <c r="L3" s="8" t="s">
        <v>969</v>
      </c>
      <c r="M3" s="8" t="s">
        <v>972</v>
      </c>
      <c r="N3" s="8" t="s">
        <v>2924</v>
      </c>
      <c r="O3" s="8" t="s">
        <v>969</v>
      </c>
      <c r="P3" s="8" t="s">
        <v>969</v>
      </c>
      <c r="Q3" s="8" t="s">
        <v>969</v>
      </c>
      <c r="R3" s="8" t="s">
        <v>969</v>
      </c>
      <c r="S3" s="8" t="s">
        <v>969</v>
      </c>
      <c r="T3" s="8" t="s">
        <v>2925</v>
      </c>
      <c r="U3" s="8" t="s">
        <v>2926</v>
      </c>
      <c r="V3" s="8" t="s">
        <v>2927</v>
      </c>
      <c r="W3" s="8" t="s">
        <v>2928</v>
      </c>
      <c r="X3" s="8" t="s">
        <v>3233</v>
      </c>
      <c r="Y3" s="8" t="s">
        <v>2930</v>
      </c>
      <c r="Z3" s="8" t="s">
        <v>2931</v>
      </c>
      <c r="AA3" s="8" t="s">
        <v>3234</v>
      </c>
      <c r="AB3" s="8" t="s">
        <v>3235</v>
      </c>
      <c r="AC3" s="8" t="s">
        <v>2934</v>
      </c>
      <c r="AD3" s="8" t="s">
        <v>2935</v>
      </c>
      <c r="AE3" s="8" t="s">
        <v>2936</v>
      </c>
      <c r="AF3" s="8" t="s">
        <v>969</v>
      </c>
      <c r="AG3" s="8">
        <v>108.0</v>
      </c>
      <c r="AH3" s="8">
        <v>212.0</v>
      </c>
      <c r="AI3" s="8">
        <v>238.0</v>
      </c>
      <c r="AJ3" s="8">
        <v>2.0</v>
      </c>
      <c r="AK3" s="8">
        <v>113.0</v>
      </c>
      <c r="AL3" s="8" t="s">
        <v>1091</v>
      </c>
      <c r="AM3" s="8" t="s">
        <v>1092</v>
      </c>
      <c r="AN3" s="8" t="s">
        <v>1093</v>
      </c>
      <c r="AO3" s="8" t="s">
        <v>983</v>
      </c>
      <c r="AP3" s="8" t="s">
        <v>1094</v>
      </c>
      <c r="AQ3" s="8" t="s">
        <v>969</v>
      </c>
      <c r="AR3" s="8" t="s">
        <v>1095</v>
      </c>
      <c r="AS3" s="8" t="s">
        <v>985</v>
      </c>
      <c r="AT3" s="8" t="s">
        <v>986</v>
      </c>
      <c r="AU3" s="8">
        <v>2010.0</v>
      </c>
      <c r="AV3" s="8">
        <v>16.0</v>
      </c>
      <c r="AW3" s="8">
        <v>12.0</v>
      </c>
      <c r="AX3" s="8" t="s">
        <v>969</v>
      </c>
      <c r="AY3" s="8" t="s">
        <v>969</v>
      </c>
      <c r="AZ3" s="8" t="s">
        <v>969</v>
      </c>
      <c r="BA3" s="8" t="s">
        <v>969</v>
      </c>
      <c r="BB3" s="8">
        <v>3233.0</v>
      </c>
      <c r="BC3" s="8">
        <v>3245.0</v>
      </c>
      <c r="BD3" s="8" t="s">
        <v>969</v>
      </c>
      <c r="BE3" s="8" t="s">
        <v>719</v>
      </c>
      <c r="BF3" s="13" t="str">
        <f>HYPERLINK("http://dx.doi.org/10.1111/j.1365-2486.2010.02224.x","http://dx.doi.org/10.1111/j.1365-2486.2010.02224.x")</f>
        <v>http://dx.doi.org/10.1111/j.1365-2486.2010.02224.x</v>
      </c>
      <c r="BG3" s="8" t="s">
        <v>969</v>
      </c>
      <c r="BH3" s="8" t="s">
        <v>969</v>
      </c>
      <c r="BI3" s="8">
        <v>13.0</v>
      </c>
      <c r="BJ3" s="8" t="s">
        <v>987</v>
      </c>
      <c r="BK3" s="8" t="s">
        <v>988</v>
      </c>
      <c r="BL3" s="8" t="s">
        <v>989</v>
      </c>
      <c r="BM3" s="8" t="s">
        <v>2937</v>
      </c>
      <c r="BN3" s="8" t="s">
        <v>969</v>
      </c>
      <c r="BO3" s="8" t="s">
        <v>969</v>
      </c>
      <c r="BP3" s="8" t="s">
        <v>969</v>
      </c>
      <c r="BQ3" s="8" t="s">
        <v>969</v>
      </c>
      <c r="BR3" s="8" t="s">
        <v>3231</v>
      </c>
      <c r="BS3" s="8" t="s">
        <v>2938</v>
      </c>
      <c r="BT3" s="3" t="s">
        <v>3232</v>
      </c>
      <c r="BU3" s="8" t="str">
        <f>HYPERLINK("https%3A%2F%2Fwww.webofscience.com%2Fwos%2Fwoscc%2Ffull-record%2FWOS:000283726600007","View Full Record in Web of Science")</f>
        <v>View Full Record in Web of Science</v>
      </c>
    </row>
    <row r="4" ht="12.75" customHeight="1">
      <c r="A4" s="8" t="s">
        <v>967</v>
      </c>
      <c r="B4" s="8" t="s">
        <v>1343</v>
      </c>
      <c r="C4" s="8" t="s">
        <v>969</v>
      </c>
      <c r="D4" s="8" t="s">
        <v>969</v>
      </c>
      <c r="E4" s="8" t="s">
        <v>969</v>
      </c>
      <c r="F4" s="8" t="s">
        <v>1343</v>
      </c>
      <c r="G4" s="8" t="s">
        <v>969</v>
      </c>
      <c r="H4" s="8" t="s">
        <v>969</v>
      </c>
      <c r="I4" s="8" t="s">
        <v>1344</v>
      </c>
      <c r="J4" s="8" t="s">
        <v>1144</v>
      </c>
      <c r="K4" s="8" t="s">
        <v>969</v>
      </c>
      <c r="L4" s="8" t="s">
        <v>969</v>
      </c>
      <c r="M4" s="8" t="s">
        <v>972</v>
      </c>
      <c r="N4" s="8" t="s">
        <v>973</v>
      </c>
      <c r="O4" s="8" t="s">
        <v>969</v>
      </c>
      <c r="P4" s="8" t="s">
        <v>969</v>
      </c>
      <c r="Q4" s="8" t="s">
        <v>969</v>
      </c>
      <c r="R4" s="8" t="s">
        <v>969</v>
      </c>
      <c r="S4" s="8" t="s">
        <v>969</v>
      </c>
      <c r="T4" s="8" t="s">
        <v>1345</v>
      </c>
      <c r="U4" s="8" t="s">
        <v>1346</v>
      </c>
      <c r="V4" s="8" t="s">
        <v>1347</v>
      </c>
      <c r="W4" s="8" t="s">
        <v>1348</v>
      </c>
      <c r="X4" s="8" t="s">
        <v>1349</v>
      </c>
      <c r="Y4" s="8" t="s">
        <v>1350</v>
      </c>
      <c r="Z4" s="8" t="s">
        <v>1351</v>
      </c>
      <c r="AA4" s="8" t="s">
        <v>1352</v>
      </c>
      <c r="AB4" s="8" t="s">
        <v>1353</v>
      </c>
      <c r="AC4" s="8" t="s">
        <v>969</v>
      </c>
      <c r="AD4" s="8" t="s">
        <v>969</v>
      </c>
      <c r="AE4" s="8" t="s">
        <v>969</v>
      </c>
      <c r="AF4" s="8" t="s">
        <v>969</v>
      </c>
      <c r="AG4" s="8">
        <v>56.0</v>
      </c>
      <c r="AH4" s="8">
        <v>92.0</v>
      </c>
      <c r="AI4" s="8">
        <v>110.0</v>
      </c>
      <c r="AJ4" s="8">
        <v>0.0</v>
      </c>
      <c r="AK4" s="8">
        <v>108.0</v>
      </c>
      <c r="AL4" s="8" t="s">
        <v>1091</v>
      </c>
      <c r="AM4" s="8" t="s">
        <v>1092</v>
      </c>
      <c r="AN4" s="8" t="s">
        <v>1093</v>
      </c>
      <c r="AO4" s="8" t="s">
        <v>1159</v>
      </c>
      <c r="AP4" s="8" t="s">
        <v>1160</v>
      </c>
      <c r="AQ4" s="8" t="s">
        <v>969</v>
      </c>
      <c r="AR4" s="8" t="s">
        <v>1161</v>
      </c>
      <c r="AS4" s="8" t="s">
        <v>1162</v>
      </c>
      <c r="AT4" s="8" t="s">
        <v>1163</v>
      </c>
      <c r="AU4" s="8">
        <v>2004.0</v>
      </c>
      <c r="AV4" s="8">
        <v>13.0</v>
      </c>
      <c r="AW4" s="8">
        <v>6.0</v>
      </c>
      <c r="AX4" s="8" t="s">
        <v>969</v>
      </c>
      <c r="AY4" s="8" t="s">
        <v>969</v>
      </c>
      <c r="AZ4" s="8" t="s">
        <v>969</v>
      </c>
      <c r="BA4" s="8" t="s">
        <v>969</v>
      </c>
      <c r="BB4" s="8">
        <v>553.0</v>
      </c>
      <c r="BC4" s="8">
        <v>565.0</v>
      </c>
      <c r="BD4" s="8" t="s">
        <v>969</v>
      </c>
      <c r="BE4" s="8" t="s">
        <v>755</v>
      </c>
      <c r="BF4" s="13" t="str">
        <f>HYPERLINK("http://dx.doi.org/10.1111/j.1466-822X.2004.00105.x","http://dx.doi.org/10.1111/j.1466-822X.2004.00105.x")</f>
        <v>http://dx.doi.org/10.1111/j.1466-822X.2004.00105.x</v>
      </c>
      <c r="BG4" s="8" t="s">
        <v>969</v>
      </c>
      <c r="BH4" s="8" t="s">
        <v>969</v>
      </c>
      <c r="BI4" s="8">
        <v>13.0</v>
      </c>
      <c r="BJ4" s="8" t="s">
        <v>1017</v>
      </c>
      <c r="BK4" s="8" t="s">
        <v>988</v>
      </c>
      <c r="BL4" s="8" t="s">
        <v>1018</v>
      </c>
      <c r="BM4" s="8" t="s">
        <v>1354</v>
      </c>
      <c r="BN4" s="8" t="s">
        <v>969</v>
      </c>
      <c r="BO4" s="8" t="s">
        <v>969</v>
      </c>
      <c r="BP4" s="8" t="s">
        <v>969</v>
      </c>
      <c r="BQ4" s="8" t="s">
        <v>969</v>
      </c>
      <c r="BR4" s="8" t="s">
        <v>3231</v>
      </c>
      <c r="BS4" s="8" t="s">
        <v>1355</v>
      </c>
      <c r="BT4" s="3" t="s">
        <v>3232</v>
      </c>
      <c r="BU4" s="8" t="str">
        <f>HYPERLINK("https%3A%2F%2Fwww.webofscience.com%2Fwos%2Fwoscc%2Ffull-record%2FWOS:000224648000008","View Full Record in Web of Science")</f>
        <v>View Full Record in Web of Science</v>
      </c>
    </row>
    <row r="5" ht="12.75" customHeight="1">
      <c r="A5" s="8" t="s">
        <v>967</v>
      </c>
      <c r="B5" s="8" t="s">
        <v>1041</v>
      </c>
      <c r="C5" s="8" t="s">
        <v>969</v>
      </c>
      <c r="D5" s="8" t="s">
        <v>969</v>
      </c>
      <c r="E5" s="8" t="s">
        <v>969</v>
      </c>
      <c r="F5" s="8" t="s">
        <v>1041</v>
      </c>
      <c r="G5" s="8" t="s">
        <v>969</v>
      </c>
      <c r="H5" s="8" t="s">
        <v>969</v>
      </c>
      <c r="I5" s="8" t="s">
        <v>1042</v>
      </c>
      <c r="J5" s="8" t="s">
        <v>1043</v>
      </c>
      <c r="K5" s="8" t="s">
        <v>969</v>
      </c>
      <c r="L5" s="8" t="s">
        <v>969</v>
      </c>
      <c r="M5" s="8" t="s">
        <v>972</v>
      </c>
      <c r="N5" s="8" t="s">
        <v>973</v>
      </c>
      <c r="O5" s="8" t="s">
        <v>969</v>
      </c>
      <c r="P5" s="8" t="s">
        <v>969</v>
      </c>
      <c r="Q5" s="8" t="s">
        <v>969</v>
      </c>
      <c r="R5" s="8" t="s">
        <v>969</v>
      </c>
      <c r="S5" s="8" t="s">
        <v>969</v>
      </c>
      <c r="T5" s="8" t="s">
        <v>1044</v>
      </c>
      <c r="U5" s="8" t="s">
        <v>1045</v>
      </c>
      <c r="V5" s="8" t="s">
        <v>1046</v>
      </c>
      <c r="W5" s="8" t="s">
        <v>1047</v>
      </c>
      <c r="X5" s="8" t="s">
        <v>1048</v>
      </c>
      <c r="Y5" s="8" t="s">
        <v>1049</v>
      </c>
      <c r="Z5" s="8" t="s">
        <v>969</v>
      </c>
      <c r="AA5" s="8" t="s">
        <v>1050</v>
      </c>
      <c r="AB5" s="8" t="s">
        <v>1051</v>
      </c>
      <c r="AC5" s="8" t="s">
        <v>969</v>
      </c>
      <c r="AD5" s="8" t="s">
        <v>969</v>
      </c>
      <c r="AE5" s="8" t="s">
        <v>969</v>
      </c>
      <c r="AF5" s="8" t="s">
        <v>969</v>
      </c>
      <c r="AG5" s="8">
        <v>72.0</v>
      </c>
      <c r="AH5" s="8">
        <v>261.0</v>
      </c>
      <c r="AI5" s="8">
        <v>312.0</v>
      </c>
      <c r="AJ5" s="8">
        <v>1.0</v>
      </c>
      <c r="AK5" s="8">
        <v>159.0</v>
      </c>
      <c r="AL5" s="8" t="s">
        <v>980</v>
      </c>
      <c r="AM5" s="8" t="s">
        <v>981</v>
      </c>
      <c r="AN5" s="8" t="s">
        <v>982</v>
      </c>
      <c r="AO5" s="8" t="s">
        <v>1052</v>
      </c>
      <c r="AP5" s="8" t="s">
        <v>969</v>
      </c>
      <c r="AQ5" s="8" t="s">
        <v>969</v>
      </c>
      <c r="AR5" s="8" t="s">
        <v>1053</v>
      </c>
      <c r="AS5" s="8" t="s">
        <v>1054</v>
      </c>
      <c r="AT5" s="8" t="s">
        <v>1055</v>
      </c>
      <c r="AU5" s="8">
        <v>2001.0</v>
      </c>
      <c r="AV5" s="8">
        <v>70.0</v>
      </c>
      <c r="AW5" s="8">
        <v>2.0</v>
      </c>
      <c r="AX5" s="8" t="s">
        <v>969</v>
      </c>
      <c r="AY5" s="8" t="s">
        <v>969</v>
      </c>
      <c r="AZ5" s="8" t="s">
        <v>969</v>
      </c>
      <c r="BA5" s="8" t="s">
        <v>969</v>
      </c>
      <c r="BB5" s="8">
        <v>201.0</v>
      </c>
      <c r="BC5" s="8">
        <v>217.0</v>
      </c>
      <c r="BD5" s="8" t="s">
        <v>969</v>
      </c>
      <c r="BE5" s="8" t="s">
        <v>617</v>
      </c>
      <c r="BF5" s="13" t="str">
        <f>HYPERLINK("http://dx.doi.org/10.1046/j.1365-2656.2001.00480.x","http://dx.doi.org/10.1046/j.1365-2656.2001.00480.x")</f>
        <v>http://dx.doi.org/10.1046/j.1365-2656.2001.00480.x</v>
      </c>
      <c r="BG5" s="8" t="s">
        <v>969</v>
      </c>
      <c r="BH5" s="8" t="s">
        <v>969</v>
      </c>
      <c r="BI5" s="8">
        <v>17.0</v>
      </c>
      <c r="BJ5" s="8" t="s">
        <v>1056</v>
      </c>
      <c r="BK5" s="8" t="s">
        <v>988</v>
      </c>
      <c r="BL5" s="8" t="s">
        <v>1057</v>
      </c>
      <c r="BM5" s="8" t="s">
        <v>1058</v>
      </c>
      <c r="BN5" s="8" t="s">
        <v>969</v>
      </c>
      <c r="BO5" s="8" t="s">
        <v>969</v>
      </c>
      <c r="BP5" s="8" t="s">
        <v>969</v>
      </c>
      <c r="BQ5" s="8" t="s">
        <v>969</v>
      </c>
      <c r="BR5" s="8" t="s">
        <v>3231</v>
      </c>
      <c r="BS5" s="8" t="s">
        <v>1059</v>
      </c>
      <c r="BT5" s="3" t="s">
        <v>3232</v>
      </c>
      <c r="BU5" s="8" t="str">
        <f>HYPERLINK("https%3A%2F%2Fwww.webofscience.com%2Fwos%2Fwoscc%2Ffull-record%2FWOS:000169014300004","View Full Record in Web of Science")</f>
        <v>View Full Record in Web of Science</v>
      </c>
    </row>
    <row r="6" ht="12.75" customHeight="1">
      <c r="A6" s="8" t="s">
        <v>967</v>
      </c>
      <c r="B6" s="8" t="s">
        <v>2432</v>
      </c>
      <c r="C6" s="8" t="s">
        <v>969</v>
      </c>
      <c r="D6" s="8" t="s">
        <v>969</v>
      </c>
      <c r="E6" s="8" t="s">
        <v>969</v>
      </c>
      <c r="F6" s="8" t="s">
        <v>2433</v>
      </c>
      <c r="G6" s="8" t="s">
        <v>969</v>
      </c>
      <c r="H6" s="8" t="s">
        <v>969</v>
      </c>
      <c r="I6" s="8" t="s">
        <v>2434</v>
      </c>
      <c r="J6" s="8" t="s">
        <v>1427</v>
      </c>
      <c r="K6" s="8" t="s">
        <v>969</v>
      </c>
      <c r="L6" s="8" t="s">
        <v>969</v>
      </c>
      <c r="M6" s="8" t="s">
        <v>972</v>
      </c>
      <c r="N6" s="8" t="s">
        <v>973</v>
      </c>
      <c r="O6" s="8" t="s">
        <v>969</v>
      </c>
      <c r="P6" s="8" t="s">
        <v>969</v>
      </c>
      <c r="Q6" s="8" t="s">
        <v>969</v>
      </c>
      <c r="R6" s="8" t="s">
        <v>969</v>
      </c>
      <c r="S6" s="8" t="s">
        <v>969</v>
      </c>
      <c r="T6" s="8" t="s">
        <v>2435</v>
      </c>
      <c r="U6" s="8" t="s">
        <v>2436</v>
      </c>
      <c r="V6" s="8" t="s">
        <v>2437</v>
      </c>
      <c r="W6" s="8" t="s">
        <v>2438</v>
      </c>
      <c r="X6" s="8" t="s">
        <v>2439</v>
      </c>
      <c r="Y6" s="8" t="s">
        <v>2440</v>
      </c>
      <c r="Z6" s="8" t="s">
        <v>2441</v>
      </c>
      <c r="AA6" s="8" t="s">
        <v>2442</v>
      </c>
      <c r="AB6" s="8" t="s">
        <v>2443</v>
      </c>
      <c r="AC6" s="8" t="s">
        <v>969</v>
      </c>
      <c r="AD6" s="8" t="s">
        <v>969</v>
      </c>
      <c r="AE6" s="8" t="s">
        <v>969</v>
      </c>
      <c r="AF6" s="8" t="s">
        <v>969</v>
      </c>
      <c r="AG6" s="8">
        <v>83.0</v>
      </c>
      <c r="AH6" s="8">
        <v>80.0</v>
      </c>
      <c r="AI6" s="8">
        <v>84.0</v>
      </c>
      <c r="AJ6" s="8">
        <v>0.0</v>
      </c>
      <c r="AK6" s="8">
        <v>152.0</v>
      </c>
      <c r="AL6" s="8" t="s">
        <v>1091</v>
      </c>
      <c r="AM6" s="8" t="s">
        <v>1092</v>
      </c>
      <c r="AN6" s="8" t="s">
        <v>1093</v>
      </c>
      <c r="AO6" s="8" t="s">
        <v>1437</v>
      </c>
      <c r="AP6" s="8" t="s">
        <v>1499</v>
      </c>
      <c r="AQ6" s="8" t="s">
        <v>969</v>
      </c>
      <c r="AR6" s="8" t="s">
        <v>1438</v>
      </c>
      <c r="AS6" s="8" t="s">
        <v>1439</v>
      </c>
      <c r="AT6" s="8" t="s">
        <v>1036</v>
      </c>
      <c r="AU6" s="8">
        <v>2012.0</v>
      </c>
      <c r="AV6" s="8">
        <v>18.0</v>
      </c>
      <c r="AW6" s="8">
        <v>2.0</v>
      </c>
      <c r="AX6" s="8" t="s">
        <v>969</v>
      </c>
      <c r="AY6" s="8" t="s">
        <v>969</v>
      </c>
      <c r="AZ6" s="8" t="s">
        <v>969</v>
      </c>
      <c r="BA6" s="8" t="s">
        <v>969</v>
      </c>
      <c r="BB6" s="8">
        <v>121.0</v>
      </c>
      <c r="BC6" s="8">
        <v>132.0</v>
      </c>
      <c r="BD6" s="8" t="s">
        <v>969</v>
      </c>
      <c r="BE6" s="8" t="s">
        <v>764</v>
      </c>
      <c r="BF6" s="13" t="str">
        <f>HYPERLINK("http://dx.doi.org/10.1111/j.1472-4642.2011.00827.x","http://dx.doi.org/10.1111/j.1472-4642.2011.00827.x")</f>
        <v>http://dx.doi.org/10.1111/j.1472-4642.2011.00827.x</v>
      </c>
      <c r="BG6" s="8" t="s">
        <v>969</v>
      </c>
      <c r="BH6" s="8" t="s">
        <v>969</v>
      </c>
      <c r="BI6" s="8">
        <v>12.0</v>
      </c>
      <c r="BJ6" s="8" t="s">
        <v>1286</v>
      </c>
      <c r="BK6" s="8" t="s">
        <v>988</v>
      </c>
      <c r="BL6" s="8" t="s">
        <v>989</v>
      </c>
      <c r="BM6" s="8" t="s">
        <v>2444</v>
      </c>
      <c r="BN6" s="8" t="s">
        <v>969</v>
      </c>
      <c r="BO6" s="8" t="s">
        <v>969</v>
      </c>
      <c r="BP6" s="8" t="s">
        <v>969</v>
      </c>
      <c r="BQ6" s="8" t="s">
        <v>969</v>
      </c>
      <c r="BR6" s="8" t="s">
        <v>3231</v>
      </c>
      <c r="BS6" s="8" t="s">
        <v>2445</v>
      </c>
      <c r="BT6" s="3" t="s">
        <v>3232</v>
      </c>
      <c r="BU6" s="8" t="str">
        <f>HYPERLINK("https%3A%2F%2Fwww.webofscience.com%2Fwos%2Fwoscc%2Ffull-record%2FWOS:000298874900003","View Full Record in Web of Science")</f>
        <v>View Full Record in Web of Science</v>
      </c>
    </row>
    <row r="7" ht="12.75" customHeight="1">
      <c r="A7" s="8" t="s">
        <v>967</v>
      </c>
      <c r="B7" s="8" t="s">
        <v>1768</v>
      </c>
      <c r="C7" s="8" t="s">
        <v>969</v>
      </c>
      <c r="D7" s="8" t="s">
        <v>969</v>
      </c>
      <c r="E7" s="8" t="s">
        <v>969</v>
      </c>
      <c r="F7" s="8" t="s">
        <v>1769</v>
      </c>
      <c r="G7" s="8" t="s">
        <v>969</v>
      </c>
      <c r="H7" s="8" t="s">
        <v>969</v>
      </c>
      <c r="I7" s="8" t="s">
        <v>1770</v>
      </c>
      <c r="J7" s="8" t="s">
        <v>1538</v>
      </c>
      <c r="K7" s="8" t="s">
        <v>969</v>
      </c>
      <c r="L7" s="8" t="s">
        <v>969</v>
      </c>
      <c r="M7" s="8" t="s">
        <v>972</v>
      </c>
      <c r="N7" s="8" t="s">
        <v>973</v>
      </c>
      <c r="O7" s="8" t="s">
        <v>969</v>
      </c>
      <c r="P7" s="8" t="s">
        <v>969</v>
      </c>
      <c r="Q7" s="8" t="s">
        <v>969</v>
      </c>
      <c r="R7" s="8" t="s">
        <v>969</v>
      </c>
      <c r="S7" s="8" t="s">
        <v>969</v>
      </c>
      <c r="T7" s="8" t="s">
        <v>1771</v>
      </c>
      <c r="U7" s="8" t="s">
        <v>1772</v>
      </c>
      <c r="V7" s="8" t="s">
        <v>1773</v>
      </c>
      <c r="W7" s="8" t="s">
        <v>1774</v>
      </c>
      <c r="X7" s="8" t="s">
        <v>1775</v>
      </c>
      <c r="Y7" s="8" t="s">
        <v>1776</v>
      </c>
      <c r="Z7" s="8" t="s">
        <v>1777</v>
      </c>
      <c r="AA7" s="8" t="s">
        <v>3236</v>
      </c>
      <c r="AB7" s="8" t="s">
        <v>1779</v>
      </c>
      <c r="AC7" s="8" t="s">
        <v>969</v>
      </c>
      <c r="AD7" s="8" t="s">
        <v>969</v>
      </c>
      <c r="AE7" s="8" t="s">
        <v>969</v>
      </c>
      <c r="AF7" s="8" t="s">
        <v>969</v>
      </c>
      <c r="AG7" s="8">
        <v>54.0</v>
      </c>
      <c r="AH7" s="8">
        <v>478.0</v>
      </c>
      <c r="AI7" s="8">
        <v>596.0</v>
      </c>
      <c r="AJ7" s="8">
        <v>2.0</v>
      </c>
      <c r="AK7" s="8">
        <v>433.0</v>
      </c>
      <c r="AL7" s="8" t="s">
        <v>1010</v>
      </c>
      <c r="AM7" s="8" t="s">
        <v>1092</v>
      </c>
      <c r="AN7" s="8" t="s">
        <v>1093</v>
      </c>
      <c r="AO7" s="8" t="s">
        <v>1548</v>
      </c>
      <c r="AP7" s="8" t="s">
        <v>1549</v>
      </c>
      <c r="AQ7" s="8" t="s">
        <v>969</v>
      </c>
      <c r="AR7" s="8" t="s">
        <v>1550</v>
      </c>
      <c r="AS7" s="8" t="s">
        <v>1551</v>
      </c>
      <c r="AT7" s="8" t="s">
        <v>1036</v>
      </c>
      <c r="AU7" s="8">
        <v>2008.0</v>
      </c>
      <c r="AV7" s="8">
        <v>22.0</v>
      </c>
      <c r="AW7" s="8">
        <v>1.0</v>
      </c>
      <c r="AX7" s="8" t="s">
        <v>969</v>
      </c>
      <c r="AY7" s="8" t="s">
        <v>969</v>
      </c>
      <c r="AZ7" s="8" t="s">
        <v>969</v>
      </c>
      <c r="BA7" s="8" t="s">
        <v>969</v>
      </c>
      <c r="BB7" s="8">
        <v>140.0</v>
      </c>
      <c r="BC7" s="8">
        <v>150.0</v>
      </c>
      <c r="BD7" s="8" t="s">
        <v>969</v>
      </c>
      <c r="BE7" s="8" t="s">
        <v>779</v>
      </c>
      <c r="BF7" s="13" t="str">
        <f>HYPERLINK("http://dx.doi.org/10.1111/j.1523-1739.2007.00852.x","http://dx.doi.org/10.1111/j.1523-1739.2007.00852.x")</f>
        <v>http://dx.doi.org/10.1111/j.1523-1739.2007.00852.x</v>
      </c>
      <c r="BG7" s="8" t="s">
        <v>969</v>
      </c>
      <c r="BH7" s="8" t="s">
        <v>969</v>
      </c>
      <c r="BI7" s="8">
        <v>11.0</v>
      </c>
      <c r="BJ7" s="8" t="s">
        <v>987</v>
      </c>
      <c r="BK7" s="8" t="s">
        <v>988</v>
      </c>
      <c r="BL7" s="8" t="s">
        <v>989</v>
      </c>
      <c r="BM7" s="8" t="s">
        <v>1780</v>
      </c>
      <c r="BN7" s="8">
        <v>1.8254859E7</v>
      </c>
      <c r="BO7" s="8" t="s">
        <v>1247</v>
      </c>
      <c r="BP7" s="8" t="s">
        <v>969</v>
      </c>
      <c r="BQ7" s="8" t="s">
        <v>969</v>
      </c>
      <c r="BR7" s="8" t="s">
        <v>3231</v>
      </c>
      <c r="BS7" s="8" t="s">
        <v>1781</v>
      </c>
      <c r="BT7" s="3" t="s">
        <v>3232</v>
      </c>
      <c r="BU7" s="8" t="str">
        <f>HYPERLINK("https%3A%2F%2Fwww.webofscience.com%2Fwos%2Fwoscc%2Ffull-record%2FWOS:000252895700016","View Full Record in Web of Science")</f>
        <v>View Full Record in Web of Science</v>
      </c>
    </row>
    <row r="8" ht="12.75" customHeight="1">
      <c r="A8" s="8" t="s">
        <v>967</v>
      </c>
      <c r="B8" s="8" t="s">
        <v>1627</v>
      </c>
      <c r="C8" s="8" t="s">
        <v>969</v>
      </c>
      <c r="D8" s="8" t="s">
        <v>969</v>
      </c>
      <c r="E8" s="8" t="s">
        <v>969</v>
      </c>
      <c r="F8" s="8" t="s">
        <v>1628</v>
      </c>
      <c r="G8" s="8" t="s">
        <v>969</v>
      </c>
      <c r="H8" s="8" t="s">
        <v>969</v>
      </c>
      <c r="I8" s="8" t="s">
        <v>1629</v>
      </c>
      <c r="J8" s="8" t="s">
        <v>971</v>
      </c>
      <c r="K8" s="8" t="s">
        <v>969</v>
      </c>
      <c r="L8" s="8" t="s">
        <v>969</v>
      </c>
      <c r="M8" s="8" t="s">
        <v>972</v>
      </c>
      <c r="N8" s="8" t="s">
        <v>973</v>
      </c>
      <c r="O8" s="8" t="s">
        <v>969</v>
      </c>
      <c r="P8" s="8" t="s">
        <v>969</v>
      </c>
      <c r="Q8" s="8" t="s">
        <v>969</v>
      </c>
      <c r="R8" s="8" t="s">
        <v>969</v>
      </c>
      <c r="S8" s="8" t="s">
        <v>969</v>
      </c>
      <c r="T8" s="8" t="s">
        <v>1630</v>
      </c>
      <c r="U8" s="8" t="s">
        <v>1631</v>
      </c>
      <c r="V8" s="8" t="s">
        <v>1632</v>
      </c>
      <c r="W8" s="8" t="s">
        <v>1633</v>
      </c>
      <c r="X8" s="8" t="s">
        <v>1634</v>
      </c>
      <c r="Y8" s="8" t="s">
        <v>1635</v>
      </c>
      <c r="Z8" s="8" t="s">
        <v>1636</v>
      </c>
      <c r="AA8" s="8" t="s">
        <v>3088</v>
      </c>
      <c r="AB8" s="8" t="s">
        <v>3237</v>
      </c>
      <c r="AC8" s="8" t="s">
        <v>969</v>
      </c>
      <c r="AD8" s="8" t="s">
        <v>969</v>
      </c>
      <c r="AE8" s="8" t="s">
        <v>969</v>
      </c>
      <c r="AF8" s="8" t="s">
        <v>969</v>
      </c>
      <c r="AG8" s="8">
        <v>41.0</v>
      </c>
      <c r="AH8" s="8">
        <v>87.0</v>
      </c>
      <c r="AI8" s="8">
        <v>92.0</v>
      </c>
      <c r="AJ8" s="8">
        <v>1.0</v>
      </c>
      <c r="AK8" s="8">
        <v>48.0</v>
      </c>
      <c r="AL8" s="8" t="s">
        <v>1091</v>
      </c>
      <c r="AM8" s="8" t="s">
        <v>1092</v>
      </c>
      <c r="AN8" s="8" t="s">
        <v>1093</v>
      </c>
      <c r="AO8" s="8" t="s">
        <v>983</v>
      </c>
      <c r="AP8" s="8" t="s">
        <v>1094</v>
      </c>
      <c r="AQ8" s="8" t="s">
        <v>969</v>
      </c>
      <c r="AR8" s="8" t="s">
        <v>1095</v>
      </c>
      <c r="AS8" s="8" t="s">
        <v>985</v>
      </c>
      <c r="AT8" s="8" t="s">
        <v>1300</v>
      </c>
      <c r="AU8" s="8">
        <v>2006.0</v>
      </c>
      <c r="AV8" s="8">
        <v>12.0</v>
      </c>
      <c r="AW8" s="8">
        <v>9.0</v>
      </c>
      <c r="AX8" s="8" t="s">
        <v>969</v>
      </c>
      <c r="AY8" s="8" t="s">
        <v>969</v>
      </c>
      <c r="AZ8" s="8" t="s">
        <v>969</v>
      </c>
      <c r="BA8" s="8" t="s">
        <v>969</v>
      </c>
      <c r="BB8" s="8">
        <v>1788.0</v>
      </c>
      <c r="BC8" s="8">
        <v>1799.0</v>
      </c>
      <c r="BD8" s="8" t="s">
        <v>969</v>
      </c>
      <c r="BE8" s="8" t="s">
        <v>695</v>
      </c>
      <c r="BF8" s="13" t="str">
        <f>HYPERLINK("http://dx.doi.org/10.1111/j.1365-2486.2006.01231.x","http://dx.doi.org/10.1111/j.1365-2486.2006.01231.x")</f>
        <v>http://dx.doi.org/10.1111/j.1365-2486.2006.01231.x</v>
      </c>
      <c r="BG8" s="8" t="s">
        <v>969</v>
      </c>
      <c r="BH8" s="8" t="s">
        <v>969</v>
      </c>
      <c r="BI8" s="8">
        <v>12.0</v>
      </c>
      <c r="BJ8" s="8" t="s">
        <v>987</v>
      </c>
      <c r="BK8" s="8" t="s">
        <v>988</v>
      </c>
      <c r="BL8" s="8" t="s">
        <v>989</v>
      </c>
      <c r="BM8" s="8" t="s">
        <v>1639</v>
      </c>
      <c r="BN8" s="8" t="s">
        <v>969</v>
      </c>
      <c r="BO8" s="8" t="s">
        <v>1640</v>
      </c>
      <c r="BP8" s="8" t="s">
        <v>969</v>
      </c>
      <c r="BQ8" s="8" t="s">
        <v>969</v>
      </c>
      <c r="BR8" s="8" t="s">
        <v>3231</v>
      </c>
      <c r="BS8" s="8" t="s">
        <v>1641</v>
      </c>
      <c r="BT8" s="3" t="s">
        <v>3232</v>
      </c>
      <c r="BU8" s="8" t="str">
        <f>HYPERLINK("https%3A%2F%2Fwww.webofscience.com%2Fwos%2Fwoscc%2Ffull-record%2FWOS:000240005300018","View Full Record in Web of Science")</f>
        <v>View Full Record in Web of Science</v>
      </c>
    </row>
    <row r="9" ht="12.75" customHeight="1">
      <c r="A9" s="8" t="s">
        <v>967</v>
      </c>
      <c r="B9" s="8" t="s">
        <v>2753</v>
      </c>
      <c r="C9" s="8" t="s">
        <v>969</v>
      </c>
      <c r="D9" s="8" t="s">
        <v>969</v>
      </c>
      <c r="E9" s="8" t="s">
        <v>969</v>
      </c>
      <c r="F9" s="8" t="s">
        <v>2754</v>
      </c>
      <c r="G9" s="8" t="s">
        <v>969</v>
      </c>
      <c r="H9" s="8" t="s">
        <v>969</v>
      </c>
      <c r="I9" s="8" t="s">
        <v>2755</v>
      </c>
      <c r="J9" s="8" t="s">
        <v>2358</v>
      </c>
      <c r="K9" s="8" t="s">
        <v>969</v>
      </c>
      <c r="L9" s="8" t="s">
        <v>969</v>
      </c>
      <c r="M9" s="8" t="s">
        <v>972</v>
      </c>
      <c r="N9" s="8" t="s">
        <v>973</v>
      </c>
      <c r="O9" s="8" t="s">
        <v>969</v>
      </c>
      <c r="P9" s="8" t="s">
        <v>969</v>
      </c>
      <c r="Q9" s="8" t="s">
        <v>969</v>
      </c>
      <c r="R9" s="8" t="s">
        <v>969</v>
      </c>
      <c r="S9" s="8" t="s">
        <v>969</v>
      </c>
      <c r="T9" s="8" t="s">
        <v>969</v>
      </c>
      <c r="U9" s="8" t="s">
        <v>2756</v>
      </c>
      <c r="V9" s="8" t="s">
        <v>2757</v>
      </c>
      <c r="W9" s="8" t="s">
        <v>2758</v>
      </c>
      <c r="X9" s="8" t="s">
        <v>3238</v>
      </c>
      <c r="Y9" s="8" t="s">
        <v>2760</v>
      </c>
      <c r="Z9" s="8" t="s">
        <v>2761</v>
      </c>
      <c r="AA9" s="8" t="s">
        <v>3239</v>
      </c>
      <c r="AB9" s="8" t="s">
        <v>3240</v>
      </c>
      <c r="AC9" s="8" t="s">
        <v>3186</v>
      </c>
      <c r="AD9" s="8" t="s">
        <v>3187</v>
      </c>
      <c r="AE9" s="8" t="s">
        <v>2766</v>
      </c>
      <c r="AF9" s="8" t="s">
        <v>969</v>
      </c>
      <c r="AG9" s="8">
        <v>30.0</v>
      </c>
      <c r="AH9" s="8">
        <v>314.0</v>
      </c>
      <c r="AI9" s="8">
        <v>356.0</v>
      </c>
      <c r="AJ9" s="8">
        <v>6.0</v>
      </c>
      <c r="AK9" s="8">
        <v>247.0</v>
      </c>
      <c r="AL9" s="8" t="s">
        <v>1070</v>
      </c>
      <c r="AM9" s="8" t="s">
        <v>1071</v>
      </c>
      <c r="AN9" s="8" t="s">
        <v>1072</v>
      </c>
      <c r="AO9" s="8" t="s">
        <v>2369</v>
      </c>
      <c r="AP9" s="8" t="s">
        <v>2370</v>
      </c>
      <c r="AQ9" s="8" t="s">
        <v>969</v>
      </c>
      <c r="AR9" s="8" t="s">
        <v>2371</v>
      </c>
      <c r="AS9" s="8" t="s">
        <v>2372</v>
      </c>
      <c r="AT9" s="8" t="s">
        <v>1096</v>
      </c>
      <c r="AU9" s="8">
        <v>2013.0</v>
      </c>
      <c r="AV9" s="8">
        <v>3.0</v>
      </c>
      <c r="AW9" s="8">
        <v>7.0</v>
      </c>
      <c r="AX9" s="8" t="s">
        <v>969</v>
      </c>
      <c r="AY9" s="8" t="s">
        <v>969</v>
      </c>
      <c r="AZ9" s="8" t="s">
        <v>969</v>
      </c>
      <c r="BA9" s="8" t="s">
        <v>969</v>
      </c>
      <c r="BB9" s="8">
        <v>678.0</v>
      </c>
      <c r="BC9" s="8">
        <v>682.0</v>
      </c>
      <c r="BD9" s="8" t="s">
        <v>969</v>
      </c>
      <c r="BE9" s="8" t="s">
        <v>2767</v>
      </c>
      <c r="BF9" s="13" t="str">
        <f>HYPERLINK("http://dx.doi.org/10.1038/NCLIMATE1887","http://dx.doi.org/10.1038/NCLIMATE1887")</f>
        <v>http://dx.doi.org/10.1038/NCLIMATE1887</v>
      </c>
      <c r="BG9" s="8" t="s">
        <v>969</v>
      </c>
      <c r="BH9" s="8" t="s">
        <v>969</v>
      </c>
      <c r="BI9" s="8">
        <v>5.0</v>
      </c>
      <c r="BJ9" s="8" t="s">
        <v>2374</v>
      </c>
      <c r="BK9" s="8" t="s">
        <v>1519</v>
      </c>
      <c r="BL9" s="8" t="s">
        <v>1038</v>
      </c>
      <c r="BM9" s="8" t="s">
        <v>2768</v>
      </c>
      <c r="BN9" s="8" t="s">
        <v>969</v>
      </c>
      <c r="BO9" s="8" t="s">
        <v>969</v>
      </c>
      <c r="BP9" s="8" t="s">
        <v>969</v>
      </c>
      <c r="BQ9" s="8" t="s">
        <v>969</v>
      </c>
      <c r="BR9" s="8" t="s">
        <v>3231</v>
      </c>
      <c r="BS9" s="8" t="s">
        <v>2769</v>
      </c>
      <c r="BT9" s="3" t="s">
        <v>3232</v>
      </c>
      <c r="BU9" s="8" t="str">
        <f>HYPERLINK("https%3A%2F%2Fwww.webofscience.com%2Fwos%2Fwoscc%2Ffull-record%2FWOS:000324486300025","View Full Record in Web of Science")</f>
        <v>View Full Record in Web of Science</v>
      </c>
    </row>
    <row r="10" ht="12.75" customHeight="1">
      <c r="A10" s="8" t="s">
        <v>967</v>
      </c>
      <c r="B10" s="8" t="s">
        <v>1142</v>
      </c>
      <c r="C10" s="8" t="s">
        <v>969</v>
      </c>
      <c r="D10" s="8" t="s">
        <v>969</v>
      </c>
      <c r="E10" s="8" t="s">
        <v>969</v>
      </c>
      <c r="F10" s="8" t="s">
        <v>1142</v>
      </c>
      <c r="G10" s="8" t="s">
        <v>969</v>
      </c>
      <c r="H10" s="8" t="s">
        <v>969</v>
      </c>
      <c r="I10" s="8" t="s">
        <v>1143</v>
      </c>
      <c r="J10" s="8" t="s">
        <v>1144</v>
      </c>
      <c r="K10" s="8" t="s">
        <v>969</v>
      </c>
      <c r="L10" s="8" t="s">
        <v>969</v>
      </c>
      <c r="M10" s="8" t="s">
        <v>972</v>
      </c>
      <c r="N10" s="8" t="s">
        <v>1145</v>
      </c>
      <c r="O10" s="8" t="s">
        <v>1146</v>
      </c>
      <c r="P10" s="8" t="s">
        <v>1147</v>
      </c>
      <c r="Q10" s="8" t="s">
        <v>1148</v>
      </c>
      <c r="R10" s="8" t="s">
        <v>1149</v>
      </c>
      <c r="S10" s="8" t="s">
        <v>969</v>
      </c>
      <c r="T10" s="8" t="s">
        <v>1150</v>
      </c>
      <c r="U10" s="8" t="s">
        <v>1151</v>
      </c>
      <c r="V10" s="8" t="s">
        <v>1152</v>
      </c>
      <c r="W10" s="8" t="s">
        <v>1153</v>
      </c>
      <c r="X10" s="8" t="s">
        <v>1154</v>
      </c>
      <c r="Y10" s="8" t="s">
        <v>1155</v>
      </c>
      <c r="Z10" s="8" t="s">
        <v>1156</v>
      </c>
      <c r="AA10" s="8" t="s">
        <v>1157</v>
      </c>
      <c r="AB10" s="8" t="s">
        <v>1158</v>
      </c>
      <c r="AC10" s="8" t="s">
        <v>969</v>
      </c>
      <c r="AD10" s="8" t="s">
        <v>969</v>
      </c>
      <c r="AE10" s="8" t="s">
        <v>969</v>
      </c>
      <c r="AF10" s="8" t="s">
        <v>969</v>
      </c>
      <c r="AG10" s="8">
        <v>32.0</v>
      </c>
      <c r="AH10" s="8">
        <v>302.0</v>
      </c>
      <c r="AI10" s="8">
        <v>360.0</v>
      </c>
      <c r="AJ10" s="8">
        <v>2.0</v>
      </c>
      <c r="AK10" s="8">
        <v>144.0</v>
      </c>
      <c r="AL10" s="8" t="s">
        <v>1091</v>
      </c>
      <c r="AM10" s="8" t="s">
        <v>1092</v>
      </c>
      <c r="AN10" s="8" t="s">
        <v>1093</v>
      </c>
      <c r="AO10" s="8" t="s">
        <v>1159</v>
      </c>
      <c r="AP10" s="8" t="s">
        <v>1160</v>
      </c>
      <c r="AQ10" s="8" t="s">
        <v>969</v>
      </c>
      <c r="AR10" s="8" t="s">
        <v>1161</v>
      </c>
      <c r="AS10" s="8" t="s">
        <v>1162</v>
      </c>
      <c r="AT10" s="8" t="s">
        <v>1163</v>
      </c>
      <c r="AU10" s="8">
        <v>2002.0</v>
      </c>
      <c r="AV10" s="8">
        <v>11.0</v>
      </c>
      <c r="AW10" s="8">
        <v>6.0</v>
      </c>
      <c r="AX10" s="8" t="s">
        <v>969</v>
      </c>
      <c r="AY10" s="8" t="s">
        <v>969</v>
      </c>
      <c r="AZ10" s="8" t="s">
        <v>969</v>
      </c>
      <c r="BA10" s="8" t="s">
        <v>969</v>
      </c>
      <c r="BB10" s="8">
        <v>445.0</v>
      </c>
      <c r="BC10" s="8">
        <v>451.0</v>
      </c>
      <c r="BD10" s="8" t="s">
        <v>969</v>
      </c>
      <c r="BE10" s="8" t="s">
        <v>626</v>
      </c>
      <c r="BF10" s="13" t="str">
        <f>HYPERLINK("http://dx.doi.org/10.1046/j.1466-822X.2002.00307.x","http://dx.doi.org/10.1046/j.1466-822X.2002.00307.x")</f>
        <v>http://dx.doi.org/10.1046/j.1466-822X.2002.00307.x</v>
      </c>
      <c r="BG10" s="8" t="s">
        <v>969</v>
      </c>
      <c r="BH10" s="8" t="s">
        <v>969</v>
      </c>
      <c r="BI10" s="8">
        <v>7.0</v>
      </c>
      <c r="BJ10" s="8" t="s">
        <v>1017</v>
      </c>
      <c r="BK10" s="8" t="s">
        <v>1164</v>
      </c>
      <c r="BL10" s="8" t="s">
        <v>1018</v>
      </c>
      <c r="BM10" s="8" t="s">
        <v>1165</v>
      </c>
      <c r="BN10" s="8" t="s">
        <v>969</v>
      </c>
      <c r="BO10" s="8" t="s">
        <v>969</v>
      </c>
      <c r="BP10" s="8" t="s">
        <v>969</v>
      </c>
      <c r="BQ10" s="8" t="s">
        <v>969</v>
      </c>
      <c r="BR10" s="8" t="s">
        <v>3231</v>
      </c>
      <c r="BS10" s="8" t="s">
        <v>1166</v>
      </c>
      <c r="BT10" s="3" t="s">
        <v>3232</v>
      </c>
      <c r="BU10" s="8" t="str">
        <f>HYPERLINK("https%3A%2F%2Fwww.webofscience.com%2Fwos%2Fwoscc%2Ffull-record%2FWOS:000179978200002","View Full Record in Web of Science")</f>
        <v>View Full Record in Web of Science</v>
      </c>
    </row>
    <row r="11" ht="12.75" customHeight="1">
      <c r="A11" s="8" t="s">
        <v>967</v>
      </c>
      <c r="B11" s="8" t="s">
        <v>2659</v>
      </c>
      <c r="C11" s="8" t="s">
        <v>969</v>
      </c>
      <c r="D11" s="8" t="s">
        <v>969</v>
      </c>
      <c r="E11" s="8" t="s">
        <v>969</v>
      </c>
      <c r="F11" s="8" t="s">
        <v>2660</v>
      </c>
      <c r="G11" s="8" t="s">
        <v>969</v>
      </c>
      <c r="H11" s="8" t="s">
        <v>969</v>
      </c>
      <c r="I11" s="8" t="s">
        <v>2661</v>
      </c>
      <c r="J11" s="8" t="s">
        <v>1974</v>
      </c>
      <c r="K11" s="8" t="s">
        <v>969</v>
      </c>
      <c r="L11" s="8" t="s">
        <v>969</v>
      </c>
      <c r="M11" s="8" t="s">
        <v>972</v>
      </c>
      <c r="N11" s="8" t="s">
        <v>973</v>
      </c>
      <c r="O11" s="8" t="s">
        <v>969</v>
      </c>
      <c r="P11" s="8" t="s">
        <v>969</v>
      </c>
      <c r="Q11" s="8" t="s">
        <v>969</v>
      </c>
      <c r="R11" s="8" t="s">
        <v>969</v>
      </c>
      <c r="S11" s="8" t="s">
        <v>969</v>
      </c>
      <c r="T11" s="8" t="s">
        <v>969</v>
      </c>
      <c r="U11" s="8" t="s">
        <v>2662</v>
      </c>
      <c r="V11" s="8" t="s">
        <v>2663</v>
      </c>
      <c r="W11" s="8" t="s">
        <v>2664</v>
      </c>
      <c r="X11" s="8" t="s">
        <v>2665</v>
      </c>
      <c r="Y11" s="8" t="s">
        <v>2666</v>
      </c>
      <c r="Z11" s="8" t="s">
        <v>2667</v>
      </c>
      <c r="AA11" s="8" t="s">
        <v>2668</v>
      </c>
      <c r="AB11" s="8" t="s">
        <v>969</v>
      </c>
      <c r="AC11" s="8" t="s">
        <v>2669</v>
      </c>
      <c r="AD11" s="8" t="s">
        <v>2669</v>
      </c>
      <c r="AE11" s="8" t="s">
        <v>2670</v>
      </c>
      <c r="AF11" s="8" t="s">
        <v>969</v>
      </c>
      <c r="AG11" s="8">
        <v>30.0</v>
      </c>
      <c r="AH11" s="8">
        <v>127.0</v>
      </c>
      <c r="AI11" s="8">
        <v>151.0</v>
      </c>
      <c r="AJ11" s="8">
        <v>1.0</v>
      </c>
      <c r="AK11" s="8">
        <v>92.0</v>
      </c>
      <c r="AL11" s="8" t="s">
        <v>1985</v>
      </c>
      <c r="AM11" s="8" t="s">
        <v>1986</v>
      </c>
      <c r="AN11" s="8" t="s">
        <v>1987</v>
      </c>
      <c r="AO11" s="8" t="s">
        <v>1988</v>
      </c>
      <c r="AP11" s="8" t="s">
        <v>969</v>
      </c>
      <c r="AQ11" s="8" t="s">
        <v>969</v>
      </c>
      <c r="AR11" s="8" t="s">
        <v>1974</v>
      </c>
      <c r="AS11" s="8" t="s">
        <v>1989</v>
      </c>
      <c r="AT11" s="8" t="s">
        <v>2671</v>
      </c>
      <c r="AU11" s="8">
        <v>2013.0</v>
      </c>
      <c r="AV11" s="8">
        <v>8.0</v>
      </c>
      <c r="AW11" s="8">
        <v>5.0</v>
      </c>
      <c r="AX11" s="8" t="s">
        <v>969</v>
      </c>
      <c r="AY11" s="8" t="s">
        <v>969</v>
      </c>
      <c r="AZ11" s="8" t="s">
        <v>969</v>
      </c>
      <c r="BA11" s="8" t="s">
        <v>969</v>
      </c>
      <c r="BB11" s="8" t="s">
        <v>969</v>
      </c>
      <c r="BC11" s="8" t="s">
        <v>969</v>
      </c>
      <c r="BD11" s="8" t="s">
        <v>2672</v>
      </c>
      <c r="BE11" s="8" t="s">
        <v>824</v>
      </c>
      <c r="BF11" s="13" t="str">
        <f>HYPERLINK("http://dx.doi.org/10.1371/journal.pone.0063883","http://dx.doi.org/10.1371/journal.pone.0063883")</f>
        <v>http://dx.doi.org/10.1371/journal.pone.0063883</v>
      </c>
      <c r="BG11" s="8" t="s">
        <v>969</v>
      </c>
      <c r="BH11" s="8" t="s">
        <v>969</v>
      </c>
      <c r="BI11" s="8">
        <v>12.0</v>
      </c>
      <c r="BJ11" s="8" t="s">
        <v>1076</v>
      </c>
      <c r="BK11" s="8" t="s">
        <v>988</v>
      </c>
      <c r="BL11" s="8" t="s">
        <v>1077</v>
      </c>
      <c r="BM11" s="8" t="s">
        <v>2673</v>
      </c>
      <c r="BN11" s="8">
        <v>2.3717503E7</v>
      </c>
      <c r="BO11" s="8" t="s">
        <v>1140</v>
      </c>
      <c r="BP11" s="8" t="s">
        <v>969</v>
      </c>
      <c r="BQ11" s="8" t="s">
        <v>969</v>
      </c>
      <c r="BR11" s="8" t="s">
        <v>3231</v>
      </c>
      <c r="BS11" s="8" t="s">
        <v>2674</v>
      </c>
      <c r="BT11" s="3" t="s">
        <v>3232</v>
      </c>
      <c r="BU11" s="8" t="str">
        <f>HYPERLINK("https%3A%2F%2Fwww.webofscience.com%2Fwos%2Fwoscc%2Ffull-record%2FWOS:000320362700075","View Full Record in Web of Science")</f>
        <v>View Full Record in Web of Science</v>
      </c>
    </row>
    <row r="12" ht="12.75" customHeight="1">
      <c r="A12" s="8" t="s">
        <v>967</v>
      </c>
      <c r="B12" s="8" t="s">
        <v>2446</v>
      </c>
      <c r="C12" s="8" t="s">
        <v>969</v>
      </c>
      <c r="D12" s="8" t="s">
        <v>969</v>
      </c>
      <c r="E12" s="8" t="s">
        <v>969</v>
      </c>
      <c r="F12" s="8" t="s">
        <v>2447</v>
      </c>
      <c r="G12" s="8" t="s">
        <v>969</v>
      </c>
      <c r="H12" s="8" t="s">
        <v>969</v>
      </c>
      <c r="I12" s="8" t="s">
        <v>2448</v>
      </c>
      <c r="J12" s="8" t="s">
        <v>971</v>
      </c>
      <c r="K12" s="8" t="s">
        <v>969</v>
      </c>
      <c r="L12" s="8" t="s">
        <v>969</v>
      </c>
      <c r="M12" s="8" t="s">
        <v>972</v>
      </c>
      <c r="N12" s="8" t="s">
        <v>973</v>
      </c>
      <c r="O12" s="8" t="s">
        <v>969</v>
      </c>
      <c r="P12" s="8" t="s">
        <v>969</v>
      </c>
      <c r="Q12" s="8" t="s">
        <v>969</v>
      </c>
      <c r="R12" s="8" t="s">
        <v>969</v>
      </c>
      <c r="S12" s="8" t="s">
        <v>969</v>
      </c>
      <c r="T12" s="8" t="s">
        <v>2449</v>
      </c>
      <c r="U12" s="8" t="s">
        <v>2450</v>
      </c>
      <c r="V12" s="8" t="s">
        <v>2451</v>
      </c>
      <c r="W12" s="8" t="s">
        <v>2452</v>
      </c>
      <c r="X12" s="8" t="s">
        <v>2453</v>
      </c>
      <c r="Y12" s="8" t="s">
        <v>2454</v>
      </c>
      <c r="Z12" s="8" t="s">
        <v>2455</v>
      </c>
      <c r="AA12" s="8" t="s">
        <v>3241</v>
      </c>
      <c r="AB12" s="8" t="s">
        <v>3242</v>
      </c>
      <c r="AC12" s="8" t="s">
        <v>3243</v>
      </c>
      <c r="AD12" s="8" t="s">
        <v>2459</v>
      </c>
      <c r="AE12" s="8" t="s">
        <v>2460</v>
      </c>
      <c r="AF12" s="8" t="s">
        <v>969</v>
      </c>
      <c r="AG12" s="8">
        <v>63.0</v>
      </c>
      <c r="AH12" s="8">
        <v>194.0</v>
      </c>
      <c r="AI12" s="8">
        <v>232.0</v>
      </c>
      <c r="AJ12" s="8">
        <v>2.0</v>
      </c>
      <c r="AK12" s="8">
        <v>255.0</v>
      </c>
      <c r="AL12" s="8" t="s">
        <v>1091</v>
      </c>
      <c r="AM12" s="8" t="s">
        <v>1092</v>
      </c>
      <c r="AN12" s="8" t="s">
        <v>1093</v>
      </c>
      <c r="AO12" s="8" t="s">
        <v>983</v>
      </c>
      <c r="AP12" s="8" t="s">
        <v>1094</v>
      </c>
      <c r="AQ12" s="8" t="s">
        <v>969</v>
      </c>
      <c r="AR12" s="8" t="s">
        <v>1095</v>
      </c>
      <c r="AS12" s="8" t="s">
        <v>985</v>
      </c>
      <c r="AT12" s="8" t="s">
        <v>1552</v>
      </c>
      <c r="AU12" s="8">
        <v>2012.0</v>
      </c>
      <c r="AV12" s="8">
        <v>18.0</v>
      </c>
      <c r="AW12" s="8">
        <v>4.0</v>
      </c>
      <c r="AX12" s="8" t="s">
        <v>969</v>
      </c>
      <c r="AY12" s="8" t="s">
        <v>969</v>
      </c>
      <c r="AZ12" s="8" t="s">
        <v>969</v>
      </c>
      <c r="BA12" s="8" t="s">
        <v>969</v>
      </c>
      <c r="BB12" s="8">
        <v>1357.0</v>
      </c>
      <c r="BC12" s="8">
        <v>1371.0</v>
      </c>
      <c r="BD12" s="8" t="s">
        <v>969</v>
      </c>
      <c r="BE12" s="8" t="s">
        <v>725</v>
      </c>
      <c r="BF12" s="13" t="str">
        <f>HYPERLINK("http://dx.doi.org/10.1111/j.1365-2486.2011.02614.x","http://dx.doi.org/10.1111/j.1365-2486.2011.02614.x")</f>
        <v>http://dx.doi.org/10.1111/j.1365-2486.2011.02614.x</v>
      </c>
      <c r="BG12" s="8" t="s">
        <v>969</v>
      </c>
      <c r="BH12" s="8" t="s">
        <v>969</v>
      </c>
      <c r="BI12" s="8">
        <v>15.0</v>
      </c>
      <c r="BJ12" s="8" t="s">
        <v>987</v>
      </c>
      <c r="BK12" s="8" t="s">
        <v>988</v>
      </c>
      <c r="BL12" s="8" t="s">
        <v>989</v>
      </c>
      <c r="BM12" s="8" t="s">
        <v>2461</v>
      </c>
      <c r="BN12" s="8" t="s">
        <v>969</v>
      </c>
      <c r="BO12" s="8" t="s">
        <v>969</v>
      </c>
      <c r="BP12" s="8" t="s">
        <v>969</v>
      </c>
      <c r="BQ12" s="8" t="s">
        <v>969</v>
      </c>
      <c r="BR12" s="8" t="s">
        <v>3231</v>
      </c>
      <c r="BS12" s="8" t="s">
        <v>2462</v>
      </c>
      <c r="BT12" s="3" t="s">
        <v>3232</v>
      </c>
      <c r="BU12" s="8" t="str">
        <f>HYPERLINK("https%3A%2F%2Fwww.webofscience.com%2Fwos%2Fwoscc%2Ffull-record%2FWOS:000301533100013","View Full Record in Web of Science")</f>
        <v>View Full Record in Web of Science</v>
      </c>
    </row>
    <row r="13" ht="12.75" customHeight="1">
      <c r="A13" s="8" t="s">
        <v>967</v>
      </c>
      <c r="B13" s="8" t="s">
        <v>2641</v>
      </c>
      <c r="C13" s="8" t="s">
        <v>969</v>
      </c>
      <c r="D13" s="8" t="s">
        <v>969</v>
      </c>
      <c r="E13" s="8" t="s">
        <v>969</v>
      </c>
      <c r="F13" s="8" t="s">
        <v>2642</v>
      </c>
      <c r="G13" s="8" t="s">
        <v>969</v>
      </c>
      <c r="H13" s="8" t="s">
        <v>969</v>
      </c>
      <c r="I13" s="8" t="s">
        <v>2643</v>
      </c>
      <c r="J13" s="8" t="s">
        <v>1974</v>
      </c>
      <c r="K13" s="8" t="s">
        <v>969</v>
      </c>
      <c r="L13" s="8" t="s">
        <v>969</v>
      </c>
      <c r="M13" s="8" t="s">
        <v>972</v>
      </c>
      <c r="N13" s="8" t="s">
        <v>973</v>
      </c>
      <c r="O13" s="8" t="s">
        <v>969</v>
      </c>
      <c r="P13" s="8" t="s">
        <v>969</v>
      </c>
      <c r="Q13" s="8" t="s">
        <v>969</v>
      </c>
      <c r="R13" s="8" t="s">
        <v>969</v>
      </c>
      <c r="S13" s="8" t="s">
        <v>969</v>
      </c>
      <c r="T13" s="8" t="s">
        <v>969</v>
      </c>
      <c r="U13" s="8" t="s">
        <v>2644</v>
      </c>
      <c r="V13" s="8" t="s">
        <v>2645</v>
      </c>
      <c r="W13" s="8" t="s">
        <v>2646</v>
      </c>
      <c r="X13" s="8" t="s">
        <v>2647</v>
      </c>
      <c r="Y13" s="8" t="s">
        <v>2648</v>
      </c>
      <c r="Z13" s="8" t="s">
        <v>2649</v>
      </c>
      <c r="AA13" s="8" t="s">
        <v>3244</v>
      </c>
      <c r="AB13" s="8" t="s">
        <v>3245</v>
      </c>
      <c r="AC13" s="8" t="s">
        <v>2652</v>
      </c>
      <c r="AD13" s="8" t="s">
        <v>2653</v>
      </c>
      <c r="AE13" s="8" t="s">
        <v>2654</v>
      </c>
      <c r="AF13" s="8" t="s">
        <v>969</v>
      </c>
      <c r="AG13" s="8">
        <v>41.0</v>
      </c>
      <c r="AH13" s="8">
        <v>711.0</v>
      </c>
      <c r="AI13" s="8">
        <v>815.0</v>
      </c>
      <c r="AJ13" s="8">
        <v>4.0</v>
      </c>
      <c r="AK13" s="8">
        <v>231.0</v>
      </c>
      <c r="AL13" s="8" t="s">
        <v>1985</v>
      </c>
      <c r="AM13" s="8" t="s">
        <v>1986</v>
      </c>
      <c r="AN13" s="8" t="s">
        <v>1987</v>
      </c>
      <c r="AO13" s="8" t="s">
        <v>1988</v>
      </c>
      <c r="AP13" s="8" t="s">
        <v>969</v>
      </c>
      <c r="AQ13" s="8" t="s">
        <v>969</v>
      </c>
      <c r="AR13" s="8" t="s">
        <v>1974</v>
      </c>
      <c r="AS13" s="8" t="s">
        <v>1989</v>
      </c>
      <c r="AT13" s="8" t="s">
        <v>2655</v>
      </c>
      <c r="AU13" s="8">
        <v>2013.0</v>
      </c>
      <c r="AV13" s="8">
        <v>8.0</v>
      </c>
      <c r="AW13" s="8">
        <v>6.0</v>
      </c>
      <c r="AX13" s="8" t="s">
        <v>969</v>
      </c>
      <c r="AY13" s="8" t="s">
        <v>969</v>
      </c>
      <c r="AZ13" s="8" t="s">
        <v>969</v>
      </c>
      <c r="BA13" s="8" t="s">
        <v>969</v>
      </c>
      <c r="BB13" s="8" t="s">
        <v>969</v>
      </c>
      <c r="BC13" s="8" t="s">
        <v>969</v>
      </c>
      <c r="BD13" s="8" t="s">
        <v>2656</v>
      </c>
      <c r="BE13" s="8" t="s">
        <v>827</v>
      </c>
      <c r="BF13" s="13" t="str">
        <f>HYPERLINK("http://dx.doi.org/10.1371/journal.pone.0065427","http://dx.doi.org/10.1371/journal.pone.0065427")</f>
        <v>http://dx.doi.org/10.1371/journal.pone.0065427</v>
      </c>
      <c r="BG13" s="8" t="s">
        <v>969</v>
      </c>
      <c r="BH13" s="8" t="s">
        <v>969</v>
      </c>
      <c r="BI13" s="8">
        <v>13.0</v>
      </c>
      <c r="BJ13" s="8" t="s">
        <v>1076</v>
      </c>
      <c r="BK13" s="8" t="s">
        <v>988</v>
      </c>
      <c r="BL13" s="8" t="s">
        <v>1077</v>
      </c>
      <c r="BM13" s="8" t="s">
        <v>2657</v>
      </c>
      <c r="BN13" s="8">
        <v>2.3950785E7</v>
      </c>
      <c r="BO13" s="8" t="s">
        <v>1140</v>
      </c>
      <c r="BP13" s="8" t="s">
        <v>969</v>
      </c>
      <c r="BQ13" s="8" t="s">
        <v>969</v>
      </c>
      <c r="BR13" s="8" t="s">
        <v>3231</v>
      </c>
      <c r="BS13" s="8" t="s">
        <v>2658</v>
      </c>
      <c r="BT13" s="3" t="s">
        <v>3232</v>
      </c>
      <c r="BU13" s="8" t="str">
        <f>HYPERLINK("https%3A%2F%2Fwww.webofscience.com%2Fwos%2Fwoscc%2Ffull-record%2FWOS:000320322400025","View Full Record in Web of Science")</f>
        <v>View Full Record in Web of Science</v>
      </c>
    </row>
    <row r="14" ht="12.75" customHeight="1">
      <c r="A14" s="8" t="s">
        <v>967</v>
      </c>
      <c r="B14" s="8" t="s">
        <v>1523</v>
      </c>
      <c r="C14" s="8" t="s">
        <v>969</v>
      </c>
      <c r="D14" s="8" t="s">
        <v>969</v>
      </c>
      <c r="E14" s="8" t="s">
        <v>969</v>
      </c>
      <c r="F14" s="8" t="s">
        <v>1523</v>
      </c>
      <c r="G14" s="8" t="s">
        <v>969</v>
      </c>
      <c r="H14" s="8" t="s">
        <v>969</v>
      </c>
      <c r="I14" s="8" t="s">
        <v>1524</v>
      </c>
      <c r="J14" s="8" t="s">
        <v>971</v>
      </c>
      <c r="K14" s="8" t="s">
        <v>969</v>
      </c>
      <c r="L14" s="8" t="s">
        <v>969</v>
      </c>
      <c r="M14" s="8" t="s">
        <v>972</v>
      </c>
      <c r="N14" s="8" t="s">
        <v>973</v>
      </c>
      <c r="O14" s="8" t="s">
        <v>969</v>
      </c>
      <c r="P14" s="8" t="s">
        <v>969</v>
      </c>
      <c r="Q14" s="8" t="s">
        <v>969</v>
      </c>
      <c r="R14" s="8" t="s">
        <v>969</v>
      </c>
      <c r="S14" s="8" t="s">
        <v>969</v>
      </c>
      <c r="T14" s="8" t="s">
        <v>1525</v>
      </c>
      <c r="U14" s="8" t="s">
        <v>1526</v>
      </c>
      <c r="V14" s="8" t="s">
        <v>1527</v>
      </c>
      <c r="W14" s="8" t="s">
        <v>1528</v>
      </c>
      <c r="X14" s="8" t="s">
        <v>1529</v>
      </c>
      <c r="Y14" s="8" t="s">
        <v>1530</v>
      </c>
      <c r="Z14" s="8" t="s">
        <v>1531</v>
      </c>
      <c r="AA14" s="8" t="s">
        <v>2949</v>
      </c>
      <c r="AB14" s="8" t="s">
        <v>2950</v>
      </c>
      <c r="AC14" s="8" t="s">
        <v>969</v>
      </c>
      <c r="AD14" s="8" t="s">
        <v>969</v>
      </c>
      <c r="AE14" s="8" t="s">
        <v>969</v>
      </c>
      <c r="AF14" s="8" t="s">
        <v>969</v>
      </c>
      <c r="AG14" s="8">
        <v>90.0</v>
      </c>
      <c r="AH14" s="8">
        <v>248.0</v>
      </c>
      <c r="AI14" s="8">
        <v>297.0</v>
      </c>
      <c r="AJ14" s="8">
        <v>0.0</v>
      </c>
      <c r="AK14" s="8">
        <v>130.0</v>
      </c>
      <c r="AL14" s="8" t="s">
        <v>1091</v>
      </c>
      <c r="AM14" s="8" t="s">
        <v>1092</v>
      </c>
      <c r="AN14" s="8" t="s">
        <v>1093</v>
      </c>
      <c r="AO14" s="8" t="s">
        <v>983</v>
      </c>
      <c r="AP14" s="8" t="s">
        <v>1094</v>
      </c>
      <c r="AQ14" s="8" t="s">
        <v>969</v>
      </c>
      <c r="AR14" s="8" t="s">
        <v>1095</v>
      </c>
      <c r="AS14" s="8" t="s">
        <v>985</v>
      </c>
      <c r="AT14" s="8" t="s">
        <v>1055</v>
      </c>
      <c r="AU14" s="8">
        <v>2006.0</v>
      </c>
      <c r="AV14" s="8">
        <v>12.0</v>
      </c>
      <c r="AW14" s="8">
        <v>3.0</v>
      </c>
      <c r="AX14" s="8" t="s">
        <v>969</v>
      </c>
      <c r="AY14" s="8" t="s">
        <v>969</v>
      </c>
      <c r="AZ14" s="8" t="s">
        <v>969</v>
      </c>
      <c r="BA14" s="8" t="s">
        <v>969</v>
      </c>
      <c r="BB14" s="8">
        <v>424.0</v>
      </c>
      <c r="BC14" s="8">
        <v>440.0</v>
      </c>
      <c r="BD14" s="8" t="s">
        <v>969</v>
      </c>
      <c r="BE14" s="8" t="s">
        <v>689</v>
      </c>
      <c r="BF14" s="13" t="str">
        <f>HYPERLINK("http://dx.doi.org/10.1111/j.1365-2486.2006.01115.x","http://dx.doi.org/10.1111/j.1365-2486.2006.01115.x")</f>
        <v>http://dx.doi.org/10.1111/j.1365-2486.2006.01115.x</v>
      </c>
      <c r="BG14" s="8" t="s">
        <v>969</v>
      </c>
      <c r="BH14" s="8" t="s">
        <v>969</v>
      </c>
      <c r="BI14" s="8">
        <v>17.0</v>
      </c>
      <c r="BJ14" s="8" t="s">
        <v>987</v>
      </c>
      <c r="BK14" s="8" t="s">
        <v>988</v>
      </c>
      <c r="BL14" s="8" t="s">
        <v>989</v>
      </c>
      <c r="BM14" s="8" t="s">
        <v>1534</v>
      </c>
      <c r="BN14" s="8" t="s">
        <v>969</v>
      </c>
      <c r="BO14" s="8" t="s">
        <v>969</v>
      </c>
      <c r="BP14" s="8" t="s">
        <v>969</v>
      </c>
      <c r="BQ14" s="8" t="s">
        <v>969</v>
      </c>
      <c r="BR14" s="8" t="s">
        <v>3231</v>
      </c>
      <c r="BS14" s="8" t="s">
        <v>1535</v>
      </c>
      <c r="BT14" s="3" t="s">
        <v>3232</v>
      </c>
      <c r="BU14" s="8" t="str">
        <f>HYPERLINK("https%3A%2F%2Fwww.webofscience.com%2Fwos%2Fwoscc%2Ffull-record%2FWOS:000236023000002","View Full Record in Web of Science")</f>
        <v>View Full Record in Web of Science</v>
      </c>
    </row>
    <row r="15" ht="12.75" customHeight="1">
      <c r="A15" s="8" t="s">
        <v>967</v>
      </c>
      <c r="B15" s="8" t="s">
        <v>1463</v>
      </c>
      <c r="C15" s="8" t="s">
        <v>969</v>
      </c>
      <c r="D15" s="8" t="s">
        <v>969</v>
      </c>
      <c r="E15" s="8" t="s">
        <v>969</v>
      </c>
      <c r="F15" s="8" t="s">
        <v>1463</v>
      </c>
      <c r="G15" s="8" t="s">
        <v>969</v>
      </c>
      <c r="H15" s="8" t="s">
        <v>969</v>
      </c>
      <c r="I15" s="8" t="s">
        <v>1464</v>
      </c>
      <c r="J15" s="8" t="s">
        <v>971</v>
      </c>
      <c r="K15" s="8" t="s">
        <v>969</v>
      </c>
      <c r="L15" s="8" t="s">
        <v>969</v>
      </c>
      <c r="M15" s="8" t="s">
        <v>972</v>
      </c>
      <c r="N15" s="8" t="s">
        <v>973</v>
      </c>
      <c r="O15" s="8" t="s">
        <v>969</v>
      </c>
      <c r="P15" s="8" t="s">
        <v>969</v>
      </c>
      <c r="Q15" s="8" t="s">
        <v>969</v>
      </c>
      <c r="R15" s="8" t="s">
        <v>969</v>
      </c>
      <c r="S15" s="8" t="s">
        <v>969</v>
      </c>
      <c r="T15" s="8" t="s">
        <v>1465</v>
      </c>
      <c r="U15" s="8" t="s">
        <v>1466</v>
      </c>
      <c r="V15" s="8" t="s">
        <v>1467</v>
      </c>
      <c r="W15" s="8" t="s">
        <v>1468</v>
      </c>
      <c r="X15" s="8" t="s">
        <v>1469</v>
      </c>
      <c r="Y15" s="8" t="s">
        <v>1470</v>
      </c>
      <c r="Z15" s="8" t="s">
        <v>1471</v>
      </c>
      <c r="AA15" s="8" t="s">
        <v>2952</v>
      </c>
      <c r="AB15" s="8" t="s">
        <v>2953</v>
      </c>
      <c r="AC15" s="8" t="s">
        <v>969</v>
      </c>
      <c r="AD15" s="8" t="s">
        <v>969</v>
      </c>
      <c r="AE15" s="8" t="s">
        <v>969</v>
      </c>
      <c r="AF15" s="8" t="s">
        <v>969</v>
      </c>
      <c r="AG15" s="8">
        <v>69.0</v>
      </c>
      <c r="AH15" s="8">
        <v>104.0</v>
      </c>
      <c r="AI15" s="8">
        <v>124.0</v>
      </c>
      <c r="AJ15" s="8">
        <v>1.0</v>
      </c>
      <c r="AK15" s="8">
        <v>61.0</v>
      </c>
      <c r="AL15" s="8" t="s">
        <v>1091</v>
      </c>
      <c r="AM15" s="8" t="s">
        <v>1092</v>
      </c>
      <c r="AN15" s="8" t="s">
        <v>1093</v>
      </c>
      <c r="AO15" s="8" t="s">
        <v>983</v>
      </c>
      <c r="AP15" s="8" t="s">
        <v>1094</v>
      </c>
      <c r="AQ15" s="8" t="s">
        <v>969</v>
      </c>
      <c r="AR15" s="8" t="s">
        <v>1095</v>
      </c>
      <c r="AS15" s="8" t="s">
        <v>985</v>
      </c>
      <c r="AT15" s="8" t="s">
        <v>1300</v>
      </c>
      <c r="AU15" s="8">
        <v>2005.0</v>
      </c>
      <c r="AV15" s="8">
        <v>11.0</v>
      </c>
      <c r="AW15" s="8">
        <v>9.0</v>
      </c>
      <c r="AX15" s="8" t="s">
        <v>969</v>
      </c>
      <c r="AY15" s="8" t="s">
        <v>969</v>
      </c>
      <c r="AZ15" s="8" t="s">
        <v>969</v>
      </c>
      <c r="BA15" s="8" t="s">
        <v>969</v>
      </c>
      <c r="BB15" s="8">
        <v>1452.0</v>
      </c>
      <c r="BC15" s="8">
        <v>1468.0</v>
      </c>
      <c r="BD15" s="8" t="s">
        <v>969</v>
      </c>
      <c r="BE15" s="8" t="s">
        <v>686</v>
      </c>
      <c r="BF15" s="13" t="str">
        <f>HYPERLINK("http://dx.doi.org/10.1111/j.1365-2486.2005.00997.x","http://dx.doi.org/10.1111/j.1365-2486.2005.00997.x")</f>
        <v>http://dx.doi.org/10.1111/j.1365-2486.2005.00997.x</v>
      </c>
      <c r="BG15" s="8" t="s">
        <v>969</v>
      </c>
      <c r="BH15" s="8" t="s">
        <v>969</v>
      </c>
      <c r="BI15" s="8">
        <v>17.0</v>
      </c>
      <c r="BJ15" s="8" t="s">
        <v>987</v>
      </c>
      <c r="BK15" s="8" t="s">
        <v>988</v>
      </c>
      <c r="BL15" s="8" t="s">
        <v>989</v>
      </c>
      <c r="BM15" s="8" t="s">
        <v>1474</v>
      </c>
      <c r="BN15" s="8" t="s">
        <v>969</v>
      </c>
      <c r="BO15" s="8" t="s">
        <v>969</v>
      </c>
      <c r="BP15" s="8" t="s">
        <v>969</v>
      </c>
      <c r="BQ15" s="8" t="s">
        <v>969</v>
      </c>
      <c r="BR15" s="8" t="s">
        <v>3231</v>
      </c>
      <c r="BS15" s="8" t="s">
        <v>1475</v>
      </c>
      <c r="BT15" s="3" t="s">
        <v>3232</v>
      </c>
      <c r="BU15" s="8" t="str">
        <f>HYPERLINK("https%3A%2F%2Fwww.webofscience.com%2Fwos%2Fwoscc%2Ffull-record%2FWOS:000231396700005","View Full Record in Web of Science")</f>
        <v>View Full Record in Web of Science</v>
      </c>
    </row>
    <row r="16" ht="12.75" customHeight="1">
      <c r="A16" s="8" t="s">
        <v>967</v>
      </c>
      <c r="B16" s="8" t="s">
        <v>2605</v>
      </c>
      <c r="C16" s="8" t="s">
        <v>969</v>
      </c>
      <c r="D16" s="8" t="s">
        <v>969</v>
      </c>
      <c r="E16" s="8" t="s">
        <v>969</v>
      </c>
      <c r="F16" s="8" t="s">
        <v>2606</v>
      </c>
      <c r="G16" s="8" t="s">
        <v>969</v>
      </c>
      <c r="H16" s="8" t="s">
        <v>969</v>
      </c>
      <c r="I16" s="8" t="s">
        <v>2607</v>
      </c>
      <c r="J16" s="8" t="s">
        <v>1427</v>
      </c>
      <c r="K16" s="8" t="s">
        <v>969</v>
      </c>
      <c r="L16" s="8" t="s">
        <v>969</v>
      </c>
      <c r="M16" s="8" t="s">
        <v>972</v>
      </c>
      <c r="N16" s="8" t="s">
        <v>973</v>
      </c>
      <c r="O16" s="8" t="s">
        <v>969</v>
      </c>
      <c r="P16" s="8" t="s">
        <v>969</v>
      </c>
      <c r="Q16" s="8" t="s">
        <v>969</v>
      </c>
      <c r="R16" s="8" t="s">
        <v>969</v>
      </c>
      <c r="S16" s="8" t="s">
        <v>969</v>
      </c>
      <c r="T16" s="8" t="s">
        <v>2608</v>
      </c>
      <c r="U16" s="8" t="s">
        <v>2609</v>
      </c>
      <c r="V16" s="8" t="s">
        <v>2610</v>
      </c>
      <c r="W16" s="8" t="s">
        <v>2611</v>
      </c>
      <c r="X16" s="8" t="s">
        <v>2612</v>
      </c>
      <c r="Y16" s="8" t="s">
        <v>2613</v>
      </c>
      <c r="Z16" s="8" t="s">
        <v>2614</v>
      </c>
      <c r="AA16" s="8" t="s">
        <v>3246</v>
      </c>
      <c r="AB16" s="8" t="s">
        <v>3247</v>
      </c>
      <c r="AC16" s="8" t="s">
        <v>2617</v>
      </c>
      <c r="AD16" s="8" t="s">
        <v>2618</v>
      </c>
      <c r="AE16" s="8" t="s">
        <v>2619</v>
      </c>
      <c r="AF16" s="8" t="s">
        <v>969</v>
      </c>
      <c r="AG16" s="8">
        <v>91.0</v>
      </c>
      <c r="AH16" s="8">
        <v>32.0</v>
      </c>
      <c r="AI16" s="8">
        <v>34.0</v>
      </c>
      <c r="AJ16" s="8">
        <v>1.0</v>
      </c>
      <c r="AK16" s="8">
        <v>126.0</v>
      </c>
      <c r="AL16" s="8" t="s">
        <v>1091</v>
      </c>
      <c r="AM16" s="8" t="s">
        <v>1092</v>
      </c>
      <c r="AN16" s="8" t="s">
        <v>1093</v>
      </c>
      <c r="AO16" s="8" t="s">
        <v>1437</v>
      </c>
      <c r="AP16" s="8" t="s">
        <v>1499</v>
      </c>
      <c r="AQ16" s="8" t="s">
        <v>969</v>
      </c>
      <c r="AR16" s="8" t="s">
        <v>1438</v>
      </c>
      <c r="AS16" s="8" t="s">
        <v>1439</v>
      </c>
      <c r="AT16" s="8" t="s">
        <v>1552</v>
      </c>
      <c r="AU16" s="8">
        <v>2013.0</v>
      </c>
      <c r="AV16" s="8">
        <v>19.0</v>
      </c>
      <c r="AW16" s="8">
        <v>4.0</v>
      </c>
      <c r="AX16" s="8" t="s">
        <v>969</v>
      </c>
      <c r="AY16" s="8" t="s">
        <v>969</v>
      </c>
      <c r="AZ16" s="8" t="s">
        <v>969</v>
      </c>
      <c r="BA16" s="8" t="s">
        <v>969</v>
      </c>
      <c r="BB16" s="8">
        <v>363.0</v>
      </c>
      <c r="BC16" s="8">
        <v>376.0</v>
      </c>
      <c r="BD16" s="8" t="s">
        <v>969</v>
      </c>
      <c r="BE16" s="8" t="s">
        <v>665</v>
      </c>
      <c r="BF16" s="13" t="str">
        <f>HYPERLINK("http://dx.doi.org/10.1111/ddi.12011","http://dx.doi.org/10.1111/ddi.12011")</f>
        <v>http://dx.doi.org/10.1111/ddi.12011</v>
      </c>
      <c r="BG16" s="8" t="s">
        <v>969</v>
      </c>
      <c r="BH16" s="8" t="s">
        <v>969</v>
      </c>
      <c r="BI16" s="8">
        <v>14.0</v>
      </c>
      <c r="BJ16" s="8" t="s">
        <v>1286</v>
      </c>
      <c r="BK16" s="8" t="s">
        <v>988</v>
      </c>
      <c r="BL16" s="8" t="s">
        <v>989</v>
      </c>
      <c r="BM16" s="8" t="s">
        <v>2620</v>
      </c>
      <c r="BN16" s="8" t="s">
        <v>969</v>
      </c>
      <c r="BO16" s="8" t="s">
        <v>969</v>
      </c>
      <c r="BP16" s="8" t="s">
        <v>969</v>
      </c>
      <c r="BQ16" s="8" t="s">
        <v>969</v>
      </c>
      <c r="BR16" s="8" t="s">
        <v>3231</v>
      </c>
      <c r="BS16" s="8" t="s">
        <v>2621</v>
      </c>
      <c r="BT16" s="3" t="s">
        <v>3232</v>
      </c>
      <c r="BU16" s="8" t="str">
        <f>HYPERLINK("https%3A%2F%2Fwww.webofscience.com%2Fwos%2Fwoscc%2Ffull-record%2FWOS:000316324800001","View Full Record in Web of Science")</f>
        <v>View Full Record in Web of Science</v>
      </c>
    </row>
    <row r="17" ht="12.75" customHeight="1">
      <c r="A17" s="8" t="s">
        <v>967</v>
      </c>
      <c r="B17" s="8" t="s">
        <v>2489</v>
      </c>
      <c r="C17" s="8" t="s">
        <v>969</v>
      </c>
      <c r="D17" s="8" t="s">
        <v>969</v>
      </c>
      <c r="E17" s="8" t="s">
        <v>969</v>
      </c>
      <c r="F17" s="8" t="s">
        <v>2490</v>
      </c>
      <c r="G17" s="8" t="s">
        <v>969</v>
      </c>
      <c r="H17" s="8" t="s">
        <v>969</v>
      </c>
      <c r="I17" s="8" t="s">
        <v>2491</v>
      </c>
      <c r="J17" s="8" t="s">
        <v>971</v>
      </c>
      <c r="K17" s="8" t="s">
        <v>969</v>
      </c>
      <c r="L17" s="8" t="s">
        <v>969</v>
      </c>
      <c r="M17" s="8" t="s">
        <v>972</v>
      </c>
      <c r="N17" s="8" t="s">
        <v>973</v>
      </c>
      <c r="O17" s="8" t="s">
        <v>969</v>
      </c>
      <c r="P17" s="8" t="s">
        <v>969</v>
      </c>
      <c r="Q17" s="8" t="s">
        <v>969</v>
      </c>
      <c r="R17" s="8" t="s">
        <v>969</v>
      </c>
      <c r="S17" s="8" t="s">
        <v>969</v>
      </c>
      <c r="T17" s="8" t="s">
        <v>2492</v>
      </c>
      <c r="U17" s="8" t="s">
        <v>2493</v>
      </c>
      <c r="V17" s="8" t="s">
        <v>2494</v>
      </c>
      <c r="W17" s="8" t="s">
        <v>2495</v>
      </c>
      <c r="X17" s="8" t="s">
        <v>2496</v>
      </c>
      <c r="Y17" s="8" t="s">
        <v>2497</v>
      </c>
      <c r="Z17" s="8" t="s">
        <v>2498</v>
      </c>
      <c r="AA17" s="8" t="s">
        <v>3248</v>
      </c>
      <c r="AB17" s="8" t="s">
        <v>2500</v>
      </c>
      <c r="AC17" s="8" t="s">
        <v>2501</v>
      </c>
      <c r="AD17" s="8" t="s">
        <v>2502</v>
      </c>
      <c r="AE17" s="8" t="s">
        <v>2503</v>
      </c>
      <c r="AF17" s="8" t="s">
        <v>969</v>
      </c>
      <c r="AG17" s="8">
        <v>66.0</v>
      </c>
      <c r="AH17" s="8">
        <v>63.0</v>
      </c>
      <c r="AI17" s="8">
        <v>75.0</v>
      </c>
      <c r="AJ17" s="8">
        <v>0.0</v>
      </c>
      <c r="AK17" s="8">
        <v>110.0</v>
      </c>
      <c r="AL17" s="8" t="s">
        <v>1091</v>
      </c>
      <c r="AM17" s="8" t="s">
        <v>1092</v>
      </c>
      <c r="AN17" s="8" t="s">
        <v>1093</v>
      </c>
      <c r="AO17" s="8" t="s">
        <v>983</v>
      </c>
      <c r="AP17" s="8" t="s">
        <v>1094</v>
      </c>
      <c r="AQ17" s="8" t="s">
        <v>969</v>
      </c>
      <c r="AR17" s="8" t="s">
        <v>1095</v>
      </c>
      <c r="AS17" s="8" t="s">
        <v>985</v>
      </c>
      <c r="AT17" s="8" t="s">
        <v>1285</v>
      </c>
      <c r="AU17" s="8">
        <v>2012.0</v>
      </c>
      <c r="AV17" s="8">
        <v>18.0</v>
      </c>
      <c r="AW17" s="8">
        <v>6.0</v>
      </c>
      <c r="AX17" s="8" t="s">
        <v>969</v>
      </c>
      <c r="AY17" s="8" t="s">
        <v>969</v>
      </c>
      <c r="AZ17" s="8" t="s">
        <v>969</v>
      </c>
      <c r="BA17" s="8" t="s">
        <v>969</v>
      </c>
      <c r="BB17" s="8">
        <v>1854.0</v>
      </c>
      <c r="BC17" s="8">
        <v>1865.0</v>
      </c>
      <c r="BD17" s="8" t="s">
        <v>969</v>
      </c>
      <c r="BE17" s="8" t="s">
        <v>731</v>
      </c>
      <c r="BF17" s="13" t="str">
        <f>HYPERLINK("http://dx.doi.org/10.1111/j.1365-2486.2012.02641.x","http://dx.doi.org/10.1111/j.1365-2486.2012.02641.x")</f>
        <v>http://dx.doi.org/10.1111/j.1365-2486.2012.02641.x</v>
      </c>
      <c r="BG17" s="8" t="s">
        <v>969</v>
      </c>
      <c r="BH17" s="8" t="s">
        <v>969</v>
      </c>
      <c r="BI17" s="8">
        <v>12.0</v>
      </c>
      <c r="BJ17" s="8" t="s">
        <v>987</v>
      </c>
      <c r="BK17" s="8" t="s">
        <v>988</v>
      </c>
      <c r="BL17" s="8" t="s">
        <v>989</v>
      </c>
      <c r="BM17" s="8" t="s">
        <v>2504</v>
      </c>
      <c r="BN17" s="8" t="s">
        <v>969</v>
      </c>
      <c r="BO17" s="8" t="s">
        <v>969</v>
      </c>
      <c r="BP17" s="8" t="s">
        <v>969</v>
      </c>
      <c r="BQ17" s="8" t="s">
        <v>969</v>
      </c>
      <c r="BR17" s="8" t="s">
        <v>3231</v>
      </c>
      <c r="BS17" s="8" t="s">
        <v>2505</v>
      </c>
      <c r="BT17" s="3" t="s">
        <v>3232</v>
      </c>
      <c r="BU17" s="8" t="str">
        <f>HYPERLINK("https%3A%2F%2Fwww.webofscience.com%2Fwos%2Fwoscc%2Ffull-record%2FWOS:000303763600008","View Full Record in Web of Science")</f>
        <v>View Full Record in Web of Science</v>
      </c>
    </row>
    <row r="18" ht="12.75" customHeight="1">
      <c r="A18" s="8" t="s">
        <v>967</v>
      </c>
      <c r="B18" s="8" t="s">
        <v>2463</v>
      </c>
      <c r="C18" s="8" t="s">
        <v>969</v>
      </c>
      <c r="D18" s="8" t="s">
        <v>969</v>
      </c>
      <c r="E18" s="8" t="s">
        <v>969</v>
      </c>
      <c r="F18" s="8" t="s">
        <v>2464</v>
      </c>
      <c r="G18" s="8" t="s">
        <v>969</v>
      </c>
      <c r="H18" s="8" t="s">
        <v>969</v>
      </c>
      <c r="I18" s="8" t="s">
        <v>2465</v>
      </c>
      <c r="J18" s="8" t="s">
        <v>971</v>
      </c>
      <c r="K18" s="8" t="s">
        <v>969</v>
      </c>
      <c r="L18" s="8" t="s">
        <v>969</v>
      </c>
      <c r="M18" s="8" t="s">
        <v>972</v>
      </c>
      <c r="N18" s="8" t="s">
        <v>973</v>
      </c>
      <c r="O18" s="8" t="s">
        <v>969</v>
      </c>
      <c r="P18" s="8" t="s">
        <v>969</v>
      </c>
      <c r="Q18" s="8" t="s">
        <v>969</v>
      </c>
      <c r="R18" s="8" t="s">
        <v>969</v>
      </c>
      <c r="S18" s="8" t="s">
        <v>969</v>
      </c>
      <c r="T18" s="8" t="s">
        <v>2466</v>
      </c>
      <c r="U18" s="8" t="s">
        <v>2467</v>
      </c>
      <c r="V18" s="8" t="s">
        <v>2468</v>
      </c>
      <c r="W18" s="8" t="s">
        <v>2469</v>
      </c>
      <c r="X18" s="8" t="s">
        <v>2470</v>
      </c>
      <c r="Y18" s="8" t="s">
        <v>2471</v>
      </c>
      <c r="Z18" s="8" t="s">
        <v>2472</v>
      </c>
      <c r="AA18" s="8" t="s">
        <v>3249</v>
      </c>
      <c r="AB18" s="8" t="s">
        <v>3192</v>
      </c>
      <c r="AC18" s="8" t="s">
        <v>969</v>
      </c>
      <c r="AD18" s="8" t="s">
        <v>969</v>
      </c>
      <c r="AE18" s="8" t="s">
        <v>969</v>
      </c>
      <c r="AF18" s="8" t="s">
        <v>969</v>
      </c>
      <c r="AG18" s="8">
        <v>75.0</v>
      </c>
      <c r="AH18" s="8">
        <v>114.0</v>
      </c>
      <c r="AI18" s="8">
        <v>127.0</v>
      </c>
      <c r="AJ18" s="8">
        <v>4.0</v>
      </c>
      <c r="AK18" s="8">
        <v>183.0</v>
      </c>
      <c r="AL18" s="8" t="s">
        <v>1091</v>
      </c>
      <c r="AM18" s="8" t="s">
        <v>1092</v>
      </c>
      <c r="AN18" s="8" t="s">
        <v>1093</v>
      </c>
      <c r="AO18" s="8" t="s">
        <v>983</v>
      </c>
      <c r="AP18" s="8" t="s">
        <v>1094</v>
      </c>
      <c r="AQ18" s="8" t="s">
        <v>969</v>
      </c>
      <c r="AR18" s="8" t="s">
        <v>1095</v>
      </c>
      <c r="AS18" s="8" t="s">
        <v>985</v>
      </c>
      <c r="AT18" s="8" t="s">
        <v>1177</v>
      </c>
      <c r="AU18" s="8">
        <v>2012.0</v>
      </c>
      <c r="AV18" s="8">
        <v>18.0</v>
      </c>
      <c r="AW18" s="8">
        <v>5.0</v>
      </c>
      <c r="AX18" s="8" t="s">
        <v>969</v>
      </c>
      <c r="AY18" s="8" t="s">
        <v>969</v>
      </c>
      <c r="AZ18" s="8" t="s">
        <v>969</v>
      </c>
      <c r="BA18" s="8" t="s">
        <v>969</v>
      </c>
      <c r="BB18" s="8">
        <v>1520.0</v>
      </c>
      <c r="BC18" s="8">
        <v>1530.0</v>
      </c>
      <c r="BD18" s="8" t="s">
        <v>969</v>
      </c>
      <c r="BE18" s="8" t="s">
        <v>728</v>
      </c>
      <c r="BF18" s="13" t="str">
        <f>HYPERLINK("http://dx.doi.org/10.1111/j.1365-2486.2011.02623.x","http://dx.doi.org/10.1111/j.1365-2486.2011.02623.x")</f>
        <v>http://dx.doi.org/10.1111/j.1365-2486.2011.02623.x</v>
      </c>
      <c r="BG18" s="8" t="s">
        <v>969</v>
      </c>
      <c r="BH18" s="8" t="s">
        <v>969</v>
      </c>
      <c r="BI18" s="8">
        <v>11.0</v>
      </c>
      <c r="BJ18" s="8" t="s">
        <v>987</v>
      </c>
      <c r="BK18" s="8" t="s">
        <v>988</v>
      </c>
      <c r="BL18" s="8" t="s">
        <v>989</v>
      </c>
      <c r="BM18" s="8" t="s">
        <v>2475</v>
      </c>
      <c r="BN18" s="8" t="s">
        <v>969</v>
      </c>
      <c r="BO18" s="8" t="s">
        <v>969</v>
      </c>
      <c r="BP18" s="8" t="s">
        <v>969</v>
      </c>
      <c r="BQ18" s="8" t="s">
        <v>969</v>
      </c>
      <c r="BR18" s="8" t="s">
        <v>3231</v>
      </c>
      <c r="BS18" s="8" t="s">
        <v>2476</v>
      </c>
      <c r="BT18" s="3" t="s">
        <v>3232</v>
      </c>
      <c r="BU18" s="8" t="str">
        <f>HYPERLINK("https%3A%2F%2Fwww.webofscience.com%2Fwos%2Fwoscc%2Ffull-record%2FWOS:000302543500005","View Full Record in Web of Science")</f>
        <v>View Full Record in Web of Science</v>
      </c>
    </row>
    <row r="19" ht="12.75" customHeight="1">
      <c r="A19" s="8" t="s">
        <v>967</v>
      </c>
      <c r="B19" s="8" t="s">
        <v>2737</v>
      </c>
      <c r="C19" s="8" t="s">
        <v>969</v>
      </c>
      <c r="D19" s="8" t="s">
        <v>969</v>
      </c>
      <c r="E19" s="8" t="s">
        <v>969</v>
      </c>
      <c r="F19" s="8" t="s">
        <v>2738</v>
      </c>
      <c r="G19" s="8" t="s">
        <v>969</v>
      </c>
      <c r="H19" s="8" t="s">
        <v>969</v>
      </c>
      <c r="I19" s="8" t="s">
        <v>2739</v>
      </c>
      <c r="J19" s="8" t="s">
        <v>971</v>
      </c>
      <c r="K19" s="8" t="s">
        <v>969</v>
      </c>
      <c r="L19" s="8" t="s">
        <v>969</v>
      </c>
      <c r="M19" s="8" t="s">
        <v>972</v>
      </c>
      <c r="N19" s="8" t="s">
        <v>973</v>
      </c>
      <c r="O19" s="8" t="s">
        <v>969</v>
      </c>
      <c r="P19" s="8" t="s">
        <v>969</v>
      </c>
      <c r="Q19" s="8" t="s">
        <v>969</v>
      </c>
      <c r="R19" s="8" t="s">
        <v>969</v>
      </c>
      <c r="S19" s="8" t="s">
        <v>969</v>
      </c>
      <c r="T19" s="8" t="s">
        <v>2740</v>
      </c>
      <c r="U19" s="8" t="s">
        <v>2741</v>
      </c>
      <c r="V19" s="8" t="s">
        <v>2742</v>
      </c>
      <c r="W19" s="8" t="s">
        <v>2743</v>
      </c>
      <c r="X19" s="8" t="s">
        <v>2744</v>
      </c>
      <c r="Y19" s="8" t="s">
        <v>2745</v>
      </c>
      <c r="Z19" s="8" t="s">
        <v>2455</v>
      </c>
      <c r="AA19" s="8" t="s">
        <v>3250</v>
      </c>
      <c r="AB19" s="8" t="s">
        <v>3251</v>
      </c>
      <c r="AC19" s="8" t="s">
        <v>3252</v>
      </c>
      <c r="AD19" s="8" t="s">
        <v>3253</v>
      </c>
      <c r="AE19" s="8" t="s">
        <v>2750</v>
      </c>
      <c r="AF19" s="8" t="s">
        <v>969</v>
      </c>
      <c r="AG19" s="8">
        <v>76.0</v>
      </c>
      <c r="AH19" s="8">
        <v>75.0</v>
      </c>
      <c r="AI19" s="8">
        <v>86.0</v>
      </c>
      <c r="AJ19" s="8">
        <v>0.0</v>
      </c>
      <c r="AK19" s="8">
        <v>259.0</v>
      </c>
      <c r="AL19" s="8" t="s">
        <v>1091</v>
      </c>
      <c r="AM19" s="8" t="s">
        <v>1092</v>
      </c>
      <c r="AN19" s="8" t="s">
        <v>1093</v>
      </c>
      <c r="AO19" s="8" t="s">
        <v>983</v>
      </c>
      <c r="AP19" s="8" t="s">
        <v>1094</v>
      </c>
      <c r="AQ19" s="8" t="s">
        <v>969</v>
      </c>
      <c r="AR19" s="8" t="s">
        <v>1095</v>
      </c>
      <c r="AS19" s="8" t="s">
        <v>985</v>
      </c>
      <c r="AT19" s="8" t="s">
        <v>1112</v>
      </c>
      <c r="AU19" s="8">
        <v>2013.0</v>
      </c>
      <c r="AV19" s="8">
        <v>19.0</v>
      </c>
      <c r="AW19" s="8">
        <v>10.0</v>
      </c>
      <c r="AX19" s="8" t="s">
        <v>969</v>
      </c>
      <c r="AY19" s="8" t="s">
        <v>969</v>
      </c>
      <c r="AZ19" s="8" t="s">
        <v>969</v>
      </c>
      <c r="BA19" s="8" t="s">
        <v>969</v>
      </c>
      <c r="BB19" s="8">
        <v>3224.0</v>
      </c>
      <c r="BC19" s="8">
        <v>3237.0</v>
      </c>
      <c r="BD19" s="8" t="s">
        <v>969</v>
      </c>
      <c r="BE19" s="8" t="s">
        <v>671</v>
      </c>
      <c r="BF19" s="13" t="str">
        <f>HYPERLINK("http://dx.doi.org/10.1111/gcb.12289","http://dx.doi.org/10.1111/gcb.12289")</f>
        <v>http://dx.doi.org/10.1111/gcb.12289</v>
      </c>
      <c r="BG19" s="8" t="s">
        <v>969</v>
      </c>
      <c r="BH19" s="8" t="s">
        <v>969</v>
      </c>
      <c r="BI19" s="8">
        <v>14.0</v>
      </c>
      <c r="BJ19" s="8" t="s">
        <v>987</v>
      </c>
      <c r="BK19" s="8" t="s">
        <v>988</v>
      </c>
      <c r="BL19" s="8" t="s">
        <v>989</v>
      </c>
      <c r="BM19" s="8" t="s">
        <v>2751</v>
      </c>
      <c r="BN19" s="8">
        <v>2.3907833E7</v>
      </c>
      <c r="BO19" s="8" t="s">
        <v>1247</v>
      </c>
      <c r="BP19" s="8" t="s">
        <v>969</v>
      </c>
      <c r="BQ19" s="8" t="s">
        <v>969</v>
      </c>
      <c r="BR19" s="8" t="s">
        <v>3231</v>
      </c>
      <c r="BS19" s="8" t="s">
        <v>2752</v>
      </c>
      <c r="BT19" s="3" t="s">
        <v>3232</v>
      </c>
      <c r="BU19" s="8" t="str">
        <f>HYPERLINK("https%3A%2F%2Fwww.webofscience.com%2Fwos%2Fwoscc%2Ffull-record%2FWOS:000323844200027","View Full Record in Web of Science")</f>
        <v>View Full Record in Web of Science</v>
      </c>
    </row>
    <row r="20" ht="12.75" customHeight="1">
      <c r="A20" s="8" t="s">
        <v>967</v>
      </c>
      <c r="B20" s="8" t="s">
        <v>2416</v>
      </c>
      <c r="C20" s="8" t="s">
        <v>969</v>
      </c>
      <c r="D20" s="8" t="s">
        <v>969</v>
      </c>
      <c r="E20" s="8" t="s">
        <v>969</v>
      </c>
      <c r="F20" s="8" t="s">
        <v>2417</v>
      </c>
      <c r="G20" s="8" t="s">
        <v>969</v>
      </c>
      <c r="H20" s="8" t="s">
        <v>969</v>
      </c>
      <c r="I20" s="8" t="s">
        <v>2418</v>
      </c>
      <c r="J20" s="8" t="s">
        <v>1645</v>
      </c>
      <c r="K20" s="8" t="s">
        <v>969</v>
      </c>
      <c r="L20" s="8" t="s">
        <v>969</v>
      </c>
      <c r="M20" s="8" t="s">
        <v>972</v>
      </c>
      <c r="N20" s="8" t="s">
        <v>973</v>
      </c>
      <c r="O20" s="8" t="s">
        <v>969</v>
      </c>
      <c r="P20" s="8" t="s">
        <v>969</v>
      </c>
      <c r="Q20" s="8" t="s">
        <v>969</v>
      </c>
      <c r="R20" s="8" t="s">
        <v>969</v>
      </c>
      <c r="S20" s="8" t="s">
        <v>969</v>
      </c>
      <c r="T20" s="8" t="s">
        <v>2419</v>
      </c>
      <c r="U20" s="8" t="s">
        <v>2420</v>
      </c>
      <c r="V20" s="8" t="s">
        <v>2421</v>
      </c>
      <c r="W20" s="8" t="s">
        <v>2422</v>
      </c>
      <c r="X20" s="8" t="s">
        <v>2423</v>
      </c>
      <c r="Y20" s="8" t="s">
        <v>2424</v>
      </c>
      <c r="Z20" s="8" t="s">
        <v>2425</v>
      </c>
      <c r="AA20" s="8" t="s">
        <v>3039</v>
      </c>
      <c r="AB20" s="8" t="s">
        <v>2427</v>
      </c>
      <c r="AC20" s="8" t="s">
        <v>2428</v>
      </c>
      <c r="AD20" s="8" t="s">
        <v>2428</v>
      </c>
      <c r="AE20" s="8" t="s">
        <v>2429</v>
      </c>
      <c r="AF20" s="8" t="s">
        <v>969</v>
      </c>
      <c r="AG20" s="8">
        <v>60.0</v>
      </c>
      <c r="AH20" s="8">
        <v>76.0</v>
      </c>
      <c r="AI20" s="8">
        <v>82.0</v>
      </c>
      <c r="AJ20" s="8">
        <v>0.0</v>
      </c>
      <c r="AK20" s="8">
        <v>90.0</v>
      </c>
      <c r="AL20" s="8" t="s">
        <v>1609</v>
      </c>
      <c r="AM20" s="8" t="s">
        <v>1032</v>
      </c>
      <c r="AN20" s="8" t="s">
        <v>1210</v>
      </c>
      <c r="AO20" s="8" t="s">
        <v>1653</v>
      </c>
      <c r="AP20" s="8" t="s">
        <v>1654</v>
      </c>
      <c r="AQ20" s="8" t="s">
        <v>969</v>
      </c>
      <c r="AR20" s="8" t="s">
        <v>1655</v>
      </c>
      <c r="AS20" s="8" t="s">
        <v>1656</v>
      </c>
      <c r="AT20" s="8" t="s">
        <v>986</v>
      </c>
      <c r="AU20" s="8">
        <v>2011.0</v>
      </c>
      <c r="AV20" s="8">
        <v>20.0</v>
      </c>
      <c r="AW20" s="8">
        <v>13.0</v>
      </c>
      <c r="AX20" s="8" t="s">
        <v>969</v>
      </c>
      <c r="AY20" s="8" t="s">
        <v>969</v>
      </c>
      <c r="AZ20" s="8" t="s">
        <v>2350</v>
      </c>
      <c r="BA20" s="8" t="s">
        <v>969</v>
      </c>
      <c r="BB20" s="8">
        <v>3133.0</v>
      </c>
      <c r="BC20" s="8">
        <v>3146.0</v>
      </c>
      <c r="BD20" s="8" t="s">
        <v>969</v>
      </c>
      <c r="BE20" s="8" t="s">
        <v>533</v>
      </c>
      <c r="BF20" s="13" t="str">
        <f>HYPERLINK("http://dx.doi.org/10.1007/s10531-011-0140-y","http://dx.doi.org/10.1007/s10531-011-0140-y")</f>
        <v>http://dx.doi.org/10.1007/s10531-011-0140-y</v>
      </c>
      <c r="BG20" s="8" t="s">
        <v>969</v>
      </c>
      <c r="BH20" s="8" t="s">
        <v>969</v>
      </c>
      <c r="BI20" s="8">
        <v>14.0</v>
      </c>
      <c r="BJ20" s="8" t="s">
        <v>987</v>
      </c>
      <c r="BK20" s="8" t="s">
        <v>988</v>
      </c>
      <c r="BL20" s="8" t="s">
        <v>989</v>
      </c>
      <c r="BM20" s="8" t="s">
        <v>2430</v>
      </c>
      <c r="BN20" s="8" t="s">
        <v>969</v>
      </c>
      <c r="BO20" s="8" t="s">
        <v>969</v>
      </c>
      <c r="BP20" s="8" t="s">
        <v>969</v>
      </c>
      <c r="BQ20" s="8" t="s">
        <v>969</v>
      </c>
      <c r="BR20" s="8" t="s">
        <v>3231</v>
      </c>
      <c r="BS20" s="8" t="s">
        <v>2431</v>
      </c>
      <c r="BT20" s="3" t="s">
        <v>3232</v>
      </c>
      <c r="BU20" s="8" t="str">
        <f>HYPERLINK("https%3A%2F%2Fwww.webofscience.com%2Fwos%2Fwoscc%2Ffull-record%2FWOS:000297170900017","View Full Record in Web of Science")</f>
        <v>View Full Record in Web of Science</v>
      </c>
    </row>
    <row r="21" ht="12.75" customHeight="1">
      <c r="A21" s="8" t="s">
        <v>967</v>
      </c>
      <c r="B21" s="8" t="s">
        <v>1536</v>
      </c>
      <c r="C21" s="8" t="s">
        <v>969</v>
      </c>
      <c r="D21" s="8" t="s">
        <v>969</v>
      </c>
      <c r="E21" s="8" t="s">
        <v>969</v>
      </c>
      <c r="F21" s="8" t="s">
        <v>1536</v>
      </c>
      <c r="G21" s="8" t="s">
        <v>969</v>
      </c>
      <c r="H21" s="8" t="s">
        <v>969</v>
      </c>
      <c r="I21" s="8" t="s">
        <v>1537</v>
      </c>
      <c r="J21" s="8" t="s">
        <v>1538</v>
      </c>
      <c r="K21" s="8" t="s">
        <v>969</v>
      </c>
      <c r="L21" s="8" t="s">
        <v>969</v>
      </c>
      <c r="M21" s="8" t="s">
        <v>972</v>
      </c>
      <c r="N21" s="8" t="s">
        <v>973</v>
      </c>
      <c r="O21" s="8" t="s">
        <v>969</v>
      </c>
      <c r="P21" s="8" t="s">
        <v>969</v>
      </c>
      <c r="Q21" s="8" t="s">
        <v>969</v>
      </c>
      <c r="R21" s="8" t="s">
        <v>969</v>
      </c>
      <c r="S21" s="8" t="s">
        <v>969</v>
      </c>
      <c r="T21" s="8" t="s">
        <v>1539</v>
      </c>
      <c r="U21" s="8" t="s">
        <v>1540</v>
      </c>
      <c r="V21" s="8" t="s">
        <v>1541</v>
      </c>
      <c r="W21" s="8" t="s">
        <v>1542</v>
      </c>
      <c r="X21" s="8" t="s">
        <v>1543</v>
      </c>
      <c r="Y21" s="8" t="s">
        <v>1544</v>
      </c>
      <c r="Z21" s="8" t="s">
        <v>1545</v>
      </c>
      <c r="AA21" s="8" t="s">
        <v>3226</v>
      </c>
      <c r="AB21" s="8" t="s">
        <v>3227</v>
      </c>
      <c r="AC21" s="8" t="s">
        <v>969</v>
      </c>
      <c r="AD21" s="8" t="s">
        <v>969</v>
      </c>
      <c r="AE21" s="8" t="s">
        <v>969</v>
      </c>
      <c r="AF21" s="8" t="s">
        <v>969</v>
      </c>
      <c r="AG21" s="8">
        <v>34.0</v>
      </c>
      <c r="AH21" s="8">
        <v>635.0</v>
      </c>
      <c r="AI21" s="8">
        <v>754.0</v>
      </c>
      <c r="AJ21" s="8">
        <v>6.0</v>
      </c>
      <c r="AK21" s="8">
        <v>610.0</v>
      </c>
      <c r="AL21" s="8" t="s">
        <v>1091</v>
      </c>
      <c r="AM21" s="8" t="s">
        <v>1092</v>
      </c>
      <c r="AN21" s="8" t="s">
        <v>1093</v>
      </c>
      <c r="AO21" s="8" t="s">
        <v>1548</v>
      </c>
      <c r="AP21" s="8" t="s">
        <v>1549</v>
      </c>
      <c r="AQ21" s="8" t="s">
        <v>969</v>
      </c>
      <c r="AR21" s="8" t="s">
        <v>1550</v>
      </c>
      <c r="AS21" s="8" t="s">
        <v>1551</v>
      </c>
      <c r="AT21" s="8" t="s">
        <v>1552</v>
      </c>
      <c r="AU21" s="8">
        <v>2006.0</v>
      </c>
      <c r="AV21" s="8">
        <v>20.0</v>
      </c>
      <c r="AW21" s="8">
        <v>2.0</v>
      </c>
      <c r="AX21" s="8" t="s">
        <v>969</v>
      </c>
      <c r="AY21" s="8" t="s">
        <v>969</v>
      </c>
      <c r="AZ21" s="8" t="s">
        <v>969</v>
      </c>
      <c r="BA21" s="8" t="s">
        <v>969</v>
      </c>
      <c r="BB21" s="8">
        <v>538.0</v>
      </c>
      <c r="BC21" s="8">
        <v>548.0</v>
      </c>
      <c r="BD21" s="8" t="s">
        <v>969</v>
      </c>
      <c r="BE21" s="8" t="s">
        <v>770</v>
      </c>
      <c r="BF21" s="13" t="str">
        <f>HYPERLINK("http://dx.doi.org/10.1111/j.1523-1739.2006.00364.x","http://dx.doi.org/10.1111/j.1523-1739.2006.00364.x")</f>
        <v>http://dx.doi.org/10.1111/j.1523-1739.2006.00364.x</v>
      </c>
      <c r="BG21" s="8" t="s">
        <v>969</v>
      </c>
      <c r="BH21" s="8" t="s">
        <v>969</v>
      </c>
      <c r="BI21" s="8">
        <v>11.0</v>
      </c>
      <c r="BJ21" s="8" t="s">
        <v>987</v>
      </c>
      <c r="BK21" s="8" t="s">
        <v>988</v>
      </c>
      <c r="BL21" s="8" t="s">
        <v>989</v>
      </c>
      <c r="BM21" s="8" t="s">
        <v>1553</v>
      </c>
      <c r="BN21" s="8">
        <v>1.6903114E7</v>
      </c>
      <c r="BO21" s="8" t="s">
        <v>969</v>
      </c>
      <c r="BP21" s="8" t="s">
        <v>969</v>
      </c>
      <c r="BQ21" s="8" t="s">
        <v>969</v>
      </c>
      <c r="BR21" s="8" t="s">
        <v>3231</v>
      </c>
      <c r="BS21" s="8" t="s">
        <v>1554</v>
      </c>
      <c r="BT21" s="3" t="s">
        <v>3232</v>
      </c>
      <c r="BU21" s="8" t="str">
        <f>HYPERLINK("https%3A%2F%2Fwww.webofscience.com%2Fwos%2Fwoscc%2Ffull-record%2FWOS:000236064200031","View Full Record in Web of Science")</f>
        <v>View Full Record in Web of Science</v>
      </c>
    </row>
    <row r="22" ht="12.75" customHeight="1">
      <c r="A22" s="8" t="s">
        <v>967</v>
      </c>
      <c r="B22" s="8" t="s">
        <v>2306</v>
      </c>
      <c r="C22" s="8" t="s">
        <v>969</v>
      </c>
      <c r="D22" s="8" t="s">
        <v>969</v>
      </c>
      <c r="E22" s="8" t="s">
        <v>969</v>
      </c>
      <c r="F22" s="8" t="s">
        <v>2307</v>
      </c>
      <c r="G22" s="8" t="s">
        <v>969</v>
      </c>
      <c r="H22" s="8" t="s">
        <v>969</v>
      </c>
      <c r="I22" s="8" t="s">
        <v>2308</v>
      </c>
      <c r="J22" s="8" t="s">
        <v>2309</v>
      </c>
      <c r="K22" s="8" t="s">
        <v>969</v>
      </c>
      <c r="L22" s="8" t="s">
        <v>969</v>
      </c>
      <c r="M22" s="8" t="s">
        <v>972</v>
      </c>
      <c r="N22" s="8" t="s">
        <v>973</v>
      </c>
      <c r="O22" s="8" t="s">
        <v>969</v>
      </c>
      <c r="P22" s="8" t="s">
        <v>969</v>
      </c>
      <c r="Q22" s="8" t="s">
        <v>969</v>
      </c>
      <c r="R22" s="8" t="s">
        <v>969</v>
      </c>
      <c r="S22" s="8" t="s">
        <v>969</v>
      </c>
      <c r="T22" s="8" t="s">
        <v>2310</v>
      </c>
      <c r="U22" s="8" t="s">
        <v>2311</v>
      </c>
      <c r="V22" s="8" t="s">
        <v>2312</v>
      </c>
      <c r="W22" s="8" t="s">
        <v>2313</v>
      </c>
      <c r="X22" s="8" t="s">
        <v>2423</v>
      </c>
      <c r="Y22" s="8" t="s">
        <v>2315</v>
      </c>
      <c r="Z22" s="8" t="s">
        <v>2316</v>
      </c>
      <c r="AA22" s="8" t="s">
        <v>3254</v>
      </c>
      <c r="AB22" s="8" t="s">
        <v>2318</v>
      </c>
      <c r="AC22" s="8" t="s">
        <v>2319</v>
      </c>
      <c r="AD22" s="8" t="s">
        <v>2319</v>
      </c>
      <c r="AE22" s="8" t="s">
        <v>2320</v>
      </c>
      <c r="AF22" s="8" t="s">
        <v>969</v>
      </c>
      <c r="AG22" s="8">
        <v>43.0</v>
      </c>
      <c r="AH22" s="8">
        <v>165.0</v>
      </c>
      <c r="AI22" s="8">
        <v>187.0</v>
      </c>
      <c r="AJ22" s="8">
        <v>1.0</v>
      </c>
      <c r="AK22" s="8">
        <v>150.0</v>
      </c>
      <c r="AL22" s="8" t="s">
        <v>1091</v>
      </c>
      <c r="AM22" s="8" t="s">
        <v>1092</v>
      </c>
      <c r="AN22" s="8" t="s">
        <v>1093</v>
      </c>
      <c r="AO22" s="8" t="s">
        <v>2321</v>
      </c>
      <c r="AP22" s="8" t="s">
        <v>2322</v>
      </c>
      <c r="AQ22" s="8" t="s">
        <v>969</v>
      </c>
      <c r="AR22" s="8" t="s">
        <v>2323</v>
      </c>
      <c r="AS22" s="8" t="s">
        <v>2324</v>
      </c>
      <c r="AT22" s="8" t="s">
        <v>1112</v>
      </c>
      <c r="AU22" s="8">
        <v>2011.0</v>
      </c>
      <c r="AV22" s="8">
        <v>56.0</v>
      </c>
      <c r="AW22" s="8">
        <v>10.0</v>
      </c>
      <c r="AX22" s="8" t="s">
        <v>969</v>
      </c>
      <c r="AY22" s="8" t="s">
        <v>969</v>
      </c>
      <c r="AZ22" s="8" t="s">
        <v>969</v>
      </c>
      <c r="BA22" s="8" t="s">
        <v>969</v>
      </c>
      <c r="BB22" s="8">
        <v>2009.0</v>
      </c>
      <c r="BC22" s="8">
        <v>2020.0</v>
      </c>
      <c r="BD22" s="8" t="s">
        <v>969</v>
      </c>
      <c r="BE22" s="8" t="s">
        <v>680</v>
      </c>
      <c r="BF22" s="13" t="str">
        <f>HYPERLINK("http://dx.doi.org/10.1111/j.1365-2427.2011.02631.x","http://dx.doi.org/10.1111/j.1365-2427.2011.02631.x")</f>
        <v>http://dx.doi.org/10.1111/j.1365-2427.2011.02631.x</v>
      </c>
      <c r="BG22" s="8" t="s">
        <v>969</v>
      </c>
      <c r="BH22" s="8" t="s">
        <v>969</v>
      </c>
      <c r="BI22" s="8">
        <v>12.0</v>
      </c>
      <c r="BJ22" s="8" t="s">
        <v>2325</v>
      </c>
      <c r="BK22" s="8" t="s">
        <v>988</v>
      </c>
      <c r="BL22" s="8" t="s">
        <v>2111</v>
      </c>
      <c r="BM22" s="8" t="s">
        <v>2326</v>
      </c>
      <c r="BN22" s="8" t="s">
        <v>969</v>
      </c>
      <c r="BO22" s="8" t="s">
        <v>969</v>
      </c>
      <c r="BP22" s="8" t="s">
        <v>969</v>
      </c>
      <c r="BQ22" s="8" t="s">
        <v>969</v>
      </c>
      <c r="BR22" s="8" t="s">
        <v>3231</v>
      </c>
      <c r="BS22" s="8" t="s">
        <v>2327</v>
      </c>
      <c r="BT22" s="3" t="s">
        <v>3232</v>
      </c>
      <c r="BU22" s="8" t="str">
        <f>HYPERLINK("https%3A%2F%2Fwww.webofscience.com%2Fwos%2Fwoscc%2Ffull-record%2FWOS:000295013800006","View Full Record in Web of Science")</f>
        <v>View Full Record in Web of Science</v>
      </c>
    </row>
    <row r="23" ht="12.75" customHeight="1">
      <c r="A23" s="8" t="s">
        <v>967</v>
      </c>
      <c r="B23" s="8" t="s">
        <v>1443</v>
      </c>
      <c r="C23" s="8" t="s">
        <v>969</v>
      </c>
      <c r="D23" s="8" t="s">
        <v>969</v>
      </c>
      <c r="E23" s="8" t="s">
        <v>969</v>
      </c>
      <c r="F23" s="8" t="s">
        <v>1443</v>
      </c>
      <c r="G23" s="8" t="s">
        <v>969</v>
      </c>
      <c r="H23" s="8" t="s">
        <v>969</v>
      </c>
      <c r="I23" s="8" t="s">
        <v>1444</v>
      </c>
      <c r="J23" s="8" t="s">
        <v>1445</v>
      </c>
      <c r="K23" s="8" t="s">
        <v>969</v>
      </c>
      <c r="L23" s="8" t="s">
        <v>969</v>
      </c>
      <c r="M23" s="8" t="s">
        <v>972</v>
      </c>
      <c r="N23" s="8" t="s">
        <v>973</v>
      </c>
      <c r="O23" s="8" t="s">
        <v>969</v>
      </c>
      <c r="P23" s="8" t="s">
        <v>969</v>
      </c>
      <c r="Q23" s="8" t="s">
        <v>969</v>
      </c>
      <c r="R23" s="8" t="s">
        <v>969</v>
      </c>
      <c r="S23" s="8" t="s">
        <v>969</v>
      </c>
      <c r="T23" s="8" t="s">
        <v>1446</v>
      </c>
      <c r="U23" s="8" t="s">
        <v>1447</v>
      </c>
      <c r="V23" s="8" t="s">
        <v>1448</v>
      </c>
      <c r="W23" s="8" t="s">
        <v>1449</v>
      </c>
      <c r="X23" s="8" t="s">
        <v>1450</v>
      </c>
      <c r="Y23" s="8" t="s">
        <v>1451</v>
      </c>
      <c r="Z23" s="8" t="s">
        <v>969</v>
      </c>
      <c r="AA23" s="8" t="s">
        <v>969</v>
      </c>
      <c r="AB23" s="8" t="s">
        <v>1452</v>
      </c>
      <c r="AC23" s="8" t="s">
        <v>969</v>
      </c>
      <c r="AD23" s="8" t="s">
        <v>969</v>
      </c>
      <c r="AE23" s="8" t="s">
        <v>969</v>
      </c>
      <c r="AF23" s="8" t="s">
        <v>969</v>
      </c>
      <c r="AG23" s="8">
        <v>66.0</v>
      </c>
      <c r="AH23" s="8">
        <v>95.0</v>
      </c>
      <c r="AI23" s="8">
        <v>118.0</v>
      </c>
      <c r="AJ23" s="8">
        <v>2.0</v>
      </c>
      <c r="AK23" s="8">
        <v>45.0</v>
      </c>
      <c r="AL23" s="8" t="s">
        <v>1453</v>
      </c>
      <c r="AM23" s="8" t="s">
        <v>1454</v>
      </c>
      <c r="AN23" s="8" t="s">
        <v>1455</v>
      </c>
      <c r="AO23" s="8" t="s">
        <v>1456</v>
      </c>
      <c r="AP23" s="8" t="s">
        <v>1457</v>
      </c>
      <c r="AQ23" s="8" t="s">
        <v>969</v>
      </c>
      <c r="AR23" s="8" t="s">
        <v>1458</v>
      </c>
      <c r="AS23" s="8" t="s">
        <v>1459</v>
      </c>
      <c r="AT23" s="8" t="s">
        <v>969</v>
      </c>
      <c r="AU23" s="8">
        <v>2005.0</v>
      </c>
      <c r="AV23" s="8">
        <v>92.0</v>
      </c>
      <c r="AW23" s="8">
        <v>2.0</v>
      </c>
      <c r="AX23" s="8" t="s">
        <v>969</v>
      </c>
      <c r="AY23" s="8" t="s">
        <v>969</v>
      </c>
      <c r="AZ23" s="8" t="s">
        <v>969</v>
      </c>
      <c r="BA23" s="8" t="s">
        <v>969</v>
      </c>
      <c r="BB23" s="8">
        <v>139.0</v>
      </c>
      <c r="BC23" s="8">
        <v>152.0</v>
      </c>
      <c r="BD23" s="8" t="s">
        <v>969</v>
      </c>
      <c r="BE23" s="8" t="s">
        <v>969</v>
      </c>
      <c r="BF23" s="8" t="s">
        <v>969</v>
      </c>
      <c r="BG23" s="8" t="s">
        <v>969</v>
      </c>
      <c r="BH23" s="8" t="s">
        <v>969</v>
      </c>
      <c r="BI23" s="8">
        <v>14.0</v>
      </c>
      <c r="BJ23" s="8" t="s">
        <v>1460</v>
      </c>
      <c r="BK23" s="8" t="s">
        <v>988</v>
      </c>
      <c r="BL23" s="8" t="s">
        <v>1460</v>
      </c>
      <c r="BM23" s="8" t="s">
        <v>1461</v>
      </c>
      <c r="BN23" s="8" t="s">
        <v>969</v>
      </c>
      <c r="BO23" s="8" t="s">
        <v>969</v>
      </c>
      <c r="BP23" s="8" t="s">
        <v>969</v>
      </c>
      <c r="BQ23" s="8" t="s">
        <v>969</v>
      </c>
      <c r="BR23" s="8" t="s">
        <v>3231</v>
      </c>
      <c r="BS23" s="8" t="s">
        <v>1462</v>
      </c>
      <c r="BT23" s="3" t="s">
        <v>3232</v>
      </c>
      <c r="BU23" s="8" t="str">
        <f>HYPERLINK("https%3A%2F%2Fwww.webofscience.com%2Fwos%2Fwoscc%2Ffull-record%2FWOS:000230948700001","View Full Record in Web of Science")</f>
        <v>View Full Record in Web of Science</v>
      </c>
    </row>
    <row r="24" ht="12.75" customHeight="1">
      <c r="A24" s="8" t="s">
        <v>967</v>
      </c>
      <c r="B24" s="8" t="s">
        <v>1782</v>
      </c>
      <c r="C24" s="8" t="s">
        <v>969</v>
      </c>
      <c r="D24" s="8" t="s">
        <v>969</v>
      </c>
      <c r="E24" s="8" t="s">
        <v>969</v>
      </c>
      <c r="F24" s="8" t="s">
        <v>1783</v>
      </c>
      <c r="G24" s="8" t="s">
        <v>969</v>
      </c>
      <c r="H24" s="8" t="s">
        <v>969</v>
      </c>
      <c r="I24" s="8" t="s">
        <v>1784</v>
      </c>
      <c r="J24" s="8" t="s">
        <v>971</v>
      </c>
      <c r="K24" s="8" t="s">
        <v>969</v>
      </c>
      <c r="L24" s="8" t="s">
        <v>969</v>
      </c>
      <c r="M24" s="8" t="s">
        <v>972</v>
      </c>
      <c r="N24" s="8" t="s">
        <v>973</v>
      </c>
      <c r="O24" s="8" t="s">
        <v>969</v>
      </c>
      <c r="P24" s="8" t="s">
        <v>969</v>
      </c>
      <c r="Q24" s="8" t="s">
        <v>969</v>
      </c>
      <c r="R24" s="8" t="s">
        <v>969</v>
      </c>
      <c r="S24" s="8" t="s">
        <v>969</v>
      </c>
      <c r="T24" s="8" t="s">
        <v>1785</v>
      </c>
      <c r="U24" s="8" t="s">
        <v>1786</v>
      </c>
      <c r="V24" s="8" t="s">
        <v>1787</v>
      </c>
      <c r="W24" s="8" t="s">
        <v>1788</v>
      </c>
      <c r="X24" s="8" t="s">
        <v>1789</v>
      </c>
      <c r="Y24" s="8" t="s">
        <v>1790</v>
      </c>
      <c r="Z24" s="8" t="s">
        <v>1791</v>
      </c>
      <c r="AA24" s="8" t="s">
        <v>3255</v>
      </c>
      <c r="AB24" s="8" t="s">
        <v>1793</v>
      </c>
      <c r="AC24" s="8" t="s">
        <v>969</v>
      </c>
      <c r="AD24" s="8" t="s">
        <v>969</v>
      </c>
      <c r="AE24" s="8" t="s">
        <v>969</v>
      </c>
      <c r="AF24" s="8" t="s">
        <v>969</v>
      </c>
      <c r="AG24" s="8">
        <v>49.0</v>
      </c>
      <c r="AH24" s="8">
        <v>136.0</v>
      </c>
      <c r="AI24" s="8">
        <v>155.0</v>
      </c>
      <c r="AJ24" s="8">
        <v>2.0</v>
      </c>
      <c r="AK24" s="8">
        <v>54.0</v>
      </c>
      <c r="AL24" s="8" t="s">
        <v>1091</v>
      </c>
      <c r="AM24" s="8" t="s">
        <v>1092</v>
      </c>
      <c r="AN24" s="8" t="s">
        <v>1093</v>
      </c>
      <c r="AO24" s="8" t="s">
        <v>983</v>
      </c>
      <c r="AP24" s="8" t="s">
        <v>1094</v>
      </c>
      <c r="AQ24" s="8" t="s">
        <v>969</v>
      </c>
      <c r="AR24" s="8" t="s">
        <v>1095</v>
      </c>
      <c r="AS24" s="8" t="s">
        <v>985</v>
      </c>
      <c r="AT24" s="8" t="s">
        <v>1055</v>
      </c>
      <c r="AU24" s="8">
        <v>2008.0</v>
      </c>
      <c r="AV24" s="8">
        <v>14.0</v>
      </c>
      <c r="AW24" s="8">
        <v>3.0</v>
      </c>
      <c r="AX24" s="8" t="s">
        <v>969</v>
      </c>
      <c r="AY24" s="8" t="s">
        <v>969</v>
      </c>
      <c r="AZ24" s="8" t="s">
        <v>969</v>
      </c>
      <c r="BA24" s="8" t="s">
        <v>969</v>
      </c>
      <c r="BB24" s="8">
        <v>483.0</v>
      </c>
      <c r="BC24" s="8">
        <v>494.0</v>
      </c>
      <c r="BD24" s="8" t="s">
        <v>969</v>
      </c>
      <c r="BE24" s="8" t="s">
        <v>701</v>
      </c>
      <c r="BF24" s="13" t="str">
        <f>HYPERLINK("http://dx.doi.org/10.1111/j.1365-2486.2007.01527.x","http://dx.doi.org/10.1111/j.1365-2486.2007.01527.x")</f>
        <v>http://dx.doi.org/10.1111/j.1365-2486.2007.01527.x</v>
      </c>
      <c r="BG24" s="8" t="s">
        <v>969</v>
      </c>
      <c r="BH24" s="8" t="s">
        <v>969</v>
      </c>
      <c r="BI24" s="8">
        <v>12.0</v>
      </c>
      <c r="BJ24" s="8" t="s">
        <v>987</v>
      </c>
      <c r="BK24" s="8" t="s">
        <v>988</v>
      </c>
      <c r="BL24" s="8" t="s">
        <v>989</v>
      </c>
      <c r="BM24" s="8" t="s">
        <v>1794</v>
      </c>
      <c r="BN24" s="8" t="s">
        <v>969</v>
      </c>
      <c r="BO24" s="8" t="s">
        <v>969</v>
      </c>
      <c r="BP24" s="8" t="s">
        <v>969</v>
      </c>
      <c r="BQ24" s="8" t="s">
        <v>969</v>
      </c>
      <c r="BR24" s="8" t="s">
        <v>3231</v>
      </c>
      <c r="BS24" s="8" t="s">
        <v>1795</v>
      </c>
      <c r="BT24" s="3" t="s">
        <v>3232</v>
      </c>
      <c r="BU24" s="8" t="str">
        <f>HYPERLINK("https%3A%2F%2Fwww.webofscience.com%2Fwos%2Fwoscc%2Ffull-record%2FWOS:000252929900004","View Full Record in Web of Science")</f>
        <v>View Full Record in Web of Science</v>
      </c>
    </row>
    <row r="25" ht="12.75" customHeight="1">
      <c r="A25" s="8" t="s">
        <v>967</v>
      </c>
      <c r="B25" s="8" t="s">
        <v>1425</v>
      </c>
      <c r="C25" s="8" t="s">
        <v>969</v>
      </c>
      <c r="D25" s="8" t="s">
        <v>969</v>
      </c>
      <c r="E25" s="8" t="s">
        <v>969</v>
      </c>
      <c r="F25" s="8" t="s">
        <v>1425</v>
      </c>
      <c r="G25" s="8" t="s">
        <v>969</v>
      </c>
      <c r="H25" s="8" t="s">
        <v>969</v>
      </c>
      <c r="I25" s="8" t="s">
        <v>1426</v>
      </c>
      <c r="J25" s="8" t="s">
        <v>1427</v>
      </c>
      <c r="K25" s="8" t="s">
        <v>969</v>
      </c>
      <c r="L25" s="8" t="s">
        <v>969</v>
      </c>
      <c r="M25" s="8" t="s">
        <v>972</v>
      </c>
      <c r="N25" s="8" t="s">
        <v>973</v>
      </c>
      <c r="O25" s="8" t="s">
        <v>969</v>
      </c>
      <c r="P25" s="8" t="s">
        <v>969</v>
      </c>
      <c r="Q25" s="8" t="s">
        <v>969</v>
      </c>
      <c r="R25" s="8" t="s">
        <v>969</v>
      </c>
      <c r="S25" s="8" t="s">
        <v>969</v>
      </c>
      <c r="T25" s="8" t="s">
        <v>1428</v>
      </c>
      <c r="U25" s="8" t="s">
        <v>1429</v>
      </c>
      <c r="V25" s="8" t="s">
        <v>1430</v>
      </c>
      <c r="W25" s="8" t="s">
        <v>1431</v>
      </c>
      <c r="X25" s="8" t="s">
        <v>1432</v>
      </c>
      <c r="Y25" s="8" t="s">
        <v>1433</v>
      </c>
      <c r="Z25" s="8" t="s">
        <v>1434</v>
      </c>
      <c r="AA25" s="8" t="s">
        <v>3256</v>
      </c>
      <c r="AB25" s="8" t="s">
        <v>3174</v>
      </c>
      <c r="AC25" s="8" t="s">
        <v>969</v>
      </c>
      <c r="AD25" s="8" t="s">
        <v>969</v>
      </c>
      <c r="AE25" s="8" t="s">
        <v>969</v>
      </c>
      <c r="AF25" s="8" t="s">
        <v>969</v>
      </c>
      <c r="AG25" s="8">
        <v>43.0</v>
      </c>
      <c r="AH25" s="8">
        <v>198.0</v>
      </c>
      <c r="AI25" s="8">
        <v>246.0</v>
      </c>
      <c r="AJ25" s="8">
        <v>2.0</v>
      </c>
      <c r="AK25" s="8">
        <v>182.0</v>
      </c>
      <c r="AL25" s="8" t="s">
        <v>1010</v>
      </c>
      <c r="AM25" s="8" t="s">
        <v>1011</v>
      </c>
      <c r="AN25" s="8" t="s">
        <v>1012</v>
      </c>
      <c r="AO25" s="8" t="s">
        <v>1437</v>
      </c>
      <c r="AP25" s="8" t="s">
        <v>969</v>
      </c>
      <c r="AQ25" s="8" t="s">
        <v>969</v>
      </c>
      <c r="AR25" s="8" t="s">
        <v>1438</v>
      </c>
      <c r="AS25" s="8" t="s">
        <v>1439</v>
      </c>
      <c r="AT25" s="8" t="s">
        <v>1096</v>
      </c>
      <c r="AU25" s="8">
        <v>2005.0</v>
      </c>
      <c r="AV25" s="8">
        <v>11.0</v>
      </c>
      <c r="AW25" s="8">
        <v>4.0</v>
      </c>
      <c r="AX25" s="8" t="s">
        <v>969</v>
      </c>
      <c r="AY25" s="8" t="s">
        <v>969</v>
      </c>
      <c r="AZ25" s="8" t="s">
        <v>969</v>
      </c>
      <c r="BA25" s="8" t="s">
        <v>969</v>
      </c>
      <c r="BB25" s="8">
        <v>299.0</v>
      </c>
      <c r="BC25" s="8">
        <v>310.0</v>
      </c>
      <c r="BD25" s="8" t="s">
        <v>969</v>
      </c>
      <c r="BE25" s="8" t="s">
        <v>737</v>
      </c>
      <c r="BF25" s="13" t="str">
        <f>HYPERLINK("http://dx.doi.org/10.1111/j.1366-9516.2005.00153.x","http://dx.doi.org/10.1111/j.1366-9516.2005.00153.x")</f>
        <v>http://dx.doi.org/10.1111/j.1366-9516.2005.00153.x</v>
      </c>
      <c r="BG25" s="8" t="s">
        <v>969</v>
      </c>
      <c r="BH25" s="8" t="s">
        <v>969</v>
      </c>
      <c r="BI25" s="8">
        <v>12.0</v>
      </c>
      <c r="BJ25" s="8" t="s">
        <v>1286</v>
      </c>
      <c r="BK25" s="8" t="s">
        <v>988</v>
      </c>
      <c r="BL25" s="8" t="s">
        <v>989</v>
      </c>
      <c r="BM25" s="8" t="s">
        <v>1440</v>
      </c>
      <c r="BN25" s="8" t="s">
        <v>969</v>
      </c>
      <c r="BO25" s="8" t="s">
        <v>1441</v>
      </c>
      <c r="BP25" s="8" t="s">
        <v>969</v>
      </c>
      <c r="BQ25" s="8" t="s">
        <v>969</v>
      </c>
      <c r="BR25" s="8" t="s">
        <v>3231</v>
      </c>
      <c r="BS25" s="8" t="s">
        <v>1442</v>
      </c>
      <c r="BT25" s="3" t="s">
        <v>3232</v>
      </c>
      <c r="BU25" s="8" t="str">
        <f>HYPERLINK("https%3A%2F%2Fwww.webofscience.com%2Fwos%2Fwoscc%2Ffull-record%2FWOS:000230784400004","View Full Record in Web of Science")</f>
        <v>View Full Record in Web of Science</v>
      </c>
    </row>
    <row r="26" ht="12.75" customHeight="1">
      <c r="A26" s="8" t="s">
        <v>967</v>
      </c>
      <c r="B26" s="8" t="s">
        <v>2822</v>
      </c>
      <c r="C26" s="8" t="s">
        <v>969</v>
      </c>
      <c r="D26" s="8" t="s">
        <v>969</v>
      </c>
      <c r="E26" s="8" t="s">
        <v>969</v>
      </c>
      <c r="F26" s="8" t="s">
        <v>2822</v>
      </c>
      <c r="G26" s="8" t="s">
        <v>969</v>
      </c>
      <c r="H26" s="8" t="s">
        <v>969</v>
      </c>
      <c r="I26" s="8" t="s">
        <v>2823</v>
      </c>
      <c r="J26" s="8" t="s">
        <v>1538</v>
      </c>
      <c r="K26" s="8" t="s">
        <v>969</v>
      </c>
      <c r="L26" s="8" t="s">
        <v>969</v>
      </c>
      <c r="M26" s="8" t="s">
        <v>972</v>
      </c>
      <c r="N26" s="8" t="s">
        <v>973</v>
      </c>
      <c r="O26" s="8" t="s">
        <v>969</v>
      </c>
      <c r="P26" s="8" t="s">
        <v>969</v>
      </c>
      <c r="Q26" s="8" t="s">
        <v>969</v>
      </c>
      <c r="R26" s="8" t="s">
        <v>969</v>
      </c>
      <c r="S26" s="8" t="s">
        <v>969</v>
      </c>
      <c r="T26" s="8" t="s">
        <v>969</v>
      </c>
      <c r="U26" s="8" t="s">
        <v>969</v>
      </c>
      <c r="V26" s="8" t="s">
        <v>2824</v>
      </c>
      <c r="W26" s="8" t="s">
        <v>2825</v>
      </c>
      <c r="X26" s="8" t="s">
        <v>2826</v>
      </c>
      <c r="Y26" s="8" t="s">
        <v>969</v>
      </c>
      <c r="Z26" s="8" t="s">
        <v>969</v>
      </c>
      <c r="AA26" s="8" t="s">
        <v>969</v>
      </c>
      <c r="AB26" s="8" t="s">
        <v>969</v>
      </c>
      <c r="AC26" s="8" t="s">
        <v>969</v>
      </c>
      <c r="AD26" s="8" t="s">
        <v>969</v>
      </c>
      <c r="AE26" s="8" t="s">
        <v>969</v>
      </c>
      <c r="AF26" s="8" t="s">
        <v>969</v>
      </c>
      <c r="AG26" s="8">
        <v>0.0</v>
      </c>
      <c r="AH26" s="8">
        <v>173.0</v>
      </c>
      <c r="AI26" s="8">
        <v>185.0</v>
      </c>
      <c r="AJ26" s="8">
        <v>0.0</v>
      </c>
      <c r="AK26" s="8">
        <v>65.0</v>
      </c>
      <c r="AL26" s="8" t="s">
        <v>2827</v>
      </c>
      <c r="AM26" s="8" t="s">
        <v>1011</v>
      </c>
      <c r="AN26" s="8" t="s">
        <v>2828</v>
      </c>
      <c r="AO26" s="8" t="s">
        <v>1548</v>
      </c>
      <c r="AP26" s="8" t="s">
        <v>969</v>
      </c>
      <c r="AQ26" s="8" t="s">
        <v>969</v>
      </c>
      <c r="AR26" s="8" t="s">
        <v>1550</v>
      </c>
      <c r="AS26" s="8" t="s">
        <v>1551</v>
      </c>
      <c r="AT26" s="8" t="s">
        <v>1300</v>
      </c>
      <c r="AU26" s="8">
        <v>1992.0</v>
      </c>
      <c r="AV26" s="8">
        <v>6.0</v>
      </c>
      <c r="AW26" s="8">
        <v>3.0</v>
      </c>
      <c r="AX26" s="8" t="s">
        <v>969</v>
      </c>
      <c r="AY26" s="8" t="s">
        <v>969</v>
      </c>
      <c r="AZ26" s="8" t="s">
        <v>969</v>
      </c>
      <c r="BA26" s="8" t="s">
        <v>969</v>
      </c>
      <c r="BB26" s="8">
        <v>409.0</v>
      </c>
      <c r="BC26" s="8">
        <v>415.0</v>
      </c>
      <c r="BD26" s="8" t="s">
        <v>969</v>
      </c>
      <c r="BE26" s="8" t="s">
        <v>629</v>
      </c>
      <c r="BF26" s="13" t="str">
        <f>HYPERLINK("http://dx.doi.org/10.1046/j.1523-1739.1992.06030409.x","http://dx.doi.org/10.1046/j.1523-1739.1992.06030409.x")</f>
        <v>http://dx.doi.org/10.1046/j.1523-1739.1992.06030409.x</v>
      </c>
      <c r="BG26" s="8" t="s">
        <v>969</v>
      </c>
      <c r="BH26" s="8" t="s">
        <v>969</v>
      </c>
      <c r="BI26" s="8">
        <v>7.0</v>
      </c>
      <c r="BJ26" s="8" t="s">
        <v>987</v>
      </c>
      <c r="BK26" s="8" t="s">
        <v>988</v>
      </c>
      <c r="BL26" s="8" t="s">
        <v>989</v>
      </c>
      <c r="BM26" s="8" t="s">
        <v>2829</v>
      </c>
      <c r="BN26" s="8" t="s">
        <v>969</v>
      </c>
      <c r="BO26" s="8" t="s">
        <v>969</v>
      </c>
      <c r="BP26" s="8" t="s">
        <v>969</v>
      </c>
      <c r="BQ26" s="8" t="s">
        <v>969</v>
      </c>
      <c r="BR26" s="8" t="s">
        <v>3231</v>
      </c>
      <c r="BS26" s="8" t="s">
        <v>2830</v>
      </c>
      <c r="BT26" s="3" t="s">
        <v>3232</v>
      </c>
      <c r="BU26" s="8" t="str">
        <f>HYPERLINK("https%3A%2F%2Fwww.webofscience.com%2Fwos%2Fwoscc%2Ffull-record%2FWOS:A1992JM32200013","View Full Record in Web of Science")</f>
        <v>View Full Record in Web of Science</v>
      </c>
    </row>
    <row r="27" ht="12.75" customHeight="1">
      <c r="A27" s="8" t="s">
        <v>967</v>
      </c>
      <c r="B27" s="8" t="s">
        <v>1703</v>
      </c>
      <c r="C27" s="8" t="s">
        <v>969</v>
      </c>
      <c r="D27" s="8" t="s">
        <v>969</v>
      </c>
      <c r="E27" s="8" t="s">
        <v>969</v>
      </c>
      <c r="F27" s="8" t="s">
        <v>1704</v>
      </c>
      <c r="G27" s="8" t="s">
        <v>969</v>
      </c>
      <c r="H27" s="8" t="s">
        <v>969</v>
      </c>
      <c r="I27" s="8" t="s">
        <v>1705</v>
      </c>
      <c r="J27" s="8" t="s">
        <v>1645</v>
      </c>
      <c r="K27" s="8" t="s">
        <v>969</v>
      </c>
      <c r="L27" s="8" t="s">
        <v>969</v>
      </c>
      <c r="M27" s="8" t="s">
        <v>972</v>
      </c>
      <c r="N27" s="8" t="s">
        <v>973</v>
      </c>
      <c r="O27" s="8" t="s">
        <v>969</v>
      </c>
      <c r="P27" s="8" t="s">
        <v>969</v>
      </c>
      <c r="Q27" s="8" t="s">
        <v>969</v>
      </c>
      <c r="R27" s="8" t="s">
        <v>969</v>
      </c>
      <c r="S27" s="8" t="s">
        <v>969</v>
      </c>
      <c r="T27" s="8" t="s">
        <v>1706</v>
      </c>
      <c r="U27" s="8" t="s">
        <v>1707</v>
      </c>
      <c r="V27" s="8" t="s">
        <v>1708</v>
      </c>
      <c r="W27" s="8" t="s">
        <v>1709</v>
      </c>
      <c r="X27" s="8" t="s">
        <v>1710</v>
      </c>
      <c r="Y27" s="8" t="s">
        <v>1711</v>
      </c>
      <c r="Z27" s="8" t="s">
        <v>1712</v>
      </c>
      <c r="AA27" s="8" t="s">
        <v>3257</v>
      </c>
      <c r="AB27" s="8" t="s">
        <v>3258</v>
      </c>
      <c r="AC27" s="8" t="s">
        <v>969</v>
      </c>
      <c r="AD27" s="8" t="s">
        <v>969</v>
      </c>
      <c r="AE27" s="8" t="s">
        <v>969</v>
      </c>
      <c r="AF27" s="8" t="s">
        <v>969</v>
      </c>
      <c r="AG27" s="8">
        <v>56.0</v>
      </c>
      <c r="AH27" s="8">
        <v>156.0</v>
      </c>
      <c r="AI27" s="8">
        <v>175.0</v>
      </c>
      <c r="AJ27" s="8">
        <v>3.0</v>
      </c>
      <c r="AK27" s="8">
        <v>125.0</v>
      </c>
      <c r="AL27" s="8" t="s">
        <v>1609</v>
      </c>
      <c r="AM27" s="8" t="s">
        <v>1032</v>
      </c>
      <c r="AN27" s="8" t="s">
        <v>1210</v>
      </c>
      <c r="AO27" s="8" t="s">
        <v>1653</v>
      </c>
      <c r="AP27" s="8" t="s">
        <v>969</v>
      </c>
      <c r="AQ27" s="8" t="s">
        <v>969</v>
      </c>
      <c r="AR27" s="8" t="s">
        <v>1655</v>
      </c>
      <c r="AS27" s="8" t="s">
        <v>1656</v>
      </c>
      <c r="AT27" s="8" t="s">
        <v>986</v>
      </c>
      <c r="AU27" s="8">
        <v>2007.0</v>
      </c>
      <c r="AV27" s="8">
        <v>16.0</v>
      </c>
      <c r="AW27" s="8">
        <v>13.0</v>
      </c>
      <c r="AX27" s="8" t="s">
        <v>969</v>
      </c>
      <c r="AY27" s="8" t="s">
        <v>969</v>
      </c>
      <c r="AZ27" s="8" t="s">
        <v>969</v>
      </c>
      <c r="BA27" s="8" t="s">
        <v>969</v>
      </c>
      <c r="BB27" s="8">
        <v>3803.0</v>
      </c>
      <c r="BC27" s="8">
        <v>3816.0</v>
      </c>
      <c r="BD27" s="8" t="s">
        <v>969</v>
      </c>
      <c r="BE27" s="8" t="s">
        <v>527</v>
      </c>
      <c r="BF27" s="13" t="str">
        <f>HYPERLINK("http://dx.doi.org/10.1007/s10531-007-9181-7","http://dx.doi.org/10.1007/s10531-007-9181-7")</f>
        <v>http://dx.doi.org/10.1007/s10531-007-9181-7</v>
      </c>
      <c r="BG27" s="8" t="s">
        <v>969</v>
      </c>
      <c r="BH27" s="8" t="s">
        <v>969</v>
      </c>
      <c r="BI27" s="8">
        <v>14.0</v>
      </c>
      <c r="BJ27" s="8" t="s">
        <v>987</v>
      </c>
      <c r="BK27" s="8" t="s">
        <v>988</v>
      </c>
      <c r="BL27" s="8" t="s">
        <v>989</v>
      </c>
      <c r="BM27" s="8" t="s">
        <v>1715</v>
      </c>
      <c r="BN27" s="8" t="s">
        <v>969</v>
      </c>
      <c r="BO27" s="8" t="s">
        <v>969</v>
      </c>
      <c r="BP27" s="8" t="s">
        <v>969</v>
      </c>
      <c r="BQ27" s="8" t="s">
        <v>969</v>
      </c>
      <c r="BR27" s="8" t="s">
        <v>3231</v>
      </c>
      <c r="BS27" s="8" t="s">
        <v>1716</v>
      </c>
      <c r="BT27" s="3" t="s">
        <v>3232</v>
      </c>
      <c r="BU27" s="8" t="str">
        <f>HYPERLINK("https%3A%2F%2Fwww.webofscience.com%2Fwos%2Fwoscc%2Ffull-record%2FWOS:000250301400007","View Full Record in Web of Science")</f>
        <v>View Full Record in Web of Science</v>
      </c>
    </row>
    <row r="28" ht="12.75" customHeight="1">
      <c r="A28" s="8" t="s">
        <v>967</v>
      </c>
      <c r="B28" s="8" t="s">
        <v>2328</v>
      </c>
      <c r="C28" s="8" t="s">
        <v>969</v>
      </c>
      <c r="D28" s="8" t="s">
        <v>969</v>
      </c>
      <c r="E28" s="8" t="s">
        <v>969</v>
      </c>
      <c r="F28" s="8" t="s">
        <v>2329</v>
      </c>
      <c r="G28" s="8" t="s">
        <v>969</v>
      </c>
      <c r="H28" s="8" t="s">
        <v>969</v>
      </c>
      <c r="I28" s="8" t="s">
        <v>2330</v>
      </c>
      <c r="J28" s="8" t="s">
        <v>2331</v>
      </c>
      <c r="K28" s="8" t="s">
        <v>969</v>
      </c>
      <c r="L28" s="8" t="s">
        <v>969</v>
      </c>
      <c r="M28" s="8" t="s">
        <v>972</v>
      </c>
      <c r="N28" s="8" t="s">
        <v>973</v>
      </c>
      <c r="O28" s="8" t="s">
        <v>969</v>
      </c>
      <c r="P28" s="8" t="s">
        <v>969</v>
      </c>
      <c r="Q28" s="8" t="s">
        <v>969</v>
      </c>
      <c r="R28" s="8" t="s">
        <v>969</v>
      </c>
      <c r="S28" s="8" t="s">
        <v>969</v>
      </c>
      <c r="T28" s="8" t="s">
        <v>2332</v>
      </c>
      <c r="U28" s="8" t="s">
        <v>2333</v>
      </c>
      <c r="V28" s="8" t="s">
        <v>2334</v>
      </c>
      <c r="W28" s="8" t="s">
        <v>2335</v>
      </c>
      <c r="X28" s="8" t="s">
        <v>2336</v>
      </c>
      <c r="Y28" s="8" t="s">
        <v>2337</v>
      </c>
      <c r="Z28" s="8" t="s">
        <v>2338</v>
      </c>
      <c r="AA28" s="8" t="s">
        <v>3259</v>
      </c>
      <c r="AB28" s="8" t="s">
        <v>3260</v>
      </c>
      <c r="AC28" s="8" t="s">
        <v>2341</v>
      </c>
      <c r="AD28" s="8" t="s">
        <v>2341</v>
      </c>
      <c r="AE28" s="8" t="s">
        <v>2342</v>
      </c>
      <c r="AF28" s="8" t="s">
        <v>969</v>
      </c>
      <c r="AG28" s="8">
        <v>56.0</v>
      </c>
      <c r="AH28" s="8">
        <v>135.0</v>
      </c>
      <c r="AI28" s="8">
        <v>150.0</v>
      </c>
      <c r="AJ28" s="8">
        <v>1.0</v>
      </c>
      <c r="AK28" s="8">
        <v>89.0</v>
      </c>
      <c r="AL28" s="8" t="s">
        <v>2343</v>
      </c>
      <c r="AM28" s="8" t="s">
        <v>2344</v>
      </c>
      <c r="AN28" s="8" t="s">
        <v>2345</v>
      </c>
      <c r="AO28" s="8" t="s">
        <v>2346</v>
      </c>
      <c r="AP28" s="8" t="s">
        <v>2347</v>
      </c>
      <c r="AQ28" s="8" t="s">
        <v>969</v>
      </c>
      <c r="AR28" s="8" t="s">
        <v>2348</v>
      </c>
      <c r="AS28" s="8" t="s">
        <v>2349</v>
      </c>
      <c r="AT28" s="8" t="s">
        <v>969</v>
      </c>
      <c r="AU28" s="8">
        <v>2011.0</v>
      </c>
      <c r="AV28" s="8">
        <v>62.0</v>
      </c>
      <c r="AW28" s="8">
        <v>9.0</v>
      </c>
      <c r="AX28" s="8" t="s">
        <v>969</v>
      </c>
      <c r="AY28" s="8" t="s">
        <v>969</v>
      </c>
      <c r="AZ28" s="8" t="s">
        <v>2350</v>
      </c>
      <c r="BA28" s="8" t="s">
        <v>969</v>
      </c>
      <c r="BB28" s="8">
        <v>1043.0</v>
      </c>
      <c r="BC28" s="8">
        <v>1061.0</v>
      </c>
      <c r="BD28" s="8" t="s">
        <v>969</v>
      </c>
      <c r="BE28" s="8" t="s">
        <v>632</v>
      </c>
      <c r="BF28" s="13" t="str">
        <f>HYPERLINK("http://dx.doi.org/10.1071/MF10286","http://dx.doi.org/10.1071/MF10286")</f>
        <v>http://dx.doi.org/10.1071/MF10286</v>
      </c>
      <c r="BG28" s="8" t="s">
        <v>969</v>
      </c>
      <c r="BH28" s="8" t="s">
        <v>969</v>
      </c>
      <c r="BI28" s="8">
        <v>19.0</v>
      </c>
      <c r="BJ28" s="8" t="s">
        <v>2351</v>
      </c>
      <c r="BK28" s="8" t="s">
        <v>988</v>
      </c>
      <c r="BL28" s="8" t="s">
        <v>2352</v>
      </c>
      <c r="BM28" s="8" t="s">
        <v>2353</v>
      </c>
      <c r="BN28" s="8" t="s">
        <v>969</v>
      </c>
      <c r="BO28" s="8" t="s">
        <v>1441</v>
      </c>
      <c r="BP28" s="8" t="s">
        <v>969</v>
      </c>
      <c r="BQ28" s="8" t="s">
        <v>969</v>
      </c>
      <c r="BR28" s="8" t="s">
        <v>3231</v>
      </c>
      <c r="BS28" s="8" t="s">
        <v>2354</v>
      </c>
      <c r="BT28" s="3" t="s">
        <v>3232</v>
      </c>
      <c r="BU28" s="8" t="str">
        <f>HYPERLINK("https%3A%2F%2Fwww.webofscience.com%2Fwos%2Fwoscc%2Ffull-record%2FWOS:000295083900006","View Full Record in Web of Science")</f>
        <v>View Full Record in Web of Science</v>
      </c>
    </row>
    <row r="29" ht="12.75" customHeight="1">
      <c r="A29" s="8" t="s">
        <v>967</v>
      </c>
      <c r="B29" s="8" t="s">
        <v>1397</v>
      </c>
      <c r="C29" s="8" t="s">
        <v>969</v>
      </c>
      <c r="D29" s="8" t="s">
        <v>969</v>
      </c>
      <c r="E29" s="8" t="s">
        <v>969</v>
      </c>
      <c r="F29" s="8" t="s">
        <v>1397</v>
      </c>
      <c r="G29" s="8" t="s">
        <v>969</v>
      </c>
      <c r="H29" s="8" t="s">
        <v>969</v>
      </c>
      <c r="I29" s="8" t="s">
        <v>1398</v>
      </c>
      <c r="J29" s="8" t="s">
        <v>1183</v>
      </c>
      <c r="K29" s="8" t="s">
        <v>969</v>
      </c>
      <c r="L29" s="8" t="s">
        <v>969</v>
      </c>
      <c r="M29" s="8" t="s">
        <v>972</v>
      </c>
      <c r="N29" s="8" t="s">
        <v>973</v>
      </c>
      <c r="O29" s="8" t="s">
        <v>969</v>
      </c>
      <c r="P29" s="8" t="s">
        <v>969</v>
      </c>
      <c r="Q29" s="8" t="s">
        <v>969</v>
      </c>
      <c r="R29" s="8" t="s">
        <v>969</v>
      </c>
      <c r="S29" s="8" t="s">
        <v>969</v>
      </c>
      <c r="T29" s="8" t="s">
        <v>1399</v>
      </c>
      <c r="U29" s="8" t="s">
        <v>1400</v>
      </c>
      <c r="V29" s="8" t="s">
        <v>1401</v>
      </c>
      <c r="W29" s="8" t="s">
        <v>1402</v>
      </c>
      <c r="X29" s="8" t="s">
        <v>1403</v>
      </c>
      <c r="Y29" s="8" t="s">
        <v>1404</v>
      </c>
      <c r="Z29" s="8" t="s">
        <v>1405</v>
      </c>
      <c r="AA29" s="8" t="s">
        <v>3261</v>
      </c>
      <c r="AB29" s="8" t="s">
        <v>3024</v>
      </c>
      <c r="AC29" s="8" t="s">
        <v>969</v>
      </c>
      <c r="AD29" s="8" t="s">
        <v>969</v>
      </c>
      <c r="AE29" s="8" t="s">
        <v>969</v>
      </c>
      <c r="AF29" s="8" t="s">
        <v>969</v>
      </c>
      <c r="AG29" s="8">
        <v>43.0</v>
      </c>
      <c r="AH29" s="8">
        <v>86.0</v>
      </c>
      <c r="AI29" s="8">
        <v>97.0</v>
      </c>
      <c r="AJ29" s="8">
        <v>2.0</v>
      </c>
      <c r="AK29" s="8">
        <v>71.0</v>
      </c>
      <c r="AL29" s="8" t="s">
        <v>1192</v>
      </c>
      <c r="AM29" s="8" t="s">
        <v>981</v>
      </c>
      <c r="AN29" s="8" t="s">
        <v>1408</v>
      </c>
      <c r="AO29" s="8" t="s">
        <v>1195</v>
      </c>
      <c r="AP29" s="8" t="s">
        <v>969</v>
      </c>
      <c r="AQ29" s="8" t="s">
        <v>969</v>
      </c>
      <c r="AR29" s="8" t="s">
        <v>1197</v>
      </c>
      <c r="AS29" s="8" t="s">
        <v>1198</v>
      </c>
      <c r="AT29" s="8" t="s">
        <v>1112</v>
      </c>
      <c r="AU29" s="8">
        <v>2005.0</v>
      </c>
      <c r="AV29" s="8">
        <v>125.0</v>
      </c>
      <c r="AW29" s="8">
        <v>3.0</v>
      </c>
      <c r="AX29" s="8" t="s">
        <v>969</v>
      </c>
      <c r="AY29" s="8" t="s">
        <v>969</v>
      </c>
      <c r="AZ29" s="8" t="s">
        <v>969</v>
      </c>
      <c r="BA29" s="8" t="s">
        <v>969</v>
      </c>
      <c r="BB29" s="8">
        <v>335.0</v>
      </c>
      <c r="BC29" s="8">
        <v>343.0</v>
      </c>
      <c r="BD29" s="8" t="s">
        <v>969</v>
      </c>
      <c r="BE29" s="8" t="s">
        <v>548</v>
      </c>
      <c r="BF29" s="13" t="str">
        <f>HYPERLINK("http://dx.doi.org/10.1016/j.biocon.2005.04.003","http://dx.doi.org/10.1016/j.biocon.2005.04.003")</f>
        <v>http://dx.doi.org/10.1016/j.biocon.2005.04.003</v>
      </c>
      <c r="BG29" s="8" t="s">
        <v>969</v>
      </c>
      <c r="BH29" s="8" t="s">
        <v>969</v>
      </c>
      <c r="BI29" s="8">
        <v>9.0</v>
      </c>
      <c r="BJ29" s="8" t="s">
        <v>987</v>
      </c>
      <c r="BK29" s="8" t="s">
        <v>988</v>
      </c>
      <c r="BL29" s="8" t="s">
        <v>989</v>
      </c>
      <c r="BM29" s="8" t="s">
        <v>1409</v>
      </c>
      <c r="BN29" s="8" t="s">
        <v>969</v>
      </c>
      <c r="BO29" s="8" t="s">
        <v>969</v>
      </c>
      <c r="BP29" s="8" t="s">
        <v>969</v>
      </c>
      <c r="BQ29" s="8" t="s">
        <v>969</v>
      </c>
      <c r="BR29" s="8" t="s">
        <v>3231</v>
      </c>
      <c r="BS29" s="8" t="s">
        <v>1410</v>
      </c>
      <c r="BT29" s="3" t="s">
        <v>3232</v>
      </c>
      <c r="BU29" s="8" t="str">
        <f>HYPERLINK("https%3A%2F%2Fwww.webofscience.com%2Fwos%2Fwoscc%2Ffull-record%2FWOS:000230357900006","View Full Record in Web of Science")</f>
        <v>View Full Record in Web of Science</v>
      </c>
    </row>
    <row r="30" ht="12.75" customHeight="1">
      <c r="A30" s="8" t="s">
        <v>967</v>
      </c>
      <c r="B30" s="8" t="s">
        <v>1271</v>
      </c>
      <c r="C30" s="8" t="s">
        <v>969</v>
      </c>
      <c r="D30" s="8" t="s">
        <v>969</v>
      </c>
      <c r="E30" s="8" t="s">
        <v>969</v>
      </c>
      <c r="F30" s="8" t="s">
        <v>1271</v>
      </c>
      <c r="G30" s="8" t="s">
        <v>969</v>
      </c>
      <c r="H30" s="8" t="s">
        <v>969</v>
      </c>
      <c r="I30" s="8" t="s">
        <v>1272</v>
      </c>
      <c r="J30" s="8" t="s">
        <v>1273</v>
      </c>
      <c r="K30" s="8" t="s">
        <v>969</v>
      </c>
      <c r="L30" s="8" t="s">
        <v>969</v>
      </c>
      <c r="M30" s="8" t="s">
        <v>972</v>
      </c>
      <c r="N30" s="8" t="s">
        <v>973</v>
      </c>
      <c r="O30" s="8" t="s">
        <v>969</v>
      </c>
      <c r="P30" s="8" t="s">
        <v>969</v>
      </c>
      <c r="Q30" s="8" t="s">
        <v>969</v>
      </c>
      <c r="R30" s="8" t="s">
        <v>969</v>
      </c>
      <c r="S30" s="8" t="s">
        <v>969</v>
      </c>
      <c r="T30" s="8" t="s">
        <v>969</v>
      </c>
      <c r="U30" s="8" t="s">
        <v>1274</v>
      </c>
      <c r="V30" s="8" t="s">
        <v>1275</v>
      </c>
      <c r="W30" s="8" t="s">
        <v>1276</v>
      </c>
      <c r="X30" s="8" t="s">
        <v>1277</v>
      </c>
      <c r="Y30" s="8" t="s">
        <v>1278</v>
      </c>
      <c r="Z30" s="8" t="s">
        <v>1279</v>
      </c>
      <c r="AA30" s="8" t="s">
        <v>1280</v>
      </c>
      <c r="AB30" s="8" t="s">
        <v>1281</v>
      </c>
      <c r="AC30" s="8" t="s">
        <v>969</v>
      </c>
      <c r="AD30" s="8" t="s">
        <v>969</v>
      </c>
      <c r="AE30" s="8" t="s">
        <v>969</v>
      </c>
      <c r="AF30" s="8" t="s">
        <v>969</v>
      </c>
      <c r="AG30" s="8">
        <v>83.0</v>
      </c>
      <c r="AH30" s="8">
        <v>207.0</v>
      </c>
      <c r="AI30" s="8">
        <v>232.0</v>
      </c>
      <c r="AJ30" s="8">
        <v>0.0</v>
      </c>
      <c r="AK30" s="8">
        <v>94.0</v>
      </c>
      <c r="AL30" s="8" t="s">
        <v>1091</v>
      </c>
      <c r="AM30" s="8" t="s">
        <v>1092</v>
      </c>
      <c r="AN30" s="8" t="s">
        <v>1093</v>
      </c>
      <c r="AO30" s="8" t="s">
        <v>1282</v>
      </c>
      <c r="AP30" s="8" t="s">
        <v>1283</v>
      </c>
      <c r="AQ30" s="8" t="s">
        <v>969</v>
      </c>
      <c r="AR30" s="8" t="s">
        <v>1273</v>
      </c>
      <c r="AS30" s="8" t="s">
        <v>1284</v>
      </c>
      <c r="AT30" s="8" t="s">
        <v>1285</v>
      </c>
      <c r="AU30" s="8">
        <v>2004.0</v>
      </c>
      <c r="AV30" s="8">
        <v>27.0</v>
      </c>
      <c r="AW30" s="8">
        <v>3.0</v>
      </c>
      <c r="AX30" s="8" t="s">
        <v>969</v>
      </c>
      <c r="AY30" s="8" t="s">
        <v>969</v>
      </c>
      <c r="AZ30" s="8" t="s">
        <v>969</v>
      </c>
      <c r="BA30" s="8" t="s">
        <v>969</v>
      </c>
      <c r="BB30" s="8">
        <v>366.0</v>
      </c>
      <c r="BC30" s="8">
        <v>380.0</v>
      </c>
      <c r="BD30" s="8" t="s">
        <v>969</v>
      </c>
      <c r="BE30" s="8" t="s">
        <v>677</v>
      </c>
      <c r="BF30" s="13" t="str">
        <f>HYPERLINK("http://dx.doi.org/10.1111/j.0906-7590.2004.03823.x","http://dx.doi.org/10.1111/j.0906-7590.2004.03823.x")</f>
        <v>http://dx.doi.org/10.1111/j.0906-7590.2004.03823.x</v>
      </c>
      <c r="BG30" s="8" t="s">
        <v>969</v>
      </c>
      <c r="BH30" s="8" t="s">
        <v>969</v>
      </c>
      <c r="BI30" s="8">
        <v>15.0</v>
      </c>
      <c r="BJ30" s="8" t="s">
        <v>1286</v>
      </c>
      <c r="BK30" s="8" t="s">
        <v>988</v>
      </c>
      <c r="BL30" s="8" t="s">
        <v>989</v>
      </c>
      <c r="BM30" s="8" t="s">
        <v>1287</v>
      </c>
      <c r="BN30" s="8" t="s">
        <v>969</v>
      </c>
      <c r="BO30" s="8" t="s">
        <v>969</v>
      </c>
      <c r="BP30" s="8" t="s">
        <v>969</v>
      </c>
      <c r="BQ30" s="8" t="s">
        <v>969</v>
      </c>
      <c r="BR30" s="8" t="s">
        <v>3231</v>
      </c>
      <c r="BS30" s="8" t="s">
        <v>1288</v>
      </c>
      <c r="BT30" s="3" t="s">
        <v>3232</v>
      </c>
      <c r="BU30" s="8" t="str">
        <f>HYPERLINK("https%3A%2F%2Fwww.webofscience.com%2Fwos%2Fwoscc%2Ffull-record%2FWOS:000221421200010","View Full Record in Web of Science")</f>
        <v>View Full Record in Web of Science</v>
      </c>
    </row>
    <row r="31" ht="12.75" customHeight="1">
      <c r="A31" s="8" t="s">
        <v>967</v>
      </c>
      <c r="B31" s="8" t="s">
        <v>2675</v>
      </c>
      <c r="C31" s="8" t="s">
        <v>969</v>
      </c>
      <c r="D31" s="8" t="s">
        <v>969</v>
      </c>
      <c r="E31" s="8" t="s">
        <v>969</v>
      </c>
      <c r="F31" s="8" t="s">
        <v>2676</v>
      </c>
      <c r="G31" s="8" t="s">
        <v>969</v>
      </c>
      <c r="H31" s="8" t="s">
        <v>969</v>
      </c>
      <c r="I31" s="8" t="s">
        <v>2677</v>
      </c>
      <c r="J31" s="8" t="s">
        <v>1183</v>
      </c>
      <c r="K31" s="8" t="s">
        <v>969</v>
      </c>
      <c r="L31" s="8" t="s">
        <v>969</v>
      </c>
      <c r="M31" s="8" t="s">
        <v>972</v>
      </c>
      <c r="N31" s="8" t="s">
        <v>973</v>
      </c>
      <c r="O31" s="8" t="s">
        <v>969</v>
      </c>
      <c r="P31" s="8" t="s">
        <v>969</v>
      </c>
      <c r="Q31" s="8" t="s">
        <v>969</v>
      </c>
      <c r="R31" s="8" t="s">
        <v>969</v>
      </c>
      <c r="S31" s="8" t="s">
        <v>969</v>
      </c>
      <c r="T31" s="8" t="s">
        <v>2678</v>
      </c>
      <c r="U31" s="8" t="s">
        <v>2679</v>
      </c>
      <c r="V31" s="8" t="s">
        <v>2680</v>
      </c>
      <c r="W31" s="8" t="s">
        <v>2681</v>
      </c>
      <c r="X31" s="8" t="s">
        <v>2682</v>
      </c>
      <c r="Y31" s="8" t="s">
        <v>2683</v>
      </c>
      <c r="Z31" s="8" t="s">
        <v>2684</v>
      </c>
      <c r="AA31" s="8" t="s">
        <v>2685</v>
      </c>
      <c r="AB31" s="8" t="s">
        <v>2686</v>
      </c>
      <c r="AC31" s="8" t="s">
        <v>2687</v>
      </c>
      <c r="AD31" s="8" t="s">
        <v>2688</v>
      </c>
      <c r="AE31" s="8" t="s">
        <v>2689</v>
      </c>
      <c r="AF31" s="8" t="s">
        <v>969</v>
      </c>
      <c r="AG31" s="8">
        <v>75.0</v>
      </c>
      <c r="AH31" s="8">
        <v>103.0</v>
      </c>
      <c r="AI31" s="8">
        <v>118.0</v>
      </c>
      <c r="AJ31" s="8">
        <v>1.0</v>
      </c>
      <c r="AK31" s="8">
        <v>187.0</v>
      </c>
      <c r="AL31" s="8" t="s">
        <v>1192</v>
      </c>
      <c r="AM31" s="8" t="s">
        <v>1193</v>
      </c>
      <c r="AN31" s="8" t="s">
        <v>1194</v>
      </c>
      <c r="AO31" s="8" t="s">
        <v>1195</v>
      </c>
      <c r="AP31" s="8" t="s">
        <v>1196</v>
      </c>
      <c r="AQ31" s="8" t="s">
        <v>969</v>
      </c>
      <c r="AR31" s="8" t="s">
        <v>1197</v>
      </c>
      <c r="AS31" s="8" t="s">
        <v>1198</v>
      </c>
      <c r="AT31" s="8" t="s">
        <v>1552</v>
      </c>
      <c r="AU31" s="8">
        <v>2013.0</v>
      </c>
      <c r="AV31" s="8">
        <v>160.0</v>
      </c>
      <c r="AW31" s="8" t="s">
        <v>969</v>
      </c>
      <c r="AX31" s="8" t="s">
        <v>969</v>
      </c>
      <c r="AY31" s="8" t="s">
        <v>969</v>
      </c>
      <c r="AZ31" s="8" t="s">
        <v>969</v>
      </c>
      <c r="BA31" s="8" t="s">
        <v>969</v>
      </c>
      <c r="BB31" s="8">
        <v>225.0</v>
      </c>
      <c r="BC31" s="8">
        <v>233.0</v>
      </c>
      <c r="BD31" s="8" t="s">
        <v>969</v>
      </c>
      <c r="BE31" s="8" t="s">
        <v>554</v>
      </c>
      <c r="BF31" s="13" t="str">
        <f>HYPERLINK("http://dx.doi.org/10.1016/j.biocon.2013.02.001","http://dx.doi.org/10.1016/j.biocon.2013.02.001")</f>
        <v>http://dx.doi.org/10.1016/j.biocon.2013.02.001</v>
      </c>
      <c r="BG31" s="8" t="s">
        <v>969</v>
      </c>
      <c r="BH31" s="8" t="s">
        <v>969</v>
      </c>
      <c r="BI31" s="8">
        <v>9.0</v>
      </c>
      <c r="BJ31" s="8" t="s">
        <v>987</v>
      </c>
      <c r="BK31" s="8" t="s">
        <v>988</v>
      </c>
      <c r="BL31" s="8" t="s">
        <v>989</v>
      </c>
      <c r="BM31" s="8" t="s">
        <v>2690</v>
      </c>
      <c r="BN31" s="8" t="s">
        <v>969</v>
      </c>
      <c r="BO31" s="8" t="s">
        <v>969</v>
      </c>
      <c r="BP31" s="8" t="s">
        <v>969</v>
      </c>
      <c r="BQ31" s="8" t="s">
        <v>969</v>
      </c>
      <c r="BR31" s="8" t="s">
        <v>3231</v>
      </c>
      <c r="BS31" s="8" t="s">
        <v>2691</v>
      </c>
      <c r="BT31" s="3" t="s">
        <v>3232</v>
      </c>
      <c r="BU31" s="8" t="str">
        <f>HYPERLINK("https%3A%2F%2Fwww.webofscience.com%2Fwos%2Fwoscc%2Ffull-record%2FWOS:000320684700025","View Full Record in Web of Science")</f>
        <v>View Full Record in Web of Science</v>
      </c>
    </row>
    <row r="32" ht="12.75" customHeight="1">
      <c r="A32" s="8" t="s">
        <v>967</v>
      </c>
      <c r="B32" s="8" t="s">
        <v>1659</v>
      </c>
      <c r="C32" s="8" t="s">
        <v>969</v>
      </c>
      <c r="D32" s="8" t="s">
        <v>969</v>
      </c>
      <c r="E32" s="8" t="s">
        <v>969</v>
      </c>
      <c r="F32" s="8" t="s">
        <v>1660</v>
      </c>
      <c r="G32" s="8" t="s">
        <v>969</v>
      </c>
      <c r="H32" s="8" t="s">
        <v>969</v>
      </c>
      <c r="I32" s="8" t="s">
        <v>1661</v>
      </c>
      <c r="J32" s="8" t="s">
        <v>1662</v>
      </c>
      <c r="K32" s="8" t="s">
        <v>969</v>
      </c>
      <c r="L32" s="8" t="s">
        <v>969</v>
      </c>
      <c r="M32" s="8" t="s">
        <v>972</v>
      </c>
      <c r="N32" s="8" t="s">
        <v>973</v>
      </c>
      <c r="O32" s="8" t="s">
        <v>969</v>
      </c>
      <c r="P32" s="8" t="s">
        <v>969</v>
      </c>
      <c r="Q32" s="8" t="s">
        <v>969</v>
      </c>
      <c r="R32" s="8" t="s">
        <v>969</v>
      </c>
      <c r="S32" s="8" t="s">
        <v>969</v>
      </c>
      <c r="T32" s="8" t="s">
        <v>1663</v>
      </c>
      <c r="U32" s="8" t="s">
        <v>1664</v>
      </c>
      <c r="V32" s="8" t="s">
        <v>1665</v>
      </c>
      <c r="W32" s="8" t="s">
        <v>1649</v>
      </c>
      <c r="X32" s="8" t="s">
        <v>1650</v>
      </c>
      <c r="Y32" s="8" t="s">
        <v>1666</v>
      </c>
      <c r="Z32" s="8" t="s">
        <v>1667</v>
      </c>
      <c r="AA32" s="8" t="s">
        <v>1668</v>
      </c>
      <c r="AB32" s="8" t="s">
        <v>1669</v>
      </c>
      <c r="AC32" s="8" t="s">
        <v>969</v>
      </c>
      <c r="AD32" s="8" t="s">
        <v>969</v>
      </c>
      <c r="AE32" s="8" t="s">
        <v>969</v>
      </c>
      <c r="AF32" s="8" t="s">
        <v>969</v>
      </c>
      <c r="AG32" s="8">
        <v>52.0</v>
      </c>
      <c r="AH32" s="8">
        <v>35.0</v>
      </c>
      <c r="AI32" s="8">
        <v>37.0</v>
      </c>
      <c r="AJ32" s="8">
        <v>0.0</v>
      </c>
      <c r="AK32" s="8">
        <v>41.0</v>
      </c>
      <c r="AL32" s="8" t="s">
        <v>1670</v>
      </c>
      <c r="AM32" s="8" t="s">
        <v>1671</v>
      </c>
      <c r="AN32" s="8" t="s">
        <v>1672</v>
      </c>
      <c r="AO32" s="8" t="s">
        <v>1673</v>
      </c>
      <c r="AP32" s="8" t="s">
        <v>1674</v>
      </c>
      <c r="AQ32" s="8" t="s">
        <v>969</v>
      </c>
      <c r="AR32" s="8" t="s">
        <v>1675</v>
      </c>
      <c r="AS32" s="8" t="s">
        <v>1676</v>
      </c>
      <c r="AT32" s="8" t="s">
        <v>969</v>
      </c>
      <c r="AU32" s="8">
        <v>2007.0</v>
      </c>
      <c r="AV32" s="8">
        <v>15.0</v>
      </c>
      <c r="AW32" s="8">
        <v>1.0</v>
      </c>
      <c r="AX32" s="8" t="s">
        <v>969</v>
      </c>
      <c r="AY32" s="8" t="s">
        <v>969</v>
      </c>
      <c r="AZ32" s="8" t="s">
        <v>969</v>
      </c>
      <c r="BA32" s="8" t="s">
        <v>969</v>
      </c>
      <c r="BB32" s="8">
        <v>41.0</v>
      </c>
      <c r="BC32" s="8">
        <v>53.0</v>
      </c>
      <c r="BD32" s="8" t="s">
        <v>969</v>
      </c>
      <c r="BE32" s="8" t="s">
        <v>578</v>
      </c>
      <c r="BF32" s="13" t="str">
        <f>HYPERLINK("http://dx.doi.org/10.1016/j.jnc.2006.09.001","http://dx.doi.org/10.1016/j.jnc.2006.09.001")</f>
        <v>http://dx.doi.org/10.1016/j.jnc.2006.09.001</v>
      </c>
      <c r="BG32" s="8" t="s">
        <v>969</v>
      </c>
      <c r="BH32" s="8" t="s">
        <v>969</v>
      </c>
      <c r="BI32" s="8">
        <v>13.0</v>
      </c>
      <c r="BJ32" s="8" t="s">
        <v>1286</v>
      </c>
      <c r="BK32" s="8" t="s">
        <v>988</v>
      </c>
      <c r="BL32" s="8" t="s">
        <v>989</v>
      </c>
      <c r="BM32" s="8" t="s">
        <v>1677</v>
      </c>
      <c r="BN32" s="8" t="s">
        <v>969</v>
      </c>
      <c r="BO32" s="8" t="s">
        <v>969</v>
      </c>
      <c r="BP32" s="8" t="s">
        <v>969</v>
      </c>
      <c r="BQ32" s="8" t="s">
        <v>969</v>
      </c>
      <c r="BR32" s="8" t="s">
        <v>3231</v>
      </c>
      <c r="BS32" s="8" t="s">
        <v>1678</v>
      </c>
      <c r="BT32" s="3" t="s">
        <v>3232</v>
      </c>
      <c r="BU32" s="8" t="str">
        <f>HYPERLINK("https%3A%2F%2Fwww.webofscience.com%2Fwos%2Fwoscc%2Ffull-record%2FWOS:000245122300004","View Full Record in Web of Science")</f>
        <v>View Full Record in Web of Science</v>
      </c>
    </row>
    <row r="33" ht="12.75" customHeight="1">
      <c r="A33" s="8" t="s">
        <v>967</v>
      </c>
      <c r="B33" s="8" t="s">
        <v>3121</v>
      </c>
      <c r="C33" s="8" t="s">
        <v>969</v>
      </c>
      <c r="D33" s="8" t="s">
        <v>969</v>
      </c>
      <c r="E33" s="8" t="s">
        <v>969</v>
      </c>
      <c r="F33" s="8" t="s">
        <v>3121</v>
      </c>
      <c r="G33" s="8" t="s">
        <v>969</v>
      </c>
      <c r="H33" s="8" t="s">
        <v>969</v>
      </c>
      <c r="I33" s="8" t="s">
        <v>3122</v>
      </c>
      <c r="J33" s="8" t="s">
        <v>1000</v>
      </c>
      <c r="K33" s="8" t="s">
        <v>969</v>
      </c>
      <c r="L33" s="8" t="s">
        <v>969</v>
      </c>
      <c r="M33" s="8" t="s">
        <v>972</v>
      </c>
      <c r="N33" s="8" t="s">
        <v>2924</v>
      </c>
      <c r="O33" s="8" t="s">
        <v>969</v>
      </c>
      <c r="P33" s="8" t="s">
        <v>969</v>
      </c>
      <c r="Q33" s="8" t="s">
        <v>969</v>
      </c>
      <c r="R33" s="8" t="s">
        <v>969</v>
      </c>
      <c r="S33" s="8" t="s">
        <v>969</v>
      </c>
      <c r="T33" s="8" t="s">
        <v>3123</v>
      </c>
      <c r="U33" s="8" t="s">
        <v>3124</v>
      </c>
      <c r="V33" s="8" t="s">
        <v>3125</v>
      </c>
      <c r="W33" s="8" t="s">
        <v>3126</v>
      </c>
      <c r="X33" s="8" t="s">
        <v>3127</v>
      </c>
      <c r="Y33" s="8" t="s">
        <v>3128</v>
      </c>
      <c r="Z33" s="8" t="s">
        <v>3129</v>
      </c>
      <c r="AA33" s="8" t="s">
        <v>969</v>
      </c>
      <c r="AB33" s="8" t="s">
        <v>3130</v>
      </c>
      <c r="AC33" s="8" t="s">
        <v>969</v>
      </c>
      <c r="AD33" s="8" t="s">
        <v>969</v>
      </c>
      <c r="AE33" s="8" t="s">
        <v>969</v>
      </c>
      <c r="AF33" s="8" t="s">
        <v>969</v>
      </c>
      <c r="AG33" s="8">
        <v>104.0</v>
      </c>
      <c r="AH33" s="8">
        <v>330.0</v>
      </c>
      <c r="AI33" s="8">
        <v>382.0</v>
      </c>
      <c r="AJ33" s="8">
        <v>0.0</v>
      </c>
      <c r="AK33" s="8">
        <v>230.0</v>
      </c>
      <c r="AL33" s="8" t="s">
        <v>1110</v>
      </c>
      <c r="AM33" s="8" t="s">
        <v>981</v>
      </c>
      <c r="AN33" s="8" t="s">
        <v>1111</v>
      </c>
      <c r="AO33" s="8" t="s">
        <v>1013</v>
      </c>
      <c r="AP33" s="8" t="s">
        <v>969</v>
      </c>
      <c r="AQ33" s="8" t="s">
        <v>969</v>
      </c>
      <c r="AR33" s="8" t="s">
        <v>1014</v>
      </c>
      <c r="AS33" s="8" t="s">
        <v>1015</v>
      </c>
      <c r="AT33" s="8" t="s">
        <v>1055</v>
      </c>
      <c r="AU33" s="8">
        <v>2003.0</v>
      </c>
      <c r="AV33" s="8">
        <v>30.0</v>
      </c>
      <c r="AW33" s="8">
        <v>3.0</v>
      </c>
      <c r="AX33" s="8" t="s">
        <v>969</v>
      </c>
      <c r="AY33" s="8" t="s">
        <v>969</v>
      </c>
      <c r="AZ33" s="8" t="s">
        <v>969</v>
      </c>
      <c r="BA33" s="8" t="s">
        <v>969</v>
      </c>
      <c r="BB33" s="8">
        <v>401.0</v>
      </c>
      <c r="BC33" s="8">
        <v>417.0</v>
      </c>
      <c r="BD33" s="8" t="s">
        <v>969</v>
      </c>
      <c r="BE33" s="8" t="s">
        <v>623</v>
      </c>
      <c r="BF33" s="13" t="str">
        <f>HYPERLINK("http://dx.doi.org/10.1046/j.1365-2699.2003.00839.x","http://dx.doi.org/10.1046/j.1365-2699.2003.00839.x")</f>
        <v>http://dx.doi.org/10.1046/j.1365-2699.2003.00839.x</v>
      </c>
      <c r="BG33" s="8" t="s">
        <v>969</v>
      </c>
      <c r="BH33" s="8" t="s">
        <v>969</v>
      </c>
      <c r="BI33" s="8">
        <v>17.0</v>
      </c>
      <c r="BJ33" s="8" t="s">
        <v>1017</v>
      </c>
      <c r="BK33" s="8" t="s">
        <v>988</v>
      </c>
      <c r="BL33" s="8" t="s">
        <v>1018</v>
      </c>
      <c r="BM33" s="8" t="s">
        <v>3131</v>
      </c>
      <c r="BN33" s="8" t="s">
        <v>969</v>
      </c>
      <c r="BO33" s="8" t="s">
        <v>969</v>
      </c>
      <c r="BP33" s="8" t="s">
        <v>969</v>
      </c>
      <c r="BQ33" s="8" t="s">
        <v>969</v>
      </c>
      <c r="BR33" s="8" t="s">
        <v>3231</v>
      </c>
      <c r="BS33" s="8" t="s">
        <v>3132</v>
      </c>
      <c r="BT33" s="3" t="s">
        <v>3232</v>
      </c>
      <c r="BU33" s="8" t="str">
        <f>HYPERLINK("https%3A%2F%2Fwww.webofscience.com%2Fwos%2Fwoscc%2Ffull-record%2FWOS:000181739300008","View Full Record in Web of Science")</f>
        <v>View Full Record in Web of Science</v>
      </c>
    </row>
    <row r="34" ht="12.75" customHeight="1">
      <c r="A34" s="8" t="s">
        <v>967</v>
      </c>
      <c r="B34" s="8" t="s">
        <v>1679</v>
      </c>
      <c r="C34" s="8" t="s">
        <v>969</v>
      </c>
      <c r="D34" s="8" t="s">
        <v>969</v>
      </c>
      <c r="E34" s="8" t="s">
        <v>969</v>
      </c>
      <c r="F34" s="8" t="s">
        <v>1680</v>
      </c>
      <c r="G34" s="8" t="s">
        <v>969</v>
      </c>
      <c r="H34" s="8" t="s">
        <v>969</v>
      </c>
      <c r="I34" s="8" t="s">
        <v>1681</v>
      </c>
      <c r="J34" s="8" t="s">
        <v>1538</v>
      </c>
      <c r="K34" s="8" t="s">
        <v>969</v>
      </c>
      <c r="L34" s="8" t="s">
        <v>969</v>
      </c>
      <c r="M34" s="8" t="s">
        <v>972</v>
      </c>
      <c r="N34" s="8" t="s">
        <v>973</v>
      </c>
      <c r="O34" s="8" t="s">
        <v>969</v>
      </c>
      <c r="P34" s="8" t="s">
        <v>969</v>
      </c>
      <c r="Q34" s="8" t="s">
        <v>969</v>
      </c>
      <c r="R34" s="8" t="s">
        <v>969</v>
      </c>
      <c r="S34" s="8" t="s">
        <v>969</v>
      </c>
      <c r="T34" s="8" t="s">
        <v>1682</v>
      </c>
      <c r="U34" s="8" t="s">
        <v>1683</v>
      </c>
      <c r="V34" s="8" t="s">
        <v>1684</v>
      </c>
      <c r="W34" s="8" t="s">
        <v>1685</v>
      </c>
      <c r="X34" s="8" t="s">
        <v>969</v>
      </c>
      <c r="Y34" s="8" t="s">
        <v>1686</v>
      </c>
      <c r="Z34" s="8" t="s">
        <v>1687</v>
      </c>
      <c r="AA34" s="8" t="s">
        <v>969</v>
      </c>
      <c r="AB34" s="8" t="s">
        <v>969</v>
      </c>
      <c r="AC34" s="8" t="s">
        <v>969</v>
      </c>
      <c r="AD34" s="8" t="s">
        <v>969</v>
      </c>
      <c r="AE34" s="8" t="s">
        <v>969</v>
      </c>
      <c r="AF34" s="8" t="s">
        <v>969</v>
      </c>
      <c r="AG34" s="8">
        <v>41.0</v>
      </c>
      <c r="AH34" s="8">
        <v>105.0</v>
      </c>
      <c r="AI34" s="8">
        <v>130.0</v>
      </c>
      <c r="AJ34" s="8">
        <v>1.0</v>
      </c>
      <c r="AK34" s="8">
        <v>144.0</v>
      </c>
      <c r="AL34" s="8" t="s">
        <v>1091</v>
      </c>
      <c r="AM34" s="8" t="s">
        <v>1092</v>
      </c>
      <c r="AN34" s="8" t="s">
        <v>1093</v>
      </c>
      <c r="AO34" s="8" t="s">
        <v>1548</v>
      </c>
      <c r="AP34" s="8" t="s">
        <v>1549</v>
      </c>
      <c r="AQ34" s="8" t="s">
        <v>969</v>
      </c>
      <c r="AR34" s="8" t="s">
        <v>1550</v>
      </c>
      <c r="AS34" s="8" t="s">
        <v>1551</v>
      </c>
      <c r="AT34" s="8" t="s">
        <v>1211</v>
      </c>
      <c r="AU34" s="8">
        <v>2007.0</v>
      </c>
      <c r="AV34" s="8">
        <v>21.0</v>
      </c>
      <c r="AW34" s="8">
        <v>4.0</v>
      </c>
      <c r="AX34" s="8" t="s">
        <v>969</v>
      </c>
      <c r="AY34" s="8" t="s">
        <v>969</v>
      </c>
      <c r="AZ34" s="8" t="s">
        <v>969</v>
      </c>
      <c r="BA34" s="8" t="s">
        <v>969</v>
      </c>
      <c r="BB34" s="8">
        <v>1092.0</v>
      </c>
      <c r="BC34" s="8">
        <v>1104.0</v>
      </c>
      <c r="BD34" s="8" t="s">
        <v>969</v>
      </c>
      <c r="BE34" s="8" t="s">
        <v>773</v>
      </c>
      <c r="BF34" s="13" t="str">
        <f>HYPERLINK("http://dx.doi.org/10.1111/j.1523-1739.2007.00719.x","http://dx.doi.org/10.1111/j.1523-1739.2007.00719.x")</f>
        <v>http://dx.doi.org/10.1111/j.1523-1739.2007.00719.x</v>
      </c>
      <c r="BG34" s="8" t="s">
        <v>969</v>
      </c>
      <c r="BH34" s="8" t="s">
        <v>969</v>
      </c>
      <c r="BI34" s="8">
        <v>13.0</v>
      </c>
      <c r="BJ34" s="8" t="s">
        <v>987</v>
      </c>
      <c r="BK34" s="8" t="s">
        <v>988</v>
      </c>
      <c r="BL34" s="8" t="s">
        <v>989</v>
      </c>
      <c r="BM34" s="8" t="s">
        <v>1688</v>
      </c>
      <c r="BN34" s="8">
        <v>1.7650258E7</v>
      </c>
      <c r="BO34" s="8" t="s">
        <v>969</v>
      </c>
      <c r="BP34" s="8" t="s">
        <v>969</v>
      </c>
      <c r="BQ34" s="8" t="s">
        <v>969</v>
      </c>
      <c r="BR34" s="8" t="s">
        <v>3231</v>
      </c>
      <c r="BS34" s="8" t="s">
        <v>1689</v>
      </c>
      <c r="BT34" s="3" t="s">
        <v>3232</v>
      </c>
      <c r="BU34" s="8" t="str">
        <f>HYPERLINK("https%3A%2F%2Fwww.webofscience.com%2Fwos%2Fwoscc%2Ffull-record%2FWOS:000248401200029","View Full Record in Web of Science")</f>
        <v>View Full Record in Web of Science</v>
      </c>
    </row>
    <row r="35" ht="12.75" customHeight="1">
      <c r="A35" s="8" t="s">
        <v>967</v>
      </c>
      <c r="B35" s="8" t="s">
        <v>2114</v>
      </c>
      <c r="C35" s="8" t="s">
        <v>969</v>
      </c>
      <c r="D35" s="8" t="s">
        <v>969</v>
      </c>
      <c r="E35" s="8" t="s">
        <v>969</v>
      </c>
      <c r="F35" s="8" t="s">
        <v>2115</v>
      </c>
      <c r="G35" s="8" t="s">
        <v>969</v>
      </c>
      <c r="H35" s="8" t="s">
        <v>969</v>
      </c>
      <c r="I35" s="8" t="s">
        <v>2116</v>
      </c>
      <c r="J35" s="8" t="s">
        <v>971</v>
      </c>
      <c r="K35" s="8" t="s">
        <v>969</v>
      </c>
      <c r="L35" s="8" t="s">
        <v>969</v>
      </c>
      <c r="M35" s="8" t="s">
        <v>972</v>
      </c>
      <c r="N35" s="8" t="s">
        <v>973</v>
      </c>
      <c r="O35" s="8" t="s">
        <v>969</v>
      </c>
      <c r="P35" s="8" t="s">
        <v>969</v>
      </c>
      <c r="Q35" s="8" t="s">
        <v>969</v>
      </c>
      <c r="R35" s="8" t="s">
        <v>969</v>
      </c>
      <c r="S35" s="8" t="s">
        <v>969</v>
      </c>
      <c r="T35" s="8" t="s">
        <v>2117</v>
      </c>
      <c r="U35" s="8" t="s">
        <v>2118</v>
      </c>
      <c r="V35" s="8" t="s">
        <v>2119</v>
      </c>
      <c r="W35" s="8" t="s">
        <v>2120</v>
      </c>
      <c r="X35" s="8" t="s">
        <v>3262</v>
      </c>
      <c r="Y35" s="8" t="s">
        <v>2122</v>
      </c>
      <c r="Z35" s="8" t="s">
        <v>2123</v>
      </c>
      <c r="AA35" s="8" t="s">
        <v>3263</v>
      </c>
      <c r="AB35" s="8" t="s">
        <v>3264</v>
      </c>
      <c r="AC35" s="8" t="s">
        <v>2126</v>
      </c>
      <c r="AD35" s="8" t="s">
        <v>2127</v>
      </c>
      <c r="AE35" s="8" t="s">
        <v>2128</v>
      </c>
      <c r="AF35" s="8" t="s">
        <v>969</v>
      </c>
      <c r="AG35" s="8">
        <v>73.0</v>
      </c>
      <c r="AH35" s="8">
        <v>449.0</v>
      </c>
      <c r="AI35" s="8">
        <v>501.0</v>
      </c>
      <c r="AJ35" s="8">
        <v>2.0</v>
      </c>
      <c r="AK35" s="8">
        <v>300.0</v>
      </c>
      <c r="AL35" s="8" t="s">
        <v>1091</v>
      </c>
      <c r="AM35" s="8" t="s">
        <v>1092</v>
      </c>
      <c r="AN35" s="8" t="s">
        <v>1093</v>
      </c>
      <c r="AO35" s="8" t="s">
        <v>983</v>
      </c>
      <c r="AP35" s="8" t="s">
        <v>1094</v>
      </c>
      <c r="AQ35" s="8" t="s">
        <v>969</v>
      </c>
      <c r="AR35" s="8" t="s">
        <v>1095</v>
      </c>
      <c r="AS35" s="8" t="s">
        <v>985</v>
      </c>
      <c r="AT35" s="8" t="s">
        <v>1285</v>
      </c>
      <c r="AU35" s="8">
        <v>2009.0</v>
      </c>
      <c r="AV35" s="8">
        <v>15.0</v>
      </c>
      <c r="AW35" s="8">
        <v>6.0</v>
      </c>
      <c r="AX35" s="8" t="s">
        <v>969</v>
      </c>
      <c r="AY35" s="8" t="s">
        <v>969</v>
      </c>
      <c r="AZ35" s="8" t="s">
        <v>969</v>
      </c>
      <c r="BA35" s="8" t="s">
        <v>969</v>
      </c>
      <c r="BB35" s="8">
        <v>1557.0</v>
      </c>
      <c r="BC35" s="8">
        <v>1569.0</v>
      </c>
      <c r="BD35" s="8" t="s">
        <v>969</v>
      </c>
      <c r="BE35" s="8" t="s">
        <v>713</v>
      </c>
      <c r="BF35" s="13" t="str">
        <f>HYPERLINK("http://dx.doi.org/10.1111/j.1365-2486.2008.01766.x","http://dx.doi.org/10.1111/j.1365-2486.2008.01766.x")</f>
        <v>http://dx.doi.org/10.1111/j.1365-2486.2008.01766.x</v>
      </c>
      <c r="BG35" s="8" t="s">
        <v>969</v>
      </c>
      <c r="BH35" s="8" t="s">
        <v>969</v>
      </c>
      <c r="BI35" s="8">
        <v>13.0</v>
      </c>
      <c r="BJ35" s="8" t="s">
        <v>987</v>
      </c>
      <c r="BK35" s="8" t="s">
        <v>988</v>
      </c>
      <c r="BL35" s="8" t="s">
        <v>989</v>
      </c>
      <c r="BM35" s="8" t="s">
        <v>2129</v>
      </c>
      <c r="BN35" s="8" t="s">
        <v>969</v>
      </c>
      <c r="BO35" s="8" t="s">
        <v>969</v>
      </c>
      <c r="BP35" s="8" t="s">
        <v>969</v>
      </c>
      <c r="BQ35" s="8" t="s">
        <v>969</v>
      </c>
      <c r="BR35" s="8" t="s">
        <v>3231</v>
      </c>
      <c r="BS35" s="8" t="s">
        <v>2130</v>
      </c>
      <c r="BT35" s="3" t="s">
        <v>3232</v>
      </c>
      <c r="BU35" s="8" t="str">
        <f>HYPERLINK("https%3A%2F%2Fwww.webofscience.com%2Fwos%2Fwoscc%2Ffull-record%2FWOS:000265771400016","View Full Record in Web of Science")</f>
        <v>View Full Record in Web of Science</v>
      </c>
    </row>
    <row r="36" ht="12.75" customHeight="1">
      <c r="A36" s="8" t="s">
        <v>967</v>
      </c>
      <c r="B36" s="8" t="s">
        <v>968</v>
      </c>
      <c r="C36" s="8" t="s">
        <v>969</v>
      </c>
      <c r="D36" s="8" t="s">
        <v>969</v>
      </c>
      <c r="E36" s="8" t="s">
        <v>969</v>
      </c>
      <c r="F36" s="8" t="s">
        <v>968</v>
      </c>
      <c r="G36" s="8" t="s">
        <v>969</v>
      </c>
      <c r="H36" s="8" t="s">
        <v>969</v>
      </c>
      <c r="I36" s="8" t="s">
        <v>970</v>
      </c>
      <c r="J36" s="8" t="s">
        <v>971</v>
      </c>
      <c r="K36" s="8" t="s">
        <v>969</v>
      </c>
      <c r="L36" s="8" t="s">
        <v>969</v>
      </c>
      <c r="M36" s="8" t="s">
        <v>972</v>
      </c>
      <c r="N36" s="8" t="s">
        <v>973</v>
      </c>
      <c r="O36" s="8" t="s">
        <v>969</v>
      </c>
      <c r="P36" s="8" t="s">
        <v>969</v>
      </c>
      <c r="Q36" s="8" t="s">
        <v>969</v>
      </c>
      <c r="R36" s="8" t="s">
        <v>969</v>
      </c>
      <c r="S36" s="8" t="s">
        <v>969</v>
      </c>
      <c r="T36" s="8" t="s">
        <v>974</v>
      </c>
      <c r="U36" s="8" t="s">
        <v>975</v>
      </c>
      <c r="V36" s="8" t="s">
        <v>976</v>
      </c>
      <c r="W36" s="8" t="s">
        <v>977</v>
      </c>
      <c r="X36" s="8" t="s">
        <v>978</v>
      </c>
      <c r="Y36" s="8" t="s">
        <v>979</v>
      </c>
      <c r="Z36" s="8" t="s">
        <v>969</v>
      </c>
      <c r="AA36" s="8" t="s">
        <v>969</v>
      </c>
      <c r="AB36" s="8" t="s">
        <v>969</v>
      </c>
      <c r="AC36" s="8" t="s">
        <v>969</v>
      </c>
      <c r="AD36" s="8" t="s">
        <v>969</v>
      </c>
      <c r="AE36" s="8" t="s">
        <v>969</v>
      </c>
      <c r="AF36" s="8" t="s">
        <v>969</v>
      </c>
      <c r="AG36" s="8">
        <v>38.0</v>
      </c>
      <c r="AH36" s="8">
        <v>28.0</v>
      </c>
      <c r="AI36" s="8">
        <v>35.0</v>
      </c>
      <c r="AJ36" s="8">
        <v>0.0</v>
      </c>
      <c r="AK36" s="8">
        <v>44.0</v>
      </c>
      <c r="AL36" s="8" t="s">
        <v>980</v>
      </c>
      <c r="AM36" s="8" t="s">
        <v>981</v>
      </c>
      <c r="AN36" s="8" t="s">
        <v>982</v>
      </c>
      <c r="AO36" s="8" t="s">
        <v>983</v>
      </c>
      <c r="AP36" s="8" t="s">
        <v>969</v>
      </c>
      <c r="AQ36" s="8" t="s">
        <v>969</v>
      </c>
      <c r="AR36" s="8" t="s">
        <v>984</v>
      </c>
      <c r="AS36" s="8" t="s">
        <v>985</v>
      </c>
      <c r="AT36" s="8" t="s">
        <v>986</v>
      </c>
      <c r="AU36" s="8">
        <v>1997.0</v>
      </c>
      <c r="AV36" s="8">
        <v>3.0</v>
      </c>
      <c r="AW36" s="8">
        <v>6.0</v>
      </c>
      <c r="AX36" s="8" t="s">
        <v>969</v>
      </c>
      <c r="AY36" s="8" t="s">
        <v>969</v>
      </c>
      <c r="AZ36" s="8" t="s">
        <v>969</v>
      </c>
      <c r="BA36" s="8" t="s">
        <v>969</v>
      </c>
      <c r="BB36" s="8">
        <v>531.0</v>
      </c>
      <c r="BC36" s="8">
        <v>544.0</v>
      </c>
      <c r="BD36" s="8" t="s">
        <v>969</v>
      </c>
      <c r="BE36" s="8" t="s">
        <v>605</v>
      </c>
      <c r="BF36" s="13" t="str">
        <f>HYPERLINK("http://dx.doi.org/10.1046/j.1365-2486.1997.00093.x","http://dx.doi.org/10.1046/j.1365-2486.1997.00093.x")</f>
        <v>http://dx.doi.org/10.1046/j.1365-2486.1997.00093.x</v>
      </c>
      <c r="BG36" s="8" t="s">
        <v>969</v>
      </c>
      <c r="BH36" s="8" t="s">
        <v>969</v>
      </c>
      <c r="BI36" s="8">
        <v>14.0</v>
      </c>
      <c r="BJ36" s="8" t="s">
        <v>987</v>
      </c>
      <c r="BK36" s="8" t="s">
        <v>988</v>
      </c>
      <c r="BL36" s="8" t="s">
        <v>989</v>
      </c>
      <c r="BM36" s="8" t="s">
        <v>990</v>
      </c>
      <c r="BN36" s="8" t="s">
        <v>969</v>
      </c>
      <c r="BO36" s="8" t="s">
        <v>969</v>
      </c>
      <c r="BP36" s="8" t="s">
        <v>969</v>
      </c>
      <c r="BQ36" s="8" t="s">
        <v>969</v>
      </c>
      <c r="BR36" s="8" t="s">
        <v>3231</v>
      </c>
      <c r="BS36" s="8" t="s">
        <v>992</v>
      </c>
      <c r="BT36" s="3" t="s">
        <v>3232</v>
      </c>
      <c r="BU36" s="8" t="str">
        <f>HYPERLINK("https%3A%2F%2Fwww.webofscience.com%2Fwos%2Fwoscc%2Ffull-record%2FWOS:000071220600007","View Full Record in Web of Science")</f>
        <v>View Full Record in Web of Science</v>
      </c>
    </row>
    <row r="37" ht="12.75" customHeight="1">
      <c r="A37" s="8" t="s">
        <v>967</v>
      </c>
      <c r="B37" s="8" t="s">
        <v>1181</v>
      </c>
      <c r="C37" s="8" t="s">
        <v>969</v>
      </c>
      <c r="D37" s="8" t="s">
        <v>969</v>
      </c>
      <c r="E37" s="8" t="s">
        <v>969</v>
      </c>
      <c r="F37" s="8" t="s">
        <v>1181</v>
      </c>
      <c r="G37" s="8" t="s">
        <v>969</v>
      </c>
      <c r="H37" s="8" t="s">
        <v>969</v>
      </c>
      <c r="I37" s="8" t="s">
        <v>1182</v>
      </c>
      <c r="J37" s="8" t="s">
        <v>1183</v>
      </c>
      <c r="K37" s="8" t="s">
        <v>969</v>
      </c>
      <c r="L37" s="8" t="s">
        <v>969</v>
      </c>
      <c r="M37" s="8" t="s">
        <v>972</v>
      </c>
      <c r="N37" s="8" t="s">
        <v>973</v>
      </c>
      <c r="O37" s="8" t="s">
        <v>969</v>
      </c>
      <c r="P37" s="8" t="s">
        <v>969</v>
      </c>
      <c r="Q37" s="8" t="s">
        <v>969</v>
      </c>
      <c r="R37" s="8" t="s">
        <v>969</v>
      </c>
      <c r="S37" s="8" t="s">
        <v>969</v>
      </c>
      <c r="T37" s="8" t="s">
        <v>1184</v>
      </c>
      <c r="U37" s="8" t="s">
        <v>1185</v>
      </c>
      <c r="V37" s="8" t="s">
        <v>1186</v>
      </c>
      <c r="W37" s="8" t="s">
        <v>1187</v>
      </c>
      <c r="X37" s="8" t="s">
        <v>1188</v>
      </c>
      <c r="Y37" s="8" t="s">
        <v>1189</v>
      </c>
      <c r="Z37" s="8" t="s">
        <v>1156</v>
      </c>
      <c r="AA37" s="8" t="s">
        <v>2974</v>
      </c>
      <c r="AB37" s="8" t="s">
        <v>2975</v>
      </c>
      <c r="AC37" s="8" t="s">
        <v>969</v>
      </c>
      <c r="AD37" s="8" t="s">
        <v>969</v>
      </c>
      <c r="AE37" s="8" t="s">
        <v>969</v>
      </c>
      <c r="AF37" s="8" t="s">
        <v>969</v>
      </c>
      <c r="AG37" s="8">
        <v>48.0</v>
      </c>
      <c r="AH37" s="8">
        <v>218.0</v>
      </c>
      <c r="AI37" s="8">
        <v>253.0</v>
      </c>
      <c r="AJ37" s="8">
        <v>0.0</v>
      </c>
      <c r="AK37" s="8">
        <v>60.0</v>
      </c>
      <c r="AL37" s="8" t="s">
        <v>1192</v>
      </c>
      <c r="AM37" s="8" t="s">
        <v>1193</v>
      </c>
      <c r="AN37" s="8" t="s">
        <v>1194</v>
      </c>
      <c r="AO37" s="8" t="s">
        <v>1195</v>
      </c>
      <c r="AP37" s="8" t="s">
        <v>1196</v>
      </c>
      <c r="AQ37" s="8" t="s">
        <v>969</v>
      </c>
      <c r="AR37" s="8" t="s">
        <v>1197</v>
      </c>
      <c r="AS37" s="8" t="s">
        <v>1198</v>
      </c>
      <c r="AT37" s="8" t="s">
        <v>1199</v>
      </c>
      <c r="AU37" s="8">
        <v>2003.0</v>
      </c>
      <c r="AV37" s="8">
        <v>112.0</v>
      </c>
      <c r="AW37" s="8" t="s">
        <v>1200</v>
      </c>
      <c r="AX37" s="8" t="s">
        <v>969</v>
      </c>
      <c r="AY37" s="8" t="s">
        <v>969</v>
      </c>
      <c r="AZ37" s="8" t="s">
        <v>969</v>
      </c>
      <c r="BA37" s="8" t="s">
        <v>969</v>
      </c>
      <c r="BB37" s="8">
        <v>87.0</v>
      </c>
      <c r="BC37" s="8">
        <v>97.0</v>
      </c>
      <c r="BD37" s="8" t="s">
        <v>969</v>
      </c>
      <c r="BE37" s="8" t="s">
        <v>581</v>
      </c>
      <c r="BF37" s="13" t="str">
        <f>HYPERLINK("http://dx.doi.org/10.1016/S0006-3207(02)00414-7","http://dx.doi.org/10.1016/S0006-3207(02)00414-7")</f>
        <v>http://dx.doi.org/10.1016/S0006-3207(02)00414-7</v>
      </c>
      <c r="BG37" s="8" t="s">
        <v>969</v>
      </c>
      <c r="BH37" s="8" t="s">
        <v>969</v>
      </c>
      <c r="BI37" s="8">
        <v>11.0</v>
      </c>
      <c r="BJ37" s="8" t="s">
        <v>987</v>
      </c>
      <c r="BK37" s="8" t="s">
        <v>988</v>
      </c>
      <c r="BL37" s="8" t="s">
        <v>989</v>
      </c>
      <c r="BM37" s="8" t="s">
        <v>1201</v>
      </c>
      <c r="BN37" s="8" t="s">
        <v>969</v>
      </c>
      <c r="BO37" s="8" t="s">
        <v>969</v>
      </c>
      <c r="BP37" s="8" t="s">
        <v>969</v>
      </c>
      <c r="BQ37" s="8" t="s">
        <v>969</v>
      </c>
      <c r="BR37" s="8" t="s">
        <v>3231</v>
      </c>
      <c r="BS37" s="8" t="s">
        <v>1202</v>
      </c>
      <c r="BT37" s="3" t="s">
        <v>3232</v>
      </c>
      <c r="BU37" s="8" t="str">
        <f>HYPERLINK("https%3A%2F%2Fwww.webofscience.com%2Fwos%2Fwoscc%2Ffull-record%2FWOS:000182913800006","View Full Record in Web of Science")</f>
        <v>View Full Record in Web of Science</v>
      </c>
    </row>
    <row r="38" ht="12.75" customHeight="1">
      <c r="A38" s="8" t="s">
        <v>967</v>
      </c>
      <c r="B38" s="8" t="s">
        <v>2164</v>
      </c>
      <c r="C38" s="8" t="s">
        <v>969</v>
      </c>
      <c r="D38" s="8" t="s">
        <v>969</v>
      </c>
      <c r="E38" s="8" t="s">
        <v>969</v>
      </c>
      <c r="F38" s="8" t="s">
        <v>2165</v>
      </c>
      <c r="G38" s="8" t="s">
        <v>969</v>
      </c>
      <c r="H38" s="8" t="s">
        <v>969</v>
      </c>
      <c r="I38" s="8" t="s">
        <v>2166</v>
      </c>
      <c r="J38" s="8" t="s">
        <v>1645</v>
      </c>
      <c r="K38" s="8" t="s">
        <v>969</v>
      </c>
      <c r="L38" s="8" t="s">
        <v>969</v>
      </c>
      <c r="M38" s="8" t="s">
        <v>972</v>
      </c>
      <c r="N38" s="8" t="s">
        <v>973</v>
      </c>
      <c r="O38" s="8" t="s">
        <v>969</v>
      </c>
      <c r="P38" s="8" t="s">
        <v>969</v>
      </c>
      <c r="Q38" s="8" t="s">
        <v>969</v>
      </c>
      <c r="R38" s="8" t="s">
        <v>969</v>
      </c>
      <c r="S38" s="8" t="s">
        <v>969</v>
      </c>
      <c r="T38" s="8" t="s">
        <v>2167</v>
      </c>
      <c r="U38" s="8" t="s">
        <v>2168</v>
      </c>
      <c r="V38" s="8" t="s">
        <v>2169</v>
      </c>
      <c r="W38" s="8" t="s">
        <v>2170</v>
      </c>
      <c r="X38" s="8" t="s">
        <v>2171</v>
      </c>
      <c r="Y38" s="8" t="s">
        <v>2172</v>
      </c>
      <c r="Z38" s="8" t="s">
        <v>2173</v>
      </c>
      <c r="AA38" s="8" t="s">
        <v>3265</v>
      </c>
      <c r="AB38" s="8" t="s">
        <v>3266</v>
      </c>
      <c r="AC38" s="8" t="s">
        <v>2176</v>
      </c>
      <c r="AD38" s="8" t="s">
        <v>2177</v>
      </c>
      <c r="AE38" s="8" t="s">
        <v>2178</v>
      </c>
      <c r="AF38" s="8" t="s">
        <v>969</v>
      </c>
      <c r="AG38" s="8">
        <v>89.0</v>
      </c>
      <c r="AH38" s="8">
        <v>66.0</v>
      </c>
      <c r="AI38" s="8">
        <v>81.0</v>
      </c>
      <c r="AJ38" s="8">
        <v>0.0</v>
      </c>
      <c r="AK38" s="8">
        <v>85.0</v>
      </c>
      <c r="AL38" s="8" t="s">
        <v>1609</v>
      </c>
      <c r="AM38" s="8" t="s">
        <v>1032</v>
      </c>
      <c r="AN38" s="8" t="s">
        <v>1210</v>
      </c>
      <c r="AO38" s="8" t="s">
        <v>1653</v>
      </c>
      <c r="AP38" s="8" t="s">
        <v>1654</v>
      </c>
      <c r="AQ38" s="8" t="s">
        <v>969</v>
      </c>
      <c r="AR38" s="8" t="s">
        <v>1655</v>
      </c>
      <c r="AS38" s="8" t="s">
        <v>1656</v>
      </c>
      <c r="AT38" s="8" t="s">
        <v>1055</v>
      </c>
      <c r="AU38" s="8">
        <v>2010.0</v>
      </c>
      <c r="AV38" s="8">
        <v>19.0</v>
      </c>
      <c r="AW38" s="8">
        <v>3.0</v>
      </c>
      <c r="AX38" s="8" t="s">
        <v>969</v>
      </c>
      <c r="AY38" s="8" t="s">
        <v>969</v>
      </c>
      <c r="AZ38" s="8" t="s">
        <v>969</v>
      </c>
      <c r="BA38" s="8" t="s">
        <v>969</v>
      </c>
      <c r="BB38" s="8">
        <v>695.0</v>
      </c>
      <c r="BC38" s="8">
        <v>723.0</v>
      </c>
      <c r="BD38" s="8" t="s">
        <v>969</v>
      </c>
      <c r="BE38" s="8" t="s">
        <v>530</v>
      </c>
      <c r="BF38" s="13" t="str">
        <f>HYPERLINK("http://dx.doi.org/10.1007/s10531-009-9728-x","http://dx.doi.org/10.1007/s10531-009-9728-x")</f>
        <v>http://dx.doi.org/10.1007/s10531-009-9728-x</v>
      </c>
      <c r="BG38" s="8" t="s">
        <v>969</v>
      </c>
      <c r="BH38" s="8" t="s">
        <v>969</v>
      </c>
      <c r="BI38" s="8">
        <v>29.0</v>
      </c>
      <c r="BJ38" s="8" t="s">
        <v>987</v>
      </c>
      <c r="BK38" s="8" t="s">
        <v>988</v>
      </c>
      <c r="BL38" s="8" t="s">
        <v>989</v>
      </c>
      <c r="BM38" s="8" t="s">
        <v>2179</v>
      </c>
      <c r="BN38" s="8" t="s">
        <v>969</v>
      </c>
      <c r="BO38" s="8" t="s">
        <v>969</v>
      </c>
      <c r="BP38" s="8" t="s">
        <v>969</v>
      </c>
      <c r="BQ38" s="8" t="s">
        <v>969</v>
      </c>
      <c r="BR38" s="8" t="s">
        <v>3231</v>
      </c>
      <c r="BS38" s="8" t="s">
        <v>2180</v>
      </c>
      <c r="BT38" s="3" t="s">
        <v>3232</v>
      </c>
      <c r="BU38" s="8" t="str">
        <f>HYPERLINK("https%3A%2F%2Fwww.webofscience.com%2Fwos%2Fwoscc%2Ffull-record%2FWOS:000274330800007","View Full Record in Web of Science")</f>
        <v>View Full Record in Web of Science</v>
      </c>
    </row>
    <row r="39" ht="12.75" customHeight="1">
      <c r="A39" s="8" t="s">
        <v>967</v>
      </c>
      <c r="B39" s="8" t="s">
        <v>2979</v>
      </c>
      <c r="C39" s="8" t="s">
        <v>969</v>
      </c>
      <c r="D39" s="8" t="s">
        <v>969</v>
      </c>
      <c r="E39" s="8" t="s">
        <v>969</v>
      </c>
      <c r="F39" s="8" t="s">
        <v>2980</v>
      </c>
      <c r="G39" s="8" t="s">
        <v>969</v>
      </c>
      <c r="H39" s="8" t="s">
        <v>969</v>
      </c>
      <c r="I39" s="8" t="s">
        <v>2981</v>
      </c>
      <c r="J39" s="8" t="s">
        <v>2982</v>
      </c>
      <c r="K39" s="8" t="s">
        <v>969</v>
      </c>
      <c r="L39" s="8" t="s">
        <v>969</v>
      </c>
      <c r="M39" s="8" t="s">
        <v>972</v>
      </c>
      <c r="N39" s="8" t="s">
        <v>2924</v>
      </c>
      <c r="O39" s="8" t="s">
        <v>969</v>
      </c>
      <c r="P39" s="8" t="s">
        <v>969</v>
      </c>
      <c r="Q39" s="8" t="s">
        <v>969</v>
      </c>
      <c r="R39" s="8" t="s">
        <v>969</v>
      </c>
      <c r="S39" s="8" t="s">
        <v>969</v>
      </c>
      <c r="T39" s="8" t="s">
        <v>2983</v>
      </c>
      <c r="U39" s="8" t="s">
        <v>2984</v>
      </c>
      <c r="V39" s="8" t="s">
        <v>2985</v>
      </c>
      <c r="W39" s="8" t="s">
        <v>2986</v>
      </c>
      <c r="X39" s="8" t="s">
        <v>2987</v>
      </c>
      <c r="Y39" s="8" t="s">
        <v>2988</v>
      </c>
      <c r="Z39" s="8" t="s">
        <v>2989</v>
      </c>
      <c r="AA39" s="8" t="s">
        <v>2990</v>
      </c>
      <c r="AB39" s="8" t="s">
        <v>969</v>
      </c>
      <c r="AC39" s="8" t="s">
        <v>969</v>
      </c>
      <c r="AD39" s="8" t="s">
        <v>969</v>
      </c>
      <c r="AE39" s="8" t="s">
        <v>969</v>
      </c>
      <c r="AF39" s="8" t="s">
        <v>969</v>
      </c>
      <c r="AG39" s="8">
        <v>304.0</v>
      </c>
      <c r="AH39" s="8">
        <v>544.0</v>
      </c>
      <c r="AI39" s="8">
        <v>635.0</v>
      </c>
      <c r="AJ39" s="8">
        <v>15.0</v>
      </c>
      <c r="AK39" s="8">
        <v>938.0</v>
      </c>
      <c r="AL39" s="8" t="s">
        <v>1091</v>
      </c>
      <c r="AM39" s="8" t="s">
        <v>1092</v>
      </c>
      <c r="AN39" s="8" t="s">
        <v>1093</v>
      </c>
      <c r="AO39" s="8" t="s">
        <v>2991</v>
      </c>
      <c r="AP39" s="8" t="s">
        <v>2992</v>
      </c>
      <c r="AQ39" s="8" t="s">
        <v>969</v>
      </c>
      <c r="AR39" s="8" t="s">
        <v>2993</v>
      </c>
      <c r="AS39" s="8" t="s">
        <v>2994</v>
      </c>
      <c r="AT39" s="8" t="s">
        <v>1055</v>
      </c>
      <c r="AU39" s="8">
        <v>2008.0</v>
      </c>
      <c r="AV39" s="8">
        <v>18.0</v>
      </c>
      <c r="AW39" s="8">
        <v>2.0</v>
      </c>
      <c r="AX39" s="8" t="s">
        <v>969</v>
      </c>
      <c r="AY39" s="8" t="s">
        <v>159</v>
      </c>
      <c r="AZ39" s="8" t="s">
        <v>969</v>
      </c>
      <c r="BA39" s="8" t="s">
        <v>969</v>
      </c>
      <c r="BB39" s="8" t="s">
        <v>2995</v>
      </c>
      <c r="BC39" s="8" t="s">
        <v>2996</v>
      </c>
      <c r="BD39" s="8" t="s">
        <v>969</v>
      </c>
      <c r="BE39" s="8" t="s">
        <v>833</v>
      </c>
      <c r="BF39" s="13" t="str">
        <f>HYPERLINK("http://dx.doi.org/10.1890/06-0546.1","http://dx.doi.org/10.1890/06-0546.1")</f>
        <v>http://dx.doi.org/10.1890/06-0546.1</v>
      </c>
      <c r="BG39" s="8" t="s">
        <v>969</v>
      </c>
      <c r="BH39" s="8" t="s">
        <v>969</v>
      </c>
      <c r="BI39" s="8">
        <v>29.0</v>
      </c>
      <c r="BJ39" s="8" t="s">
        <v>2997</v>
      </c>
      <c r="BK39" s="8" t="s">
        <v>988</v>
      </c>
      <c r="BL39" s="8" t="s">
        <v>1268</v>
      </c>
      <c r="BM39" s="8" t="s">
        <v>2998</v>
      </c>
      <c r="BN39" s="8">
        <v>1.8494365E7</v>
      </c>
      <c r="BO39" s="8" t="s">
        <v>1247</v>
      </c>
      <c r="BP39" s="8" t="s">
        <v>969</v>
      </c>
      <c r="BQ39" s="8" t="s">
        <v>969</v>
      </c>
      <c r="BR39" s="8" t="s">
        <v>3231</v>
      </c>
      <c r="BS39" s="8" t="s">
        <v>2999</v>
      </c>
      <c r="BT39" s="3" t="s">
        <v>3232</v>
      </c>
      <c r="BU39" s="8" t="str">
        <f>HYPERLINK("https%3A%2F%2Fwww.webofscience.com%2Fwos%2Fwoscc%2Ffull-record%2FWOS:000255381500007","View Full Record in Web of Science")</f>
        <v>View Full Record in Web of Science</v>
      </c>
    </row>
    <row r="40" ht="12.75" customHeight="1">
      <c r="A40" s="8" t="s">
        <v>967</v>
      </c>
      <c r="B40" s="8" t="s">
        <v>2572</v>
      </c>
      <c r="C40" s="8" t="s">
        <v>969</v>
      </c>
      <c r="D40" s="8" t="s">
        <v>969</v>
      </c>
      <c r="E40" s="8" t="s">
        <v>969</v>
      </c>
      <c r="F40" s="8" t="s">
        <v>2573</v>
      </c>
      <c r="G40" s="8" t="s">
        <v>969</v>
      </c>
      <c r="H40" s="8" t="s">
        <v>969</v>
      </c>
      <c r="I40" s="8" t="s">
        <v>2574</v>
      </c>
      <c r="J40" s="8" t="s">
        <v>971</v>
      </c>
      <c r="K40" s="8" t="s">
        <v>969</v>
      </c>
      <c r="L40" s="8" t="s">
        <v>969</v>
      </c>
      <c r="M40" s="8" t="s">
        <v>972</v>
      </c>
      <c r="N40" s="8" t="s">
        <v>973</v>
      </c>
      <c r="O40" s="8" t="s">
        <v>969</v>
      </c>
      <c r="P40" s="8" t="s">
        <v>969</v>
      </c>
      <c r="Q40" s="8" t="s">
        <v>969</v>
      </c>
      <c r="R40" s="8" t="s">
        <v>969</v>
      </c>
      <c r="S40" s="8" t="s">
        <v>969</v>
      </c>
      <c r="T40" s="8" t="s">
        <v>2575</v>
      </c>
      <c r="U40" s="8" t="s">
        <v>2576</v>
      </c>
      <c r="V40" s="8" t="s">
        <v>2577</v>
      </c>
      <c r="W40" s="8" t="s">
        <v>2578</v>
      </c>
      <c r="X40" s="8" t="s">
        <v>3030</v>
      </c>
      <c r="Y40" s="8" t="s">
        <v>2315</v>
      </c>
      <c r="Z40" s="8" t="s">
        <v>2316</v>
      </c>
      <c r="AA40" s="8" t="s">
        <v>3267</v>
      </c>
      <c r="AB40" s="8" t="s">
        <v>3268</v>
      </c>
      <c r="AC40" s="8" t="s">
        <v>2582</v>
      </c>
      <c r="AD40" s="8" t="s">
        <v>2583</v>
      </c>
      <c r="AE40" s="8" t="s">
        <v>2584</v>
      </c>
      <c r="AF40" s="8" t="s">
        <v>969</v>
      </c>
      <c r="AG40" s="8">
        <v>96.0</v>
      </c>
      <c r="AH40" s="8">
        <v>163.0</v>
      </c>
      <c r="AI40" s="8">
        <v>185.0</v>
      </c>
      <c r="AJ40" s="8">
        <v>3.0</v>
      </c>
      <c r="AK40" s="8">
        <v>293.0</v>
      </c>
      <c r="AL40" s="8" t="s">
        <v>1091</v>
      </c>
      <c r="AM40" s="8" t="s">
        <v>1092</v>
      </c>
      <c r="AN40" s="8" t="s">
        <v>1093</v>
      </c>
      <c r="AO40" s="8" t="s">
        <v>983</v>
      </c>
      <c r="AP40" s="8" t="s">
        <v>1094</v>
      </c>
      <c r="AQ40" s="8" t="s">
        <v>969</v>
      </c>
      <c r="AR40" s="8" t="s">
        <v>1095</v>
      </c>
      <c r="AS40" s="8" t="s">
        <v>985</v>
      </c>
      <c r="AT40" s="8" t="s">
        <v>1055</v>
      </c>
      <c r="AU40" s="8">
        <v>2013.0</v>
      </c>
      <c r="AV40" s="8">
        <v>19.0</v>
      </c>
      <c r="AW40" s="8">
        <v>3.0</v>
      </c>
      <c r="AX40" s="8" t="s">
        <v>969</v>
      </c>
      <c r="AY40" s="8" t="s">
        <v>969</v>
      </c>
      <c r="AZ40" s="8" t="s">
        <v>969</v>
      </c>
      <c r="BA40" s="8" t="s">
        <v>969</v>
      </c>
      <c r="BB40" s="8">
        <v>752.0</v>
      </c>
      <c r="BC40" s="8">
        <v>762.0</v>
      </c>
      <c r="BD40" s="8" t="s">
        <v>969</v>
      </c>
      <c r="BE40" s="8" t="s">
        <v>668</v>
      </c>
      <c r="BF40" s="13" t="str">
        <f>HYPERLINK("http://dx.doi.org/10.1111/gcb.12107","http://dx.doi.org/10.1111/gcb.12107")</f>
        <v>http://dx.doi.org/10.1111/gcb.12107</v>
      </c>
      <c r="BG40" s="8" t="s">
        <v>969</v>
      </c>
      <c r="BH40" s="8" t="s">
        <v>969</v>
      </c>
      <c r="BI40" s="8">
        <v>11.0</v>
      </c>
      <c r="BJ40" s="8" t="s">
        <v>987</v>
      </c>
      <c r="BK40" s="8" t="s">
        <v>988</v>
      </c>
      <c r="BL40" s="8" t="s">
        <v>989</v>
      </c>
      <c r="BM40" s="8" t="s">
        <v>2585</v>
      </c>
      <c r="BN40" s="8">
        <v>2.3504833E7</v>
      </c>
      <c r="BO40" s="8" t="s">
        <v>969</v>
      </c>
      <c r="BP40" s="8" t="s">
        <v>969</v>
      </c>
      <c r="BQ40" s="8" t="s">
        <v>969</v>
      </c>
      <c r="BR40" s="8" t="s">
        <v>3231</v>
      </c>
      <c r="BS40" s="8" t="s">
        <v>2586</v>
      </c>
      <c r="BT40" s="3" t="s">
        <v>3232</v>
      </c>
      <c r="BU40" s="8" t="str">
        <f>HYPERLINK("https%3A%2F%2Fwww.webofscience.com%2Fwos%2Fwoscc%2Ffull-record%2FWOS:000314219700008","View Full Record in Web of Science")</f>
        <v>View Full Record in Web of Science</v>
      </c>
    </row>
    <row r="41" ht="12.75" customHeight="1">
      <c r="A41" s="8" t="s">
        <v>967</v>
      </c>
      <c r="B41" s="8" t="s">
        <v>1690</v>
      </c>
      <c r="C41" s="8" t="s">
        <v>969</v>
      </c>
      <c r="D41" s="8" t="s">
        <v>969</v>
      </c>
      <c r="E41" s="8" t="s">
        <v>969</v>
      </c>
      <c r="F41" s="8" t="s">
        <v>1691</v>
      </c>
      <c r="G41" s="8" t="s">
        <v>969</v>
      </c>
      <c r="H41" s="8" t="s">
        <v>969</v>
      </c>
      <c r="I41" s="8" t="s">
        <v>1692</v>
      </c>
      <c r="J41" s="8" t="s">
        <v>971</v>
      </c>
      <c r="K41" s="8" t="s">
        <v>969</v>
      </c>
      <c r="L41" s="8" t="s">
        <v>969</v>
      </c>
      <c r="M41" s="8" t="s">
        <v>972</v>
      </c>
      <c r="N41" s="8" t="s">
        <v>973</v>
      </c>
      <c r="O41" s="8" t="s">
        <v>969</v>
      </c>
      <c r="P41" s="8" t="s">
        <v>969</v>
      </c>
      <c r="Q41" s="8" t="s">
        <v>969</v>
      </c>
      <c r="R41" s="8" t="s">
        <v>969</v>
      </c>
      <c r="S41" s="8" t="s">
        <v>969</v>
      </c>
      <c r="T41" s="8" t="s">
        <v>1693</v>
      </c>
      <c r="U41" s="8" t="s">
        <v>1694</v>
      </c>
      <c r="V41" s="8" t="s">
        <v>1695</v>
      </c>
      <c r="W41" s="8" t="s">
        <v>1696</v>
      </c>
      <c r="X41" s="8" t="s">
        <v>1697</v>
      </c>
      <c r="Y41" s="8" t="s">
        <v>1107</v>
      </c>
      <c r="Z41" s="8" t="s">
        <v>1698</v>
      </c>
      <c r="AA41" s="8" t="s">
        <v>3269</v>
      </c>
      <c r="AB41" s="8" t="s">
        <v>3270</v>
      </c>
      <c r="AC41" s="8" t="s">
        <v>969</v>
      </c>
      <c r="AD41" s="8" t="s">
        <v>969</v>
      </c>
      <c r="AE41" s="8" t="s">
        <v>969</v>
      </c>
      <c r="AF41" s="8" t="s">
        <v>969</v>
      </c>
      <c r="AG41" s="8">
        <v>77.0</v>
      </c>
      <c r="AH41" s="8">
        <v>154.0</v>
      </c>
      <c r="AI41" s="8">
        <v>187.0</v>
      </c>
      <c r="AJ41" s="8">
        <v>1.0</v>
      </c>
      <c r="AK41" s="8">
        <v>86.0</v>
      </c>
      <c r="AL41" s="8" t="s">
        <v>1010</v>
      </c>
      <c r="AM41" s="8" t="s">
        <v>1092</v>
      </c>
      <c r="AN41" s="8" t="s">
        <v>1093</v>
      </c>
      <c r="AO41" s="8" t="s">
        <v>983</v>
      </c>
      <c r="AP41" s="8" t="s">
        <v>1094</v>
      </c>
      <c r="AQ41" s="8" t="s">
        <v>969</v>
      </c>
      <c r="AR41" s="8" t="s">
        <v>1095</v>
      </c>
      <c r="AS41" s="8" t="s">
        <v>985</v>
      </c>
      <c r="AT41" s="8" t="s">
        <v>1096</v>
      </c>
      <c r="AU41" s="8">
        <v>2007.0</v>
      </c>
      <c r="AV41" s="8">
        <v>13.0</v>
      </c>
      <c r="AW41" s="8">
        <v>7.0</v>
      </c>
      <c r="AX41" s="8" t="s">
        <v>969</v>
      </c>
      <c r="AY41" s="8" t="s">
        <v>969</v>
      </c>
      <c r="AZ41" s="8" t="s">
        <v>969</v>
      </c>
      <c r="BA41" s="8" t="s">
        <v>969</v>
      </c>
      <c r="BB41" s="8">
        <v>1368.0</v>
      </c>
      <c r="BC41" s="8">
        <v>1385.0</v>
      </c>
      <c r="BD41" s="8" t="s">
        <v>969</v>
      </c>
      <c r="BE41" s="8" t="s">
        <v>698</v>
      </c>
      <c r="BF41" s="13" t="str">
        <f>HYPERLINK("http://dx.doi.org/10.1111/j.1365-2486.2007.01357.x","http://dx.doi.org/10.1111/j.1365-2486.2007.01357.x")</f>
        <v>http://dx.doi.org/10.1111/j.1365-2486.2007.01357.x</v>
      </c>
      <c r="BG41" s="8" t="s">
        <v>969</v>
      </c>
      <c r="BH41" s="8" t="s">
        <v>969</v>
      </c>
      <c r="BI41" s="8">
        <v>18.0</v>
      </c>
      <c r="BJ41" s="8" t="s">
        <v>987</v>
      </c>
      <c r="BK41" s="8" t="s">
        <v>988</v>
      </c>
      <c r="BL41" s="8" t="s">
        <v>989</v>
      </c>
      <c r="BM41" s="8" t="s">
        <v>1701</v>
      </c>
      <c r="BN41" s="8" t="s">
        <v>969</v>
      </c>
      <c r="BO41" s="8" t="s">
        <v>969</v>
      </c>
      <c r="BP41" s="8" t="s">
        <v>969</v>
      </c>
      <c r="BQ41" s="8" t="s">
        <v>969</v>
      </c>
      <c r="BR41" s="8" t="s">
        <v>3231</v>
      </c>
      <c r="BS41" s="8" t="s">
        <v>1702</v>
      </c>
      <c r="BT41" s="3" t="s">
        <v>3232</v>
      </c>
      <c r="BU41" s="8" t="str">
        <f>HYPERLINK("https%3A%2F%2Fwww.webofscience.com%2Fwos%2Fwoscc%2Ffull-record%2FWOS:000248945800007","View Full Record in Web of Science")</f>
        <v>View Full Record in Web of Science</v>
      </c>
    </row>
    <row r="42" ht="12.75" customHeight="1">
      <c r="A42" s="8" t="s">
        <v>967</v>
      </c>
      <c r="B42" s="8" t="s">
        <v>2831</v>
      </c>
      <c r="C42" s="8" t="s">
        <v>969</v>
      </c>
      <c r="D42" s="8" t="s">
        <v>969</v>
      </c>
      <c r="E42" s="8" t="s">
        <v>969</v>
      </c>
      <c r="F42" s="8" t="s">
        <v>2831</v>
      </c>
      <c r="G42" s="8" t="s">
        <v>969</v>
      </c>
      <c r="H42" s="8" t="s">
        <v>969</v>
      </c>
      <c r="I42" s="8" t="s">
        <v>2832</v>
      </c>
      <c r="J42" s="8" t="s">
        <v>1183</v>
      </c>
      <c r="K42" s="8" t="s">
        <v>969</v>
      </c>
      <c r="L42" s="8" t="s">
        <v>969</v>
      </c>
      <c r="M42" s="8" t="s">
        <v>972</v>
      </c>
      <c r="N42" s="8" t="s">
        <v>973</v>
      </c>
      <c r="O42" s="8" t="s">
        <v>969</v>
      </c>
      <c r="P42" s="8" t="s">
        <v>969</v>
      </c>
      <c r="Q42" s="8" t="s">
        <v>969</v>
      </c>
      <c r="R42" s="8" t="s">
        <v>969</v>
      </c>
      <c r="S42" s="8" t="s">
        <v>969</v>
      </c>
      <c r="T42" s="8" t="s">
        <v>2833</v>
      </c>
      <c r="U42" s="8" t="s">
        <v>2834</v>
      </c>
      <c r="V42" s="8" t="s">
        <v>2835</v>
      </c>
      <c r="W42" s="8" t="s">
        <v>2836</v>
      </c>
      <c r="X42" s="8" t="s">
        <v>969</v>
      </c>
      <c r="Y42" s="8" t="s">
        <v>969</v>
      </c>
      <c r="Z42" s="8" t="s">
        <v>969</v>
      </c>
      <c r="AA42" s="8" t="s">
        <v>969</v>
      </c>
      <c r="AB42" s="8" t="s">
        <v>969</v>
      </c>
      <c r="AC42" s="8" t="s">
        <v>969</v>
      </c>
      <c r="AD42" s="8" t="s">
        <v>969</v>
      </c>
      <c r="AE42" s="8" t="s">
        <v>969</v>
      </c>
      <c r="AF42" s="8" t="s">
        <v>969</v>
      </c>
      <c r="AG42" s="8">
        <v>47.0</v>
      </c>
      <c r="AH42" s="8">
        <v>111.0</v>
      </c>
      <c r="AI42" s="8">
        <v>121.0</v>
      </c>
      <c r="AJ42" s="8">
        <v>0.0</v>
      </c>
      <c r="AK42" s="8">
        <v>42.0</v>
      </c>
      <c r="AL42" s="8" t="s">
        <v>1192</v>
      </c>
      <c r="AM42" s="8" t="s">
        <v>981</v>
      </c>
      <c r="AN42" s="8" t="s">
        <v>2837</v>
      </c>
      <c r="AO42" s="8" t="s">
        <v>1195</v>
      </c>
      <c r="AP42" s="8" t="s">
        <v>969</v>
      </c>
      <c r="AQ42" s="8" t="s">
        <v>969</v>
      </c>
      <c r="AR42" s="8" t="s">
        <v>1197</v>
      </c>
      <c r="AS42" s="8" t="s">
        <v>1198</v>
      </c>
      <c r="AT42" s="8" t="s">
        <v>969</v>
      </c>
      <c r="AU42" s="8">
        <v>1995.0</v>
      </c>
      <c r="AV42" s="8">
        <v>72.0</v>
      </c>
      <c r="AW42" s="8">
        <v>3.0</v>
      </c>
      <c r="AX42" s="8" t="s">
        <v>969</v>
      </c>
      <c r="AY42" s="8" t="s">
        <v>969</v>
      </c>
      <c r="AZ42" s="8" t="s">
        <v>969</v>
      </c>
      <c r="BA42" s="8" t="s">
        <v>969</v>
      </c>
      <c r="BB42" s="8">
        <v>339.0</v>
      </c>
      <c r="BC42" s="8">
        <v>354.0</v>
      </c>
      <c r="BD42" s="8" t="s">
        <v>969</v>
      </c>
      <c r="BE42" s="8" t="s">
        <v>539</v>
      </c>
      <c r="BF42" s="13" t="str">
        <f>HYPERLINK("http://dx.doi.org/10.1016/0006-3207(94)00016-J","http://dx.doi.org/10.1016/0006-3207(94)00016-J")</f>
        <v>http://dx.doi.org/10.1016/0006-3207(94)00016-J</v>
      </c>
      <c r="BG42" s="8" t="s">
        <v>969</v>
      </c>
      <c r="BH42" s="8" t="s">
        <v>969</v>
      </c>
      <c r="BI42" s="8">
        <v>16.0</v>
      </c>
      <c r="BJ42" s="8" t="s">
        <v>987</v>
      </c>
      <c r="BK42" s="8" t="s">
        <v>988</v>
      </c>
      <c r="BL42" s="8" t="s">
        <v>989</v>
      </c>
      <c r="BM42" s="8" t="s">
        <v>2838</v>
      </c>
      <c r="BN42" s="8" t="s">
        <v>969</v>
      </c>
      <c r="BO42" s="8" t="s">
        <v>969</v>
      </c>
      <c r="BP42" s="8" t="s">
        <v>969</v>
      </c>
      <c r="BQ42" s="8" t="s">
        <v>969</v>
      </c>
      <c r="BR42" s="8" t="s">
        <v>3231</v>
      </c>
      <c r="BS42" s="8" t="s">
        <v>2839</v>
      </c>
      <c r="BT42" s="3" t="s">
        <v>3232</v>
      </c>
      <c r="BU42" s="8" t="str">
        <f>HYPERLINK("https%3A%2F%2Fwww.webofscience.com%2Fwos%2Fwoscc%2Ffull-record%2FWOS:A1995RA24200001","View Full Record in Web of Science")</f>
        <v>View Full Record in Web of Science</v>
      </c>
    </row>
    <row r="43" ht="12.75" customHeight="1">
      <c r="A43" s="8" t="s">
        <v>967</v>
      </c>
      <c r="B43" s="8" t="s">
        <v>2237</v>
      </c>
      <c r="C43" s="8" t="s">
        <v>969</v>
      </c>
      <c r="D43" s="8" t="s">
        <v>969</v>
      </c>
      <c r="E43" s="8" t="s">
        <v>969</v>
      </c>
      <c r="F43" s="8" t="s">
        <v>2238</v>
      </c>
      <c r="G43" s="8" t="s">
        <v>969</v>
      </c>
      <c r="H43" s="8" t="s">
        <v>969</v>
      </c>
      <c r="I43" s="8" t="s">
        <v>2239</v>
      </c>
      <c r="J43" s="8" t="s">
        <v>971</v>
      </c>
      <c r="K43" s="8" t="s">
        <v>969</v>
      </c>
      <c r="L43" s="8" t="s">
        <v>969</v>
      </c>
      <c r="M43" s="8" t="s">
        <v>972</v>
      </c>
      <c r="N43" s="8" t="s">
        <v>973</v>
      </c>
      <c r="O43" s="8" t="s">
        <v>969</v>
      </c>
      <c r="P43" s="8" t="s">
        <v>969</v>
      </c>
      <c r="Q43" s="8" t="s">
        <v>969</v>
      </c>
      <c r="R43" s="8" t="s">
        <v>969</v>
      </c>
      <c r="S43" s="8" t="s">
        <v>969</v>
      </c>
      <c r="T43" s="8" t="s">
        <v>2240</v>
      </c>
      <c r="U43" s="8" t="s">
        <v>2241</v>
      </c>
      <c r="V43" s="8" t="s">
        <v>2242</v>
      </c>
      <c r="W43" s="8" t="s">
        <v>2243</v>
      </c>
      <c r="X43" s="8" t="s">
        <v>3047</v>
      </c>
      <c r="Y43" s="8" t="s">
        <v>2245</v>
      </c>
      <c r="Z43" s="8" t="s">
        <v>2246</v>
      </c>
      <c r="AA43" s="8" t="s">
        <v>3271</v>
      </c>
      <c r="AB43" s="8" t="s">
        <v>3272</v>
      </c>
      <c r="AC43" s="8" t="s">
        <v>2249</v>
      </c>
      <c r="AD43" s="8" t="s">
        <v>2250</v>
      </c>
      <c r="AE43" s="8" t="s">
        <v>2251</v>
      </c>
      <c r="AF43" s="8" t="s">
        <v>969</v>
      </c>
      <c r="AG43" s="8">
        <v>67.0</v>
      </c>
      <c r="AH43" s="8">
        <v>525.0</v>
      </c>
      <c r="AI43" s="8">
        <v>583.0</v>
      </c>
      <c r="AJ43" s="8">
        <v>3.0</v>
      </c>
      <c r="AK43" s="8">
        <v>450.0</v>
      </c>
      <c r="AL43" s="8" t="s">
        <v>1091</v>
      </c>
      <c r="AM43" s="8" t="s">
        <v>1092</v>
      </c>
      <c r="AN43" s="8" t="s">
        <v>1093</v>
      </c>
      <c r="AO43" s="8" t="s">
        <v>983</v>
      </c>
      <c r="AP43" s="8" t="s">
        <v>1094</v>
      </c>
      <c r="AQ43" s="8" t="s">
        <v>969</v>
      </c>
      <c r="AR43" s="8" t="s">
        <v>1095</v>
      </c>
      <c r="AS43" s="8" t="s">
        <v>985</v>
      </c>
      <c r="AT43" s="8" t="s">
        <v>1096</v>
      </c>
      <c r="AU43" s="8">
        <v>2011.0</v>
      </c>
      <c r="AV43" s="8">
        <v>17.0</v>
      </c>
      <c r="AW43" s="8">
        <v>7.0</v>
      </c>
      <c r="AX43" s="8" t="s">
        <v>969</v>
      </c>
      <c r="AY43" s="8" t="s">
        <v>969</v>
      </c>
      <c r="AZ43" s="8" t="s">
        <v>969</v>
      </c>
      <c r="BA43" s="8" t="s">
        <v>969</v>
      </c>
      <c r="BB43" s="8">
        <v>2330.0</v>
      </c>
      <c r="BC43" s="8">
        <v>2341.0</v>
      </c>
      <c r="BD43" s="8" t="s">
        <v>969</v>
      </c>
      <c r="BE43" s="8" t="s">
        <v>722</v>
      </c>
      <c r="BF43" s="13" t="str">
        <f>HYPERLINK("http://dx.doi.org/10.1111/j.1365-2486.2010.02393.x","http://dx.doi.org/10.1111/j.1365-2486.2010.02393.x")</f>
        <v>http://dx.doi.org/10.1111/j.1365-2486.2010.02393.x</v>
      </c>
      <c r="BG43" s="8" t="s">
        <v>969</v>
      </c>
      <c r="BH43" s="8" t="s">
        <v>969</v>
      </c>
      <c r="BI43" s="8">
        <v>12.0</v>
      </c>
      <c r="BJ43" s="8" t="s">
        <v>987</v>
      </c>
      <c r="BK43" s="8" t="s">
        <v>988</v>
      </c>
      <c r="BL43" s="8" t="s">
        <v>989</v>
      </c>
      <c r="BM43" s="8" t="s">
        <v>2252</v>
      </c>
      <c r="BN43" s="8" t="s">
        <v>969</v>
      </c>
      <c r="BO43" s="8" t="s">
        <v>969</v>
      </c>
      <c r="BP43" s="8" t="s">
        <v>969</v>
      </c>
      <c r="BQ43" s="8" t="s">
        <v>969</v>
      </c>
      <c r="BR43" s="8" t="s">
        <v>3231</v>
      </c>
      <c r="BS43" s="8" t="s">
        <v>2253</v>
      </c>
      <c r="BT43" s="3" t="s">
        <v>3232</v>
      </c>
      <c r="BU43" s="8" t="str">
        <f>HYPERLINK("https%3A%2F%2Fwww.webofscience.com%2Fwos%2Fwoscc%2Ffull-record%2FWOS:000291221000006","View Full Record in Web of Science")</f>
        <v>View Full Record in Web of Science</v>
      </c>
    </row>
    <row r="44" ht="12.75" customHeight="1">
      <c r="A44" s="8" t="s">
        <v>967</v>
      </c>
      <c r="B44" s="8" t="s">
        <v>2355</v>
      </c>
      <c r="C44" s="8" t="s">
        <v>969</v>
      </c>
      <c r="D44" s="8" t="s">
        <v>969</v>
      </c>
      <c r="E44" s="8" t="s">
        <v>969</v>
      </c>
      <c r="F44" s="8" t="s">
        <v>2356</v>
      </c>
      <c r="G44" s="8" t="s">
        <v>969</v>
      </c>
      <c r="H44" s="8" t="s">
        <v>969</v>
      </c>
      <c r="I44" s="8" t="s">
        <v>2357</v>
      </c>
      <c r="J44" s="8" t="s">
        <v>2358</v>
      </c>
      <c r="K44" s="8" t="s">
        <v>969</v>
      </c>
      <c r="L44" s="8" t="s">
        <v>969</v>
      </c>
      <c r="M44" s="8" t="s">
        <v>972</v>
      </c>
      <c r="N44" s="8" t="s">
        <v>973</v>
      </c>
      <c r="O44" s="8" t="s">
        <v>969</v>
      </c>
      <c r="P44" s="8" t="s">
        <v>969</v>
      </c>
      <c r="Q44" s="8" t="s">
        <v>969</v>
      </c>
      <c r="R44" s="8" t="s">
        <v>969</v>
      </c>
      <c r="S44" s="8" t="s">
        <v>969</v>
      </c>
      <c r="T44" s="8" t="s">
        <v>969</v>
      </c>
      <c r="U44" s="8" t="s">
        <v>2359</v>
      </c>
      <c r="V44" s="8" t="s">
        <v>2360</v>
      </c>
      <c r="W44" s="8" t="s">
        <v>2361</v>
      </c>
      <c r="X44" s="8" t="s">
        <v>2362</v>
      </c>
      <c r="Y44" s="8" t="s">
        <v>2363</v>
      </c>
      <c r="Z44" s="8" t="s">
        <v>2364</v>
      </c>
      <c r="AA44" s="8" t="s">
        <v>3273</v>
      </c>
      <c r="AB44" s="8" t="s">
        <v>3274</v>
      </c>
      <c r="AC44" s="8" t="s">
        <v>2367</v>
      </c>
      <c r="AD44" s="8" t="s">
        <v>2367</v>
      </c>
      <c r="AE44" s="8" t="s">
        <v>2368</v>
      </c>
      <c r="AF44" s="8" t="s">
        <v>969</v>
      </c>
      <c r="AG44" s="8">
        <v>30.0</v>
      </c>
      <c r="AH44" s="8">
        <v>312.0</v>
      </c>
      <c r="AI44" s="8">
        <v>334.0</v>
      </c>
      <c r="AJ44" s="8">
        <v>4.0</v>
      </c>
      <c r="AK44" s="8">
        <v>253.0</v>
      </c>
      <c r="AL44" s="8" t="s">
        <v>1070</v>
      </c>
      <c r="AM44" s="8" t="s">
        <v>1071</v>
      </c>
      <c r="AN44" s="8" t="s">
        <v>1072</v>
      </c>
      <c r="AO44" s="8" t="s">
        <v>2369</v>
      </c>
      <c r="AP44" s="8" t="s">
        <v>2370</v>
      </c>
      <c r="AQ44" s="8" t="s">
        <v>969</v>
      </c>
      <c r="AR44" s="8" t="s">
        <v>2371</v>
      </c>
      <c r="AS44" s="8" t="s">
        <v>2372</v>
      </c>
      <c r="AT44" s="8" t="s">
        <v>1300</v>
      </c>
      <c r="AU44" s="8">
        <v>2011.0</v>
      </c>
      <c r="AV44" s="8">
        <v>1.0</v>
      </c>
      <c r="AW44" s="8">
        <v>6.0</v>
      </c>
      <c r="AX44" s="8" t="s">
        <v>969</v>
      </c>
      <c r="AY44" s="8" t="s">
        <v>969</v>
      </c>
      <c r="AZ44" s="8" t="s">
        <v>969</v>
      </c>
      <c r="BA44" s="8" t="s">
        <v>969</v>
      </c>
      <c r="BB44" s="8">
        <v>313.0</v>
      </c>
      <c r="BC44" s="8">
        <v>318.0</v>
      </c>
      <c r="BD44" s="8" t="s">
        <v>969</v>
      </c>
      <c r="BE44" s="8" t="s">
        <v>2373</v>
      </c>
      <c r="BF44" s="13" t="str">
        <f>HYPERLINK("http://dx.doi.org/10.1038/NCLIMATE1191","http://dx.doi.org/10.1038/NCLIMATE1191")</f>
        <v>http://dx.doi.org/10.1038/NCLIMATE1191</v>
      </c>
      <c r="BG44" s="8" t="s">
        <v>969</v>
      </c>
      <c r="BH44" s="8" t="s">
        <v>969</v>
      </c>
      <c r="BI44" s="8">
        <v>6.0</v>
      </c>
      <c r="BJ44" s="8" t="s">
        <v>2374</v>
      </c>
      <c r="BK44" s="8" t="s">
        <v>1519</v>
      </c>
      <c r="BL44" s="8" t="s">
        <v>1038</v>
      </c>
      <c r="BM44" s="8" t="s">
        <v>2375</v>
      </c>
      <c r="BN44" s="8" t="s">
        <v>969</v>
      </c>
      <c r="BO44" s="8" t="s">
        <v>969</v>
      </c>
      <c r="BP44" s="8" t="s">
        <v>969</v>
      </c>
      <c r="BQ44" s="8" t="s">
        <v>969</v>
      </c>
      <c r="BR44" s="8" t="s">
        <v>3231</v>
      </c>
      <c r="BS44" s="8" t="s">
        <v>2376</v>
      </c>
      <c r="BT44" s="3" t="s">
        <v>3232</v>
      </c>
      <c r="BU44" s="8" t="str">
        <f>HYPERLINK("https%3A%2F%2Fwww.webofscience.com%2Fwos%2Fwoscc%2Ffull-record%2FWOS:000295799900018","View Full Record in Web of Science")</f>
        <v>View Full Record in Web of Science</v>
      </c>
    </row>
    <row r="45" ht="12.75" customHeight="1">
      <c r="A45" s="8" t="s">
        <v>967</v>
      </c>
      <c r="B45" s="8" t="s">
        <v>1080</v>
      </c>
      <c r="C45" s="8" t="s">
        <v>969</v>
      </c>
      <c r="D45" s="8" t="s">
        <v>969</v>
      </c>
      <c r="E45" s="8" t="s">
        <v>969</v>
      </c>
      <c r="F45" s="8" t="s">
        <v>1080</v>
      </c>
      <c r="G45" s="8" t="s">
        <v>969</v>
      </c>
      <c r="H45" s="8" t="s">
        <v>969</v>
      </c>
      <c r="I45" s="8" t="s">
        <v>1081</v>
      </c>
      <c r="J45" s="8" t="s">
        <v>971</v>
      </c>
      <c r="K45" s="8" t="s">
        <v>969</v>
      </c>
      <c r="L45" s="8" t="s">
        <v>969</v>
      </c>
      <c r="M45" s="8" t="s">
        <v>972</v>
      </c>
      <c r="N45" s="8" t="s">
        <v>973</v>
      </c>
      <c r="O45" s="8" t="s">
        <v>969</v>
      </c>
      <c r="P45" s="8" t="s">
        <v>969</v>
      </c>
      <c r="Q45" s="8" t="s">
        <v>969</v>
      </c>
      <c r="R45" s="8" t="s">
        <v>969</v>
      </c>
      <c r="S45" s="8" t="s">
        <v>969</v>
      </c>
      <c r="T45" s="8" t="s">
        <v>1082</v>
      </c>
      <c r="U45" s="8" t="s">
        <v>1083</v>
      </c>
      <c r="V45" s="8" t="s">
        <v>1084</v>
      </c>
      <c r="W45" s="8" t="s">
        <v>1085</v>
      </c>
      <c r="X45" s="8" t="s">
        <v>1086</v>
      </c>
      <c r="Y45" s="8" t="s">
        <v>1087</v>
      </c>
      <c r="Z45" s="8" t="s">
        <v>1088</v>
      </c>
      <c r="AA45" s="8" t="s">
        <v>3275</v>
      </c>
      <c r="AB45" s="8" t="s">
        <v>3276</v>
      </c>
      <c r="AC45" s="8" t="s">
        <v>969</v>
      </c>
      <c r="AD45" s="8" t="s">
        <v>969</v>
      </c>
      <c r="AE45" s="8" t="s">
        <v>969</v>
      </c>
      <c r="AF45" s="8" t="s">
        <v>969</v>
      </c>
      <c r="AG45" s="8">
        <v>96.0</v>
      </c>
      <c r="AH45" s="8">
        <v>233.0</v>
      </c>
      <c r="AI45" s="8">
        <v>294.0</v>
      </c>
      <c r="AJ45" s="8">
        <v>1.0</v>
      </c>
      <c r="AK45" s="8">
        <v>89.0</v>
      </c>
      <c r="AL45" s="8" t="s">
        <v>1091</v>
      </c>
      <c r="AM45" s="8" t="s">
        <v>1092</v>
      </c>
      <c r="AN45" s="8" t="s">
        <v>1093</v>
      </c>
      <c r="AO45" s="8" t="s">
        <v>983</v>
      </c>
      <c r="AP45" s="8" t="s">
        <v>1094</v>
      </c>
      <c r="AQ45" s="8" t="s">
        <v>969</v>
      </c>
      <c r="AR45" s="8" t="s">
        <v>1095</v>
      </c>
      <c r="AS45" s="8" t="s">
        <v>985</v>
      </c>
      <c r="AT45" s="8" t="s">
        <v>1096</v>
      </c>
      <c r="AU45" s="8">
        <v>2002.0</v>
      </c>
      <c r="AV45" s="8">
        <v>8.0</v>
      </c>
      <c r="AW45" s="8">
        <v>7.0</v>
      </c>
      <c r="AX45" s="8" t="s">
        <v>969</v>
      </c>
      <c r="AY45" s="8" t="s">
        <v>969</v>
      </c>
      <c r="AZ45" s="8" t="s">
        <v>969</v>
      </c>
      <c r="BA45" s="8" t="s">
        <v>969</v>
      </c>
      <c r="BB45" s="8">
        <v>679.0</v>
      </c>
      <c r="BC45" s="8">
        <v>693.0</v>
      </c>
      <c r="BD45" s="8" t="s">
        <v>969</v>
      </c>
      <c r="BE45" s="8" t="s">
        <v>611</v>
      </c>
      <c r="BF45" s="13" t="str">
        <f>HYPERLINK("http://dx.doi.org/10.1046/j.1365-2486.2002.00502.x","http://dx.doi.org/10.1046/j.1365-2486.2002.00502.x")</f>
        <v>http://dx.doi.org/10.1046/j.1365-2486.2002.00502.x</v>
      </c>
      <c r="BG45" s="8" t="s">
        <v>969</v>
      </c>
      <c r="BH45" s="8" t="s">
        <v>969</v>
      </c>
      <c r="BI45" s="8">
        <v>15.0</v>
      </c>
      <c r="BJ45" s="8" t="s">
        <v>987</v>
      </c>
      <c r="BK45" s="8" t="s">
        <v>988</v>
      </c>
      <c r="BL45" s="8" t="s">
        <v>989</v>
      </c>
      <c r="BM45" s="8" t="s">
        <v>1097</v>
      </c>
      <c r="BN45" s="8" t="s">
        <v>969</v>
      </c>
      <c r="BO45" s="8" t="s">
        <v>969</v>
      </c>
      <c r="BP45" s="8" t="s">
        <v>969</v>
      </c>
      <c r="BQ45" s="8" t="s">
        <v>969</v>
      </c>
      <c r="BR45" s="8" t="s">
        <v>3231</v>
      </c>
      <c r="BS45" s="8" t="s">
        <v>1098</v>
      </c>
      <c r="BT45" s="3" t="s">
        <v>3232</v>
      </c>
      <c r="BU45" s="8" t="str">
        <f>HYPERLINK("https%3A%2F%2Fwww.webofscience.com%2Fwos%2Fwoscc%2Ffull-record%2FWOS:000176055800007","View Full Record in Web of Science")</f>
        <v>View Full Record in Web of Science</v>
      </c>
    </row>
    <row r="46" ht="12.75" customHeight="1">
      <c r="A46" s="8" t="s">
        <v>967</v>
      </c>
      <c r="B46" s="8" t="s">
        <v>2181</v>
      </c>
      <c r="C46" s="8" t="s">
        <v>969</v>
      </c>
      <c r="D46" s="8" t="s">
        <v>969</v>
      </c>
      <c r="E46" s="8" t="s">
        <v>969</v>
      </c>
      <c r="F46" s="8" t="s">
        <v>2182</v>
      </c>
      <c r="G46" s="8" t="s">
        <v>969</v>
      </c>
      <c r="H46" s="8" t="s">
        <v>969</v>
      </c>
      <c r="I46" s="8" t="s">
        <v>2183</v>
      </c>
      <c r="J46" s="8" t="s">
        <v>971</v>
      </c>
      <c r="K46" s="8" t="s">
        <v>969</v>
      </c>
      <c r="L46" s="8" t="s">
        <v>969</v>
      </c>
      <c r="M46" s="8" t="s">
        <v>972</v>
      </c>
      <c r="N46" s="8" t="s">
        <v>973</v>
      </c>
      <c r="O46" s="8" t="s">
        <v>969</v>
      </c>
      <c r="P46" s="8" t="s">
        <v>969</v>
      </c>
      <c r="Q46" s="8" t="s">
        <v>969</v>
      </c>
      <c r="R46" s="8" t="s">
        <v>969</v>
      </c>
      <c r="S46" s="8" t="s">
        <v>969</v>
      </c>
      <c r="T46" s="8" t="s">
        <v>2184</v>
      </c>
      <c r="U46" s="8" t="s">
        <v>2185</v>
      </c>
      <c r="V46" s="8" t="s">
        <v>2186</v>
      </c>
      <c r="W46" s="8" t="s">
        <v>2187</v>
      </c>
      <c r="X46" s="8" t="s">
        <v>2188</v>
      </c>
      <c r="Y46" s="8" t="s">
        <v>2189</v>
      </c>
      <c r="Z46" s="8" t="s">
        <v>2190</v>
      </c>
      <c r="AA46" s="8" t="s">
        <v>3277</v>
      </c>
      <c r="AB46" s="8" t="s">
        <v>3278</v>
      </c>
      <c r="AC46" s="8" t="s">
        <v>3054</v>
      </c>
      <c r="AD46" s="8" t="s">
        <v>2194</v>
      </c>
      <c r="AE46" s="8" t="s">
        <v>2195</v>
      </c>
      <c r="AF46" s="8" t="s">
        <v>969</v>
      </c>
      <c r="AG46" s="8">
        <v>54.0</v>
      </c>
      <c r="AH46" s="8">
        <v>206.0</v>
      </c>
      <c r="AI46" s="8">
        <v>246.0</v>
      </c>
      <c r="AJ46" s="8">
        <v>1.0</v>
      </c>
      <c r="AK46" s="8">
        <v>159.0</v>
      </c>
      <c r="AL46" s="8" t="s">
        <v>1091</v>
      </c>
      <c r="AM46" s="8" t="s">
        <v>1092</v>
      </c>
      <c r="AN46" s="8" t="s">
        <v>1093</v>
      </c>
      <c r="AO46" s="8" t="s">
        <v>983</v>
      </c>
      <c r="AP46" s="8" t="s">
        <v>1094</v>
      </c>
      <c r="AQ46" s="8" t="s">
        <v>969</v>
      </c>
      <c r="AR46" s="8" t="s">
        <v>1095</v>
      </c>
      <c r="AS46" s="8" t="s">
        <v>985</v>
      </c>
      <c r="AT46" s="8" t="s">
        <v>1036</v>
      </c>
      <c r="AU46" s="8">
        <v>2010.0</v>
      </c>
      <c r="AV46" s="8">
        <v>16.0</v>
      </c>
      <c r="AW46" s="8">
        <v>2.0</v>
      </c>
      <c r="AX46" s="8" t="s">
        <v>969</v>
      </c>
      <c r="AY46" s="8" t="s">
        <v>969</v>
      </c>
      <c r="AZ46" s="8" t="s">
        <v>969</v>
      </c>
      <c r="BA46" s="8" t="s">
        <v>969</v>
      </c>
      <c r="BB46" s="8">
        <v>561.0</v>
      </c>
      <c r="BC46" s="8">
        <v>576.0</v>
      </c>
      <c r="BD46" s="8" t="s">
        <v>969</v>
      </c>
      <c r="BE46" s="8" t="s">
        <v>716</v>
      </c>
      <c r="BF46" s="13" t="str">
        <f>HYPERLINK("http://dx.doi.org/10.1111/j.1365-2486.2009.02021.x","http://dx.doi.org/10.1111/j.1365-2486.2009.02021.x")</f>
        <v>http://dx.doi.org/10.1111/j.1365-2486.2009.02021.x</v>
      </c>
      <c r="BG46" s="8" t="s">
        <v>969</v>
      </c>
      <c r="BH46" s="8" t="s">
        <v>969</v>
      </c>
      <c r="BI46" s="8">
        <v>16.0</v>
      </c>
      <c r="BJ46" s="8" t="s">
        <v>987</v>
      </c>
      <c r="BK46" s="8" t="s">
        <v>988</v>
      </c>
      <c r="BL46" s="8" t="s">
        <v>989</v>
      </c>
      <c r="BM46" s="8" t="s">
        <v>2196</v>
      </c>
      <c r="BN46" s="8" t="s">
        <v>969</v>
      </c>
      <c r="BO46" s="8" t="s">
        <v>969</v>
      </c>
      <c r="BP46" s="8" t="s">
        <v>969</v>
      </c>
      <c r="BQ46" s="8" t="s">
        <v>969</v>
      </c>
      <c r="BR46" s="8" t="s">
        <v>3231</v>
      </c>
      <c r="BS46" s="8" t="s">
        <v>2197</v>
      </c>
      <c r="BT46" s="3" t="s">
        <v>3232</v>
      </c>
      <c r="BU46" s="8" t="str">
        <f>HYPERLINK("https%3A%2F%2Fwww.webofscience.com%2Fwos%2Fwoscc%2Ffull-record%2FWOS:000274419400007","View Full Record in Web of Science")</f>
        <v>View Full Record in Web of Science</v>
      </c>
    </row>
    <row r="47" ht="12.75" customHeight="1">
      <c r="A47" s="8" t="s">
        <v>967</v>
      </c>
      <c r="B47" s="8" t="s">
        <v>1823</v>
      </c>
      <c r="C47" s="8" t="s">
        <v>969</v>
      </c>
      <c r="D47" s="8" t="s">
        <v>969</v>
      </c>
      <c r="E47" s="8" t="s">
        <v>969</v>
      </c>
      <c r="F47" s="8" t="s">
        <v>1824</v>
      </c>
      <c r="G47" s="8" t="s">
        <v>969</v>
      </c>
      <c r="H47" s="8" t="s">
        <v>969</v>
      </c>
      <c r="I47" s="8" t="s">
        <v>1825</v>
      </c>
      <c r="J47" s="8" t="s">
        <v>1826</v>
      </c>
      <c r="K47" s="8" t="s">
        <v>969</v>
      </c>
      <c r="L47" s="8" t="s">
        <v>969</v>
      </c>
      <c r="M47" s="8" t="s">
        <v>972</v>
      </c>
      <c r="N47" s="8" t="s">
        <v>973</v>
      </c>
      <c r="O47" s="8" t="s">
        <v>969</v>
      </c>
      <c r="P47" s="8" t="s">
        <v>969</v>
      </c>
      <c r="Q47" s="8" t="s">
        <v>969</v>
      </c>
      <c r="R47" s="8" t="s">
        <v>969</v>
      </c>
      <c r="S47" s="8" t="s">
        <v>969</v>
      </c>
      <c r="T47" s="8" t="s">
        <v>1827</v>
      </c>
      <c r="U47" s="8" t="s">
        <v>1828</v>
      </c>
      <c r="V47" s="8" t="s">
        <v>1829</v>
      </c>
      <c r="W47" s="8" t="s">
        <v>1830</v>
      </c>
      <c r="X47" s="8" t="s">
        <v>1831</v>
      </c>
      <c r="Y47" s="8" t="s">
        <v>1832</v>
      </c>
      <c r="Z47" s="8" t="s">
        <v>1833</v>
      </c>
      <c r="AA47" s="8" t="s">
        <v>3279</v>
      </c>
      <c r="AB47" s="8" t="s">
        <v>1835</v>
      </c>
      <c r="AC47" s="8" t="s">
        <v>969</v>
      </c>
      <c r="AD47" s="8" t="s">
        <v>969</v>
      </c>
      <c r="AE47" s="8" t="s">
        <v>969</v>
      </c>
      <c r="AF47" s="8" t="s">
        <v>969</v>
      </c>
      <c r="AG47" s="8">
        <v>43.0</v>
      </c>
      <c r="AH47" s="8">
        <v>238.0</v>
      </c>
      <c r="AI47" s="8">
        <v>270.0</v>
      </c>
      <c r="AJ47" s="8">
        <v>0.0</v>
      </c>
      <c r="AK47" s="8">
        <v>69.0</v>
      </c>
      <c r="AL47" s="8" t="s">
        <v>1091</v>
      </c>
      <c r="AM47" s="8" t="s">
        <v>1092</v>
      </c>
      <c r="AN47" s="8" t="s">
        <v>1093</v>
      </c>
      <c r="AO47" s="8" t="s">
        <v>1836</v>
      </c>
      <c r="AP47" s="8" t="s">
        <v>1837</v>
      </c>
      <c r="AQ47" s="8" t="s">
        <v>969</v>
      </c>
      <c r="AR47" s="8" t="s">
        <v>1838</v>
      </c>
      <c r="AS47" s="8" t="s">
        <v>1839</v>
      </c>
      <c r="AT47" s="8" t="s">
        <v>1552</v>
      </c>
      <c r="AU47" s="8">
        <v>2008.0</v>
      </c>
      <c r="AV47" s="8">
        <v>11.0</v>
      </c>
      <c r="AW47" s="8">
        <v>2.0</v>
      </c>
      <c r="AX47" s="8" t="s">
        <v>969</v>
      </c>
      <c r="AY47" s="8" t="s">
        <v>969</v>
      </c>
      <c r="AZ47" s="8" t="s">
        <v>969</v>
      </c>
      <c r="BA47" s="8" t="s">
        <v>969</v>
      </c>
      <c r="BB47" s="8">
        <v>169.0</v>
      </c>
      <c r="BC47" s="8">
        <v>178.0</v>
      </c>
      <c r="BD47" s="8" t="s">
        <v>969</v>
      </c>
      <c r="BE47" s="8" t="s">
        <v>851</v>
      </c>
      <c r="BF47" s="13" t="str">
        <f>HYPERLINK("http://dx.doi.org/10.3170/2008-7-18348","http://dx.doi.org/10.3170/2008-7-18348")</f>
        <v>http://dx.doi.org/10.3170/2008-7-18348</v>
      </c>
      <c r="BG47" s="8" t="s">
        <v>969</v>
      </c>
      <c r="BH47" s="8" t="s">
        <v>969</v>
      </c>
      <c r="BI47" s="8">
        <v>10.0</v>
      </c>
      <c r="BJ47" s="8" t="s">
        <v>1840</v>
      </c>
      <c r="BK47" s="8" t="s">
        <v>988</v>
      </c>
      <c r="BL47" s="8" t="s">
        <v>1841</v>
      </c>
      <c r="BM47" s="8" t="s">
        <v>1842</v>
      </c>
      <c r="BN47" s="8" t="s">
        <v>969</v>
      </c>
      <c r="BO47" s="8" t="s">
        <v>969</v>
      </c>
      <c r="BP47" s="8" t="s">
        <v>969</v>
      </c>
      <c r="BQ47" s="8" t="s">
        <v>969</v>
      </c>
      <c r="BR47" s="8" t="s">
        <v>3231</v>
      </c>
      <c r="BS47" s="8" t="s">
        <v>1843</v>
      </c>
      <c r="BT47" s="3" t="s">
        <v>3232</v>
      </c>
      <c r="BU47" s="8" t="str">
        <f>HYPERLINK("https%3A%2F%2Fwww.webofscience.com%2Fwos%2Fwoscc%2Ffull-record%2FWOS:000255229600003","View Full Record in Web of Science")</f>
        <v>View Full Record in Web of Science</v>
      </c>
    </row>
    <row r="48" ht="12.75" customHeight="1">
      <c r="A48" s="8" t="s">
        <v>967</v>
      </c>
      <c r="B48" s="8" t="s">
        <v>2519</v>
      </c>
      <c r="C48" s="8" t="s">
        <v>969</v>
      </c>
      <c r="D48" s="8" t="s">
        <v>969</v>
      </c>
      <c r="E48" s="8" t="s">
        <v>969</v>
      </c>
      <c r="F48" s="8" t="s">
        <v>2520</v>
      </c>
      <c r="G48" s="8" t="s">
        <v>969</v>
      </c>
      <c r="H48" s="8" t="s">
        <v>969</v>
      </c>
      <c r="I48" s="8" t="s">
        <v>2521</v>
      </c>
      <c r="J48" s="8" t="s">
        <v>2358</v>
      </c>
      <c r="K48" s="8" t="s">
        <v>969</v>
      </c>
      <c r="L48" s="8" t="s">
        <v>969</v>
      </c>
      <c r="M48" s="8" t="s">
        <v>972</v>
      </c>
      <c r="N48" s="8" t="s">
        <v>973</v>
      </c>
      <c r="O48" s="8" t="s">
        <v>969</v>
      </c>
      <c r="P48" s="8" t="s">
        <v>969</v>
      </c>
      <c r="Q48" s="8" t="s">
        <v>969</v>
      </c>
      <c r="R48" s="8" t="s">
        <v>969</v>
      </c>
      <c r="S48" s="8" t="s">
        <v>969</v>
      </c>
      <c r="T48" s="8" t="s">
        <v>969</v>
      </c>
      <c r="U48" s="8" t="s">
        <v>2522</v>
      </c>
      <c r="V48" s="8" t="s">
        <v>2523</v>
      </c>
      <c r="W48" s="8" t="s">
        <v>2524</v>
      </c>
      <c r="X48" s="8" t="s">
        <v>3035</v>
      </c>
      <c r="Y48" s="8" t="s">
        <v>2526</v>
      </c>
      <c r="Z48" s="8" t="s">
        <v>2527</v>
      </c>
      <c r="AA48" s="8" t="s">
        <v>3280</v>
      </c>
      <c r="AB48" s="8" t="s">
        <v>3281</v>
      </c>
      <c r="AC48" s="8" t="s">
        <v>2530</v>
      </c>
      <c r="AD48" s="8" t="s">
        <v>2531</v>
      </c>
      <c r="AE48" s="8" t="s">
        <v>2532</v>
      </c>
      <c r="AF48" s="8" t="s">
        <v>969</v>
      </c>
      <c r="AG48" s="8">
        <v>30.0</v>
      </c>
      <c r="AH48" s="8">
        <v>628.0</v>
      </c>
      <c r="AI48" s="8">
        <v>692.0</v>
      </c>
      <c r="AJ48" s="8">
        <v>7.0</v>
      </c>
      <c r="AK48" s="8">
        <v>489.0</v>
      </c>
      <c r="AL48" s="8" t="s">
        <v>1070</v>
      </c>
      <c r="AM48" s="8" t="s">
        <v>1071</v>
      </c>
      <c r="AN48" s="8" t="s">
        <v>1072</v>
      </c>
      <c r="AO48" s="8" t="s">
        <v>2369</v>
      </c>
      <c r="AP48" s="8" t="s">
        <v>2370</v>
      </c>
      <c r="AQ48" s="8" t="s">
        <v>969</v>
      </c>
      <c r="AR48" s="8" t="s">
        <v>2371</v>
      </c>
      <c r="AS48" s="8" t="s">
        <v>2372</v>
      </c>
      <c r="AT48" s="8" t="s">
        <v>1211</v>
      </c>
      <c r="AU48" s="8">
        <v>2012.0</v>
      </c>
      <c r="AV48" s="8">
        <v>2.0</v>
      </c>
      <c r="AW48" s="8">
        <v>8.0</v>
      </c>
      <c r="AX48" s="8" t="s">
        <v>969</v>
      </c>
      <c r="AY48" s="8" t="s">
        <v>969</v>
      </c>
      <c r="AZ48" s="8" t="s">
        <v>969</v>
      </c>
      <c r="BA48" s="8" t="s">
        <v>969</v>
      </c>
      <c r="BB48" s="8">
        <v>619.0</v>
      </c>
      <c r="BC48" s="8">
        <v>622.0</v>
      </c>
      <c r="BD48" s="8" t="s">
        <v>969</v>
      </c>
      <c r="BE48" s="8" t="s">
        <v>2533</v>
      </c>
      <c r="BF48" s="13" t="str">
        <f>HYPERLINK("http://dx.doi.org/10.1038/NCLIMATE1514","http://dx.doi.org/10.1038/NCLIMATE1514")</f>
        <v>http://dx.doi.org/10.1038/NCLIMATE1514</v>
      </c>
      <c r="BG48" s="8" t="s">
        <v>969</v>
      </c>
      <c r="BH48" s="8" t="s">
        <v>969</v>
      </c>
      <c r="BI48" s="8">
        <v>4.0</v>
      </c>
      <c r="BJ48" s="8" t="s">
        <v>2374</v>
      </c>
      <c r="BK48" s="8" t="s">
        <v>1519</v>
      </c>
      <c r="BL48" s="8" t="s">
        <v>1038</v>
      </c>
      <c r="BM48" s="8" t="s">
        <v>2534</v>
      </c>
      <c r="BN48" s="8" t="s">
        <v>969</v>
      </c>
      <c r="BO48" s="8" t="s">
        <v>969</v>
      </c>
      <c r="BP48" s="8" t="s">
        <v>969</v>
      </c>
      <c r="BQ48" s="8" t="s">
        <v>969</v>
      </c>
      <c r="BR48" s="8" t="s">
        <v>3231</v>
      </c>
      <c r="BS48" s="8" t="s">
        <v>2535</v>
      </c>
      <c r="BT48" s="3" t="s">
        <v>3232</v>
      </c>
      <c r="BU48" s="8" t="str">
        <f>HYPERLINK("https%3A%2F%2Fwww.webofscience.com%2Fwos%2Fwoscc%2Ffull-record%2FWOS:000307369300020","View Full Record in Web of Science")</f>
        <v>View Full Record in Web of Science</v>
      </c>
    </row>
    <row r="49" ht="12.75" customHeight="1">
      <c r="A49" s="8" t="s">
        <v>967</v>
      </c>
      <c r="B49" s="8" t="s">
        <v>2087</v>
      </c>
      <c r="C49" s="8" t="s">
        <v>969</v>
      </c>
      <c r="D49" s="8" t="s">
        <v>969</v>
      </c>
      <c r="E49" s="8" t="s">
        <v>969</v>
      </c>
      <c r="F49" s="8" t="s">
        <v>2088</v>
      </c>
      <c r="G49" s="8" t="s">
        <v>969</v>
      </c>
      <c r="H49" s="8" t="s">
        <v>969</v>
      </c>
      <c r="I49" s="8" t="s">
        <v>2089</v>
      </c>
      <c r="J49" s="8" t="s">
        <v>2090</v>
      </c>
      <c r="K49" s="8" t="s">
        <v>969</v>
      </c>
      <c r="L49" s="8" t="s">
        <v>969</v>
      </c>
      <c r="M49" s="8" t="s">
        <v>972</v>
      </c>
      <c r="N49" s="8" t="s">
        <v>973</v>
      </c>
      <c r="O49" s="8" t="s">
        <v>969</v>
      </c>
      <c r="P49" s="8" t="s">
        <v>969</v>
      </c>
      <c r="Q49" s="8" t="s">
        <v>969</v>
      </c>
      <c r="R49" s="8" t="s">
        <v>969</v>
      </c>
      <c r="S49" s="8" t="s">
        <v>969</v>
      </c>
      <c r="T49" s="8" t="s">
        <v>2091</v>
      </c>
      <c r="U49" s="8" t="s">
        <v>2092</v>
      </c>
      <c r="V49" s="8" t="s">
        <v>2093</v>
      </c>
      <c r="W49" s="8" t="s">
        <v>2094</v>
      </c>
      <c r="X49" s="8" t="s">
        <v>2095</v>
      </c>
      <c r="Y49" s="8" t="s">
        <v>2096</v>
      </c>
      <c r="Z49" s="8" t="s">
        <v>2097</v>
      </c>
      <c r="AA49" s="8" t="s">
        <v>3282</v>
      </c>
      <c r="AB49" s="8" t="s">
        <v>3283</v>
      </c>
      <c r="AC49" s="8" t="s">
        <v>2100</v>
      </c>
      <c r="AD49" s="8" t="s">
        <v>2101</v>
      </c>
      <c r="AE49" s="8" t="s">
        <v>2102</v>
      </c>
      <c r="AF49" s="8" t="s">
        <v>969</v>
      </c>
      <c r="AG49" s="8">
        <v>56.0</v>
      </c>
      <c r="AH49" s="8">
        <v>145.0</v>
      </c>
      <c r="AI49" s="8">
        <v>163.0</v>
      </c>
      <c r="AJ49" s="8">
        <v>1.0</v>
      </c>
      <c r="AK49" s="8">
        <v>88.0</v>
      </c>
      <c r="AL49" s="8" t="s">
        <v>2103</v>
      </c>
      <c r="AM49" s="8" t="s">
        <v>2104</v>
      </c>
      <c r="AN49" s="8" t="s">
        <v>2105</v>
      </c>
      <c r="AO49" s="8" t="s">
        <v>2106</v>
      </c>
      <c r="AP49" s="8" t="s">
        <v>2107</v>
      </c>
      <c r="AQ49" s="8" t="s">
        <v>969</v>
      </c>
      <c r="AR49" s="8" t="s">
        <v>2108</v>
      </c>
      <c r="AS49" s="8" t="s">
        <v>2109</v>
      </c>
      <c r="AT49" s="8" t="s">
        <v>1055</v>
      </c>
      <c r="AU49" s="8">
        <v>2009.0</v>
      </c>
      <c r="AV49" s="8">
        <v>71.0</v>
      </c>
      <c r="AW49" s="8">
        <v>1.0</v>
      </c>
      <c r="AX49" s="8" t="s">
        <v>969</v>
      </c>
      <c r="AY49" s="8" t="s">
        <v>969</v>
      </c>
      <c r="AZ49" s="8" t="s">
        <v>969</v>
      </c>
      <c r="BA49" s="8" t="s">
        <v>969</v>
      </c>
      <c r="BB49" s="8">
        <v>3.0</v>
      </c>
      <c r="BC49" s="8">
        <v>14.0</v>
      </c>
      <c r="BD49" s="8" t="s">
        <v>969</v>
      </c>
      <c r="BE49" s="8" t="s">
        <v>508</v>
      </c>
      <c r="BF49" s="13" t="str">
        <f>HYPERLINK("http://dx.doi.org/10.1007/s00027-009-9159-5","http://dx.doi.org/10.1007/s00027-009-9159-5")</f>
        <v>http://dx.doi.org/10.1007/s00027-009-9159-5</v>
      </c>
      <c r="BG49" s="8" t="s">
        <v>969</v>
      </c>
      <c r="BH49" s="8" t="s">
        <v>969</v>
      </c>
      <c r="BI49" s="8">
        <v>12.0</v>
      </c>
      <c r="BJ49" s="8" t="s">
        <v>2110</v>
      </c>
      <c r="BK49" s="8" t="s">
        <v>988</v>
      </c>
      <c r="BL49" s="8" t="s">
        <v>2111</v>
      </c>
      <c r="BM49" s="8" t="s">
        <v>2112</v>
      </c>
      <c r="BN49" s="8" t="s">
        <v>969</v>
      </c>
      <c r="BO49" s="8" t="s">
        <v>969</v>
      </c>
      <c r="BP49" s="8" t="s">
        <v>969</v>
      </c>
      <c r="BQ49" s="8" t="s">
        <v>969</v>
      </c>
      <c r="BR49" s="8" t="s">
        <v>3231</v>
      </c>
      <c r="BS49" s="8" t="s">
        <v>2113</v>
      </c>
      <c r="BT49" s="3" t="s">
        <v>3232</v>
      </c>
      <c r="BU49" s="8" t="str">
        <f>HYPERLINK("https%3A%2F%2Fwww.webofscience.com%2Fwos%2Fwoscc%2Ffull-record%2FWOS:000265087700002","View Full Record in Web of Science")</f>
        <v>View Full Record in Web of Science</v>
      </c>
    </row>
    <row r="50" ht="12.75" customHeight="1">
      <c r="A50" s="8" t="s">
        <v>967</v>
      </c>
      <c r="B50" s="8" t="s">
        <v>2788</v>
      </c>
      <c r="C50" s="8" t="s">
        <v>969</v>
      </c>
      <c r="D50" s="8" t="s">
        <v>969</v>
      </c>
      <c r="E50" s="8" t="s">
        <v>969</v>
      </c>
      <c r="F50" s="8" t="s">
        <v>2789</v>
      </c>
      <c r="G50" s="8" t="s">
        <v>969</v>
      </c>
      <c r="H50" s="8" t="s">
        <v>969</v>
      </c>
      <c r="I50" s="8" t="s">
        <v>2790</v>
      </c>
      <c r="J50" s="8" t="s">
        <v>2695</v>
      </c>
      <c r="K50" s="8" t="s">
        <v>969</v>
      </c>
      <c r="L50" s="8" t="s">
        <v>969</v>
      </c>
      <c r="M50" s="8" t="s">
        <v>972</v>
      </c>
      <c r="N50" s="8" t="s">
        <v>973</v>
      </c>
      <c r="O50" s="8" t="s">
        <v>969</v>
      </c>
      <c r="P50" s="8" t="s">
        <v>969</v>
      </c>
      <c r="Q50" s="8" t="s">
        <v>969</v>
      </c>
      <c r="R50" s="8" t="s">
        <v>969</v>
      </c>
      <c r="S50" s="8" t="s">
        <v>969</v>
      </c>
      <c r="T50" s="8" t="s">
        <v>2791</v>
      </c>
      <c r="U50" s="8" t="s">
        <v>2792</v>
      </c>
      <c r="V50" s="8" t="s">
        <v>2793</v>
      </c>
      <c r="W50" s="8" t="s">
        <v>2794</v>
      </c>
      <c r="X50" s="8" t="s">
        <v>2795</v>
      </c>
      <c r="Y50" s="8" t="s">
        <v>2796</v>
      </c>
      <c r="Z50" s="8" t="s">
        <v>2797</v>
      </c>
      <c r="AA50" s="8" t="s">
        <v>3284</v>
      </c>
      <c r="AB50" s="8" t="s">
        <v>3285</v>
      </c>
      <c r="AC50" s="8" t="s">
        <v>2800</v>
      </c>
      <c r="AD50" s="8" t="s">
        <v>2801</v>
      </c>
      <c r="AE50" s="8" t="s">
        <v>2802</v>
      </c>
      <c r="AF50" s="8" t="s">
        <v>969</v>
      </c>
      <c r="AG50" s="8">
        <v>69.0</v>
      </c>
      <c r="AH50" s="8">
        <v>28.0</v>
      </c>
      <c r="AI50" s="8">
        <v>31.0</v>
      </c>
      <c r="AJ50" s="8">
        <v>2.0</v>
      </c>
      <c r="AK50" s="8">
        <v>120.0</v>
      </c>
      <c r="AL50" s="8" t="s">
        <v>2705</v>
      </c>
      <c r="AM50" s="8" t="s">
        <v>2706</v>
      </c>
      <c r="AN50" s="8" t="s">
        <v>2707</v>
      </c>
      <c r="AO50" s="8" t="s">
        <v>2708</v>
      </c>
      <c r="AP50" s="8" t="s">
        <v>2709</v>
      </c>
      <c r="AQ50" s="8" t="s">
        <v>969</v>
      </c>
      <c r="AR50" s="8" t="s">
        <v>2710</v>
      </c>
      <c r="AS50" s="8" t="s">
        <v>2711</v>
      </c>
      <c r="AT50" s="8" t="s">
        <v>986</v>
      </c>
      <c r="AU50" s="8">
        <v>2013.0</v>
      </c>
      <c r="AV50" s="8">
        <v>13.0</v>
      </c>
      <c r="AW50" s="8">
        <v>6.0</v>
      </c>
      <c r="AX50" s="8" t="s">
        <v>969</v>
      </c>
      <c r="AY50" s="8" t="s">
        <v>969</v>
      </c>
      <c r="AZ50" s="8" t="s">
        <v>969</v>
      </c>
      <c r="BA50" s="8" t="s">
        <v>969</v>
      </c>
      <c r="BB50" s="8">
        <v>1245.0</v>
      </c>
      <c r="BC50" s="8">
        <v>1257.0</v>
      </c>
      <c r="BD50" s="8" t="s">
        <v>969</v>
      </c>
      <c r="BE50" s="8" t="s">
        <v>518</v>
      </c>
      <c r="BF50" s="13" t="str">
        <f>HYPERLINK("http://dx.doi.org/10.1007/s10113-013-0425-7","http://dx.doi.org/10.1007/s10113-013-0425-7")</f>
        <v>http://dx.doi.org/10.1007/s10113-013-0425-7</v>
      </c>
      <c r="BG50" s="8" t="s">
        <v>969</v>
      </c>
      <c r="BH50" s="8" t="s">
        <v>969</v>
      </c>
      <c r="BI50" s="8">
        <v>13.0</v>
      </c>
      <c r="BJ50" s="8" t="s">
        <v>2712</v>
      </c>
      <c r="BK50" s="8" t="s">
        <v>1519</v>
      </c>
      <c r="BL50" s="8" t="s">
        <v>1268</v>
      </c>
      <c r="BM50" s="8" t="s">
        <v>2803</v>
      </c>
      <c r="BN50" s="8" t="s">
        <v>969</v>
      </c>
      <c r="BO50" s="8" t="s">
        <v>969</v>
      </c>
      <c r="BP50" s="8" t="s">
        <v>969</v>
      </c>
      <c r="BQ50" s="8" t="s">
        <v>969</v>
      </c>
      <c r="BR50" s="8" t="s">
        <v>3231</v>
      </c>
      <c r="BS50" s="8" t="s">
        <v>2804</v>
      </c>
      <c r="BT50" s="3" t="s">
        <v>3232</v>
      </c>
      <c r="BU50" s="8" t="str">
        <f>HYPERLINK("https%3A%2F%2Fwww.webofscience.com%2Fwos%2Fwoscc%2Ffull-record%2FWOS:000327501900010","View Full Record in Web of Science")</f>
        <v>View Full Record in Web of Science</v>
      </c>
    </row>
    <row r="51" ht="12.75" customHeight="1">
      <c r="A51" s="8" t="s">
        <v>967</v>
      </c>
      <c r="B51" s="8" t="s">
        <v>1912</v>
      </c>
      <c r="C51" s="8" t="s">
        <v>969</v>
      </c>
      <c r="D51" s="8" t="s">
        <v>969</v>
      </c>
      <c r="E51" s="8" t="s">
        <v>969</v>
      </c>
      <c r="F51" s="8" t="s">
        <v>1913</v>
      </c>
      <c r="G51" s="8" t="s">
        <v>969</v>
      </c>
      <c r="H51" s="8" t="s">
        <v>969</v>
      </c>
      <c r="I51" s="8" t="s">
        <v>1914</v>
      </c>
      <c r="J51" s="8" t="s">
        <v>971</v>
      </c>
      <c r="K51" s="8" t="s">
        <v>969</v>
      </c>
      <c r="L51" s="8" t="s">
        <v>969</v>
      </c>
      <c r="M51" s="8" t="s">
        <v>972</v>
      </c>
      <c r="N51" s="8" t="s">
        <v>973</v>
      </c>
      <c r="O51" s="8" t="s">
        <v>969</v>
      </c>
      <c r="P51" s="8" t="s">
        <v>969</v>
      </c>
      <c r="Q51" s="8" t="s">
        <v>969</v>
      </c>
      <c r="R51" s="8" t="s">
        <v>969</v>
      </c>
      <c r="S51" s="8" t="s">
        <v>969</v>
      </c>
      <c r="T51" s="8" t="s">
        <v>1915</v>
      </c>
      <c r="U51" s="8" t="s">
        <v>1916</v>
      </c>
      <c r="V51" s="8" t="s">
        <v>1917</v>
      </c>
      <c r="W51" s="8" t="s">
        <v>1918</v>
      </c>
      <c r="X51" s="8" t="s">
        <v>1919</v>
      </c>
      <c r="Y51" s="8" t="s">
        <v>1920</v>
      </c>
      <c r="Z51" s="8" t="s">
        <v>1921</v>
      </c>
      <c r="AA51" s="8" t="s">
        <v>969</v>
      </c>
      <c r="AB51" s="8" t="s">
        <v>2944</v>
      </c>
      <c r="AC51" s="8" t="s">
        <v>969</v>
      </c>
      <c r="AD51" s="8" t="s">
        <v>969</v>
      </c>
      <c r="AE51" s="8" t="s">
        <v>969</v>
      </c>
      <c r="AF51" s="8" t="s">
        <v>969</v>
      </c>
      <c r="AG51" s="8">
        <v>88.0</v>
      </c>
      <c r="AH51" s="8">
        <v>293.0</v>
      </c>
      <c r="AI51" s="8">
        <v>341.0</v>
      </c>
      <c r="AJ51" s="8">
        <v>3.0</v>
      </c>
      <c r="AK51" s="8">
        <v>142.0</v>
      </c>
      <c r="AL51" s="8" t="s">
        <v>1091</v>
      </c>
      <c r="AM51" s="8" t="s">
        <v>1092</v>
      </c>
      <c r="AN51" s="8" t="s">
        <v>1093</v>
      </c>
      <c r="AO51" s="8" t="s">
        <v>983</v>
      </c>
      <c r="AP51" s="8" t="s">
        <v>1094</v>
      </c>
      <c r="AQ51" s="8" t="s">
        <v>969</v>
      </c>
      <c r="AR51" s="8" t="s">
        <v>1095</v>
      </c>
      <c r="AS51" s="8" t="s">
        <v>985</v>
      </c>
      <c r="AT51" s="8" t="s">
        <v>1211</v>
      </c>
      <c r="AU51" s="8">
        <v>2008.0</v>
      </c>
      <c r="AV51" s="8">
        <v>14.0</v>
      </c>
      <c r="AW51" s="8">
        <v>8.0</v>
      </c>
      <c r="AX51" s="8" t="s">
        <v>969</v>
      </c>
      <c r="AY51" s="8" t="s">
        <v>969</v>
      </c>
      <c r="AZ51" s="8" t="s">
        <v>969</v>
      </c>
      <c r="BA51" s="8" t="s">
        <v>969</v>
      </c>
      <c r="BB51" s="8">
        <v>1703.0</v>
      </c>
      <c r="BC51" s="8">
        <v>1720.0</v>
      </c>
      <c r="BD51" s="8" t="s">
        <v>969</v>
      </c>
      <c r="BE51" s="8" t="s">
        <v>710</v>
      </c>
      <c r="BF51" s="13" t="str">
        <f>HYPERLINK("http://dx.doi.org/10.1111/j.1365-2486.2008.01596.x","http://dx.doi.org/10.1111/j.1365-2486.2008.01596.x")</f>
        <v>http://dx.doi.org/10.1111/j.1365-2486.2008.01596.x</v>
      </c>
      <c r="BG51" s="8" t="s">
        <v>969</v>
      </c>
      <c r="BH51" s="8" t="s">
        <v>969</v>
      </c>
      <c r="BI51" s="8">
        <v>18.0</v>
      </c>
      <c r="BJ51" s="8" t="s">
        <v>987</v>
      </c>
      <c r="BK51" s="8" t="s">
        <v>988</v>
      </c>
      <c r="BL51" s="8" t="s">
        <v>989</v>
      </c>
      <c r="BM51" s="8" t="s">
        <v>1923</v>
      </c>
      <c r="BN51" s="8" t="s">
        <v>969</v>
      </c>
      <c r="BO51" s="8" t="s">
        <v>1924</v>
      </c>
      <c r="BP51" s="8" t="s">
        <v>969</v>
      </c>
      <c r="BQ51" s="8" t="s">
        <v>969</v>
      </c>
      <c r="BR51" s="8" t="s">
        <v>3231</v>
      </c>
      <c r="BS51" s="8" t="s">
        <v>1925</v>
      </c>
      <c r="BT51" s="3" t="s">
        <v>3232</v>
      </c>
      <c r="BU51" s="8" t="str">
        <f>HYPERLINK("https%3A%2F%2Fwww.webofscience.com%2Fwos%2Fwoscc%2Ffull-record%2FWOS:000257712400001","View Full Record in Web of Science")</f>
        <v>View Full Record in Web of Science</v>
      </c>
    </row>
    <row r="52" ht="12.75" customHeight="1">
      <c r="A52" s="8" t="s">
        <v>967</v>
      </c>
      <c r="B52" s="8" t="s">
        <v>1587</v>
      </c>
      <c r="C52" s="8" t="s">
        <v>969</v>
      </c>
      <c r="D52" s="8" t="s">
        <v>969</v>
      </c>
      <c r="E52" s="8" t="s">
        <v>969</v>
      </c>
      <c r="F52" s="8" t="s">
        <v>1588</v>
      </c>
      <c r="G52" s="8" t="s">
        <v>969</v>
      </c>
      <c r="H52" s="8" t="s">
        <v>969</v>
      </c>
      <c r="I52" s="8" t="s">
        <v>1589</v>
      </c>
      <c r="J52" s="8" t="s">
        <v>971</v>
      </c>
      <c r="K52" s="8" t="s">
        <v>969</v>
      </c>
      <c r="L52" s="8" t="s">
        <v>969</v>
      </c>
      <c r="M52" s="8" t="s">
        <v>972</v>
      </c>
      <c r="N52" s="8" t="s">
        <v>973</v>
      </c>
      <c r="O52" s="8" t="s">
        <v>969</v>
      </c>
      <c r="P52" s="8" t="s">
        <v>969</v>
      </c>
      <c r="Q52" s="8" t="s">
        <v>969</v>
      </c>
      <c r="R52" s="8" t="s">
        <v>969</v>
      </c>
      <c r="S52" s="8" t="s">
        <v>969</v>
      </c>
      <c r="T52" s="8" t="s">
        <v>1590</v>
      </c>
      <c r="U52" s="8" t="s">
        <v>1591</v>
      </c>
      <c r="V52" s="8" t="s">
        <v>1592</v>
      </c>
      <c r="W52" s="8" t="s">
        <v>1593</v>
      </c>
      <c r="X52" s="8" t="s">
        <v>1594</v>
      </c>
      <c r="Y52" s="8" t="s">
        <v>1595</v>
      </c>
      <c r="Z52" s="8" t="s">
        <v>1596</v>
      </c>
      <c r="AA52" s="8" t="s">
        <v>1597</v>
      </c>
      <c r="AB52" s="8" t="s">
        <v>969</v>
      </c>
      <c r="AC52" s="8" t="s">
        <v>969</v>
      </c>
      <c r="AD52" s="8" t="s">
        <v>969</v>
      </c>
      <c r="AE52" s="8" t="s">
        <v>969</v>
      </c>
      <c r="AF52" s="8" t="s">
        <v>969</v>
      </c>
      <c r="AG52" s="8">
        <v>65.0</v>
      </c>
      <c r="AH52" s="8">
        <v>296.0</v>
      </c>
      <c r="AI52" s="8">
        <v>354.0</v>
      </c>
      <c r="AJ52" s="8">
        <v>1.0</v>
      </c>
      <c r="AK52" s="8">
        <v>106.0</v>
      </c>
      <c r="AL52" s="8" t="s">
        <v>1091</v>
      </c>
      <c r="AM52" s="8" t="s">
        <v>1092</v>
      </c>
      <c r="AN52" s="8" t="s">
        <v>1093</v>
      </c>
      <c r="AO52" s="8" t="s">
        <v>983</v>
      </c>
      <c r="AP52" s="8" t="s">
        <v>1094</v>
      </c>
      <c r="AQ52" s="8" t="s">
        <v>969</v>
      </c>
      <c r="AR52" s="8" t="s">
        <v>1095</v>
      </c>
      <c r="AS52" s="8" t="s">
        <v>985</v>
      </c>
      <c r="AT52" s="8" t="s">
        <v>1211</v>
      </c>
      <c r="AU52" s="8">
        <v>2006.0</v>
      </c>
      <c r="AV52" s="8">
        <v>12.0</v>
      </c>
      <c r="AW52" s="8">
        <v>8.0</v>
      </c>
      <c r="AX52" s="8" t="s">
        <v>969</v>
      </c>
      <c r="AY52" s="8" t="s">
        <v>969</v>
      </c>
      <c r="AZ52" s="8" t="s">
        <v>969</v>
      </c>
      <c r="BA52" s="8" t="s">
        <v>969</v>
      </c>
      <c r="BB52" s="8">
        <v>1568.0</v>
      </c>
      <c r="BC52" s="8">
        <v>1584.0</v>
      </c>
      <c r="BD52" s="8" t="s">
        <v>969</v>
      </c>
      <c r="BE52" s="8" t="s">
        <v>692</v>
      </c>
      <c r="BF52" s="13" t="str">
        <f>HYPERLINK("http://dx.doi.org/10.1111/j.1365-2486.2006.01191.x","http://dx.doi.org/10.1111/j.1365-2486.2006.01191.x")</f>
        <v>http://dx.doi.org/10.1111/j.1365-2486.2006.01191.x</v>
      </c>
      <c r="BG52" s="8" t="s">
        <v>969</v>
      </c>
      <c r="BH52" s="8" t="s">
        <v>969</v>
      </c>
      <c r="BI52" s="8">
        <v>17.0</v>
      </c>
      <c r="BJ52" s="8" t="s">
        <v>987</v>
      </c>
      <c r="BK52" s="8" t="s">
        <v>988</v>
      </c>
      <c r="BL52" s="8" t="s">
        <v>989</v>
      </c>
      <c r="BM52" s="8" t="s">
        <v>1598</v>
      </c>
      <c r="BN52" s="8" t="s">
        <v>969</v>
      </c>
      <c r="BO52" s="8" t="s">
        <v>969</v>
      </c>
      <c r="BP52" s="8" t="s">
        <v>969</v>
      </c>
      <c r="BQ52" s="8" t="s">
        <v>969</v>
      </c>
      <c r="BR52" s="8" t="s">
        <v>3231</v>
      </c>
      <c r="BS52" s="8" t="s">
        <v>1599</v>
      </c>
      <c r="BT52" s="3" t="s">
        <v>3232</v>
      </c>
      <c r="BU52" s="8" t="str">
        <f>HYPERLINK("https%3A%2F%2Fwww.webofscience.com%2Fwos%2Fwoscc%2Ffull-record%2FWOS:000239004700018","View Full Record in Web of Science")</f>
        <v>View Full Record in Web of Science</v>
      </c>
    </row>
    <row r="53" ht="12.75" customHeight="1">
      <c r="A53" s="8" t="s">
        <v>967</v>
      </c>
      <c r="B53" s="8" t="s">
        <v>2147</v>
      </c>
      <c r="C53" s="8" t="s">
        <v>969</v>
      </c>
      <c r="D53" s="8" t="s">
        <v>969</v>
      </c>
      <c r="E53" s="8" t="s">
        <v>969</v>
      </c>
      <c r="F53" s="8" t="s">
        <v>2148</v>
      </c>
      <c r="G53" s="8" t="s">
        <v>969</v>
      </c>
      <c r="H53" s="8" t="s">
        <v>969</v>
      </c>
      <c r="I53" s="8" t="s">
        <v>2149</v>
      </c>
      <c r="J53" s="8" t="s">
        <v>1427</v>
      </c>
      <c r="K53" s="8" t="s">
        <v>969</v>
      </c>
      <c r="L53" s="8" t="s">
        <v>969</v>
      </c>
      <c r="M53" s="8" t="s">
        <v>972</v>
      </c>
      <c r="N53" s="8" t="s">
        <v>973</v>
      </c>
      <c r="O53" s="8" t="s">
        <v>969</v>
      </c>
      <c r="P53" s="8" t="s">
        <v>969</v>
      </c>
      <c r="Q53" s="8" t="s">
        <v>969</v>
      </c>
      <c r="R53" s="8" t="s">
        <v>969</v>
      </c>
      <c r="S53" s="8" t="s">
        <v>969</v>
      </c>
      <c r="T53" s="8" t="s">
        <v>2150</v>
      </c>
      <c r="U53" s="8" t="s">
        <v>2151</v>
      </c>
      <c r="V53" s="8" t="s">
        <v>2152</v>
      </c>
      <c r="W53" s="8" t="s">
        <v>2153</v>
      </c>
      <c r="X53" s="8" t="s">
        <v>2154</v>
      </c>
      <c r="Y53" s="8" t="s">
        <v>2155</v>
      </c>
      <c r="Z53" s="8" t="s">
        <v>2156</v>
      </c>
      <c r="AA53" s="8" t="s">
        <v>3286</v>
      </c>
      <c r="AB53" s="8" t="s">
        <v>3287</v>
      </c>
      <c r="AC53" s="8" t="s">
        <v>2159</v>
      </c>
      <c r="AD53" s="8" t="s">
        <v>2160</v>
      </c>
      <c r="AE53" s="8" t="s">
        <v>2161</v>
      </c>
      <c r="AF53" s="8" t="s">
        <v>969</v>
      </c>
      <c r="AG53" s="8">
        <v>67.0</v>
      </c>
      <c r="AH53" s="8">
        <v>103.0</v>
      </c>
      <c r="AI53" s="8">
        <v>117.0</v>
      </c>
      <c r="AJ53" s="8">
        <v>0.0</v>
      </c>
      <c r="AK53" s="8">
        <v>81.0</v>
      </c>
      <c r="AL53" s="8" t="s">
        <v>1091</v>
      </c>
      <c r="AM53" s="8" t="s">
        <v>1092</v>
      </c>
      <c r="AN53" s="8" t="s">
        <v>1093</v>
      </c>
      <c r="AO53" s="8" t="s">
        <v>1437</v>
      </c>
      <c r="AP53" s="8" t="s">
        <v>1499</v>
      </c>
      <c r="AQ53" s="8" t="s">
        <v>969</v>
      </c>
      <c r="AR53" s="8" t="s">
        <v>1438</v>
      </c>
      <c r="AS53" s="8" t="s">
        <v>1439</v>
      </c>
      <c r="AT53" s="8" t="s">
        <v>1016</v>
      </c>
      <c r="AU53" s="8">
        <v>2010.0</v>
      </c>
      <c r="AV53" s="8">
        <v>16.0</v>
      </c>
      <c r="AW53" s="8">
        <v>1.0</v>
      </c>
      <c r="AX53" s="8" t="s">
        <v>969</v>
      </c>
      <c r="AY53" s="8" t="s">
        <v>969</v>
      </c>
      <c r="AZ53" s="8" t="s">
        <v>969</v>
      </c>
      <c r="BA53" s="8" t="s">
        <v>969</v>
      </c>
      <c r="BB53" s="8">
        <v>187.0</v>
      </c>
      <c r="BC53" s="8">
        <v>201.0</v>
      </c>
      <c r="BD53" s="8" t="s">
        <v>969</v>
      </c>
      <c r="BE53" s="8" t="s">
        <v>761</v>
      </c>
      <c r="BF53" s="13" t="str">
        <f>HYPERLINK("http://dx.doi.org/10.1111/j.1472-4642.2009.00623.x","http://dx.doi.org/10.1111/j.1472-4642.2009.00623.x")</f>
        <v>http://dx.doi.org/10.1111/j.1472-4642.2009.00623.x</v>
      </c>
      <c r="BG53" s="8" t="s">
        <v>969</v>
      </c>
      <c r="BH53" s="8" t="s">
        <v>969</v>
      </c>
      <c r="BI53" s="8">
        <v>15.0</v>
      </c>
      <c r="BJ53" s="8" t="s">
        <v>1286</v>
      </c>
      <c r="BK53" s="8" t="s">
        <v>988</v>
      </c>
      <c r="BL53" s="8" t="s">
        <v>989</v>
      </c>
      <c r="BM53" s="8" t="s">
        <v>2162</v>
      </c>
      <c r="BN53" s="8" t="s">
        <v>969</v>
      </c>
      <c r="BO53" s="8" t="s">
        <v>969</v>
      </c>
      <c r="BP53" s="8" t="s">
        <v>969</v>
      </c>
      <c r="BQ53" s="8" t="s">
        <v>969</v>
      </c>
      <c r="BR53" s="8" t="s">
        <v>3231</v>
      </c>
      <c r="BS53" s="8" t="s">
        <v>2163</v>
      </c>
      <c r="BT53" s="3" t="s">
        <v>3232</v>
      </c>
      <c r="BU53" s="8" t="str">
        <f>HYPERLINK("https%3A%2F%2Fwww.webofscience.com%2Fwos%2Fwoscc%2Ffull-record%2FWOS:000273723100018","View Full Record in Web of Science")</f>
        <v>View Full Record in Web of Science</v>
      </c>
    </row>
    <row r="54" ht="12.75" customHeight="1">
      <c r="A54" s="8" t="s">
        <v>967</v>
      </c>
      <c r="B54" s="8" t="s">
        <v>2587</v>
      </c>
      <c r="C54" s="8" t="s">
        <v>969</v>
      </c>
      <c r="D54" s="8" t="s">
        <v>969</v>
      </c>
      <c r="E54" s="8" t="s">
        <v>969</v>
      </c>
      <c r="F54" s="8" t="s">
        <v>2588</v>
      </c>
      <c r="G54" s="8" t="s">
        <v>969</v>
      </c>
      <c r="H54" s="8" t="s">
        <v>969</v>
      </c>
      <c r="I54" s="8" t="s">
        <v>2589</v>
      </c>
      <c r="J54" s="8" t="s">
        <v>1000</v>
      </c>
      <c r="K54" s="8" t="s">
        <v>969</v>
      </c>
      <c r="L54" s="8" t="s">
        <v>969</v>
      </c>
      <c r="M54" s="8" t="s">
        <v>972</v>
      </c>
      <c r="N54" s="8" t="s">
        <v>973</v>
      </c>
      <c r="O54" s="8" t="s">
        <v>969</v>
      </c>
      <c r="P54" s="8" t="s">
        <v>969</v>
      </c>
      <c r="Q54" s="8" t="s">
        <v>969</v>
      </c>
      <c r="R54" s="8" t="s">
        <v>969</v>
      </c>
      <c r="S54" s="8" t="s">
        <v>969</v>
      </c>
      <c r="T54" s="8" t="s">
        <v>2590</v>
      </c>
      <c r="U54" s="8" t="s">
        <v>2591</v>
      </c>
      <c r="V54" s="8" t="s">
        <v>2592</v>
      </c>
      <c r="W54" s="8" t="s">
        <v>2593</v>
      </c>
      <c r="X54" s="8" t="s">
        <v>3288</v>
      </c>
      <c r="Y54" s="8" t="s">
        <v>2595</v>
      </c>
      <c r="Z54" s="8" t="s">
        <v>2596</v>
      </c>
      <c r="AA54" s="8" t="s">
        <v>3289</v>
      </c>
      <c r="AB54" s="8" t="s">
        <v>3290</v>
      </c>
      <c r="AC54" s="8" t="s">
        <v>2599</v>
      </c>
      <c r="AD54" s="8" t="s">
        <v>2600</v>
      </c>
      <c r="AE54" s="8" t="s">
        <v>2601</v>
      </c>
      <c r="AF54" s="8" t="s">
        <v>969</v>
      </c>
      <c r="AG54" s="8">
        <v>52.0</v>
      </c>
      <c r="AH54" s="8">
        <v>102.0</v>
      </c>
      <c r="AI54" s="8">
        <v>106.0</v>
      </c>
      <c r="AJ54" s="8">
        <v>5.0</v>
      </c>
      <c r="AK54" s="8">
        <v>167.0</v>
      </c>
      <c r="AL54" s="8" t="s">
        <v>1091</v>
      </c>
      <c r="AM54" s="8" t="s">
        <v>1092</v>
      </c>
      <c r="AN54" s="8" t="s">
        <v>1093</v>
      </c>
      <c r="AO54" s="8" t="s">
        <v>1013</v>
      </c>
      <c r="AP54" s="8" t="s">
        <v>2602</v>
      </c>
      <c r="AQ54" s="8" t="s">
        <v>969</v>
      </c>
      <c r="AR54" s="8" t="s">
        <v>1014</v>
      </c>
      <c r="AS54" s="8" t="s">
        <v>1015</v>
      </c>
      <c r="AT54" s="8" t="s">
        <v>1055</v>
      </c>
      <c r="AU54" s="8">
        <v>2013.0</v>
      </c>
      <c r="AV54" s="8">
        <v>40.0</v>
      </c>
      <c r="AW54" s="8">
        <v>3.0</v>
      </c>
      <c r="AX54" s="8" t="s">
        <v>969</v>
      </c>
      <c r="AY54" s="8" t="s">
        <v>969</v>
      </c>
      <c r="AZ54" s="8" t="s">
        <v>969</v>
      </c>
      <c r="BA54" s="8" t="s">
        <v>969</v>
      </c>
      <c r="BB54" s="8">
        <v>534.0</v>
      </c>
      <c r="BC54" s="8">
        <v>547.0</v>
      </c>
      <c r="BD54" s="8" t="s">
        <v>969</v>
      </c>
      <c r="BE54" s="8" t="s">
        <v>791</v>
      </c>
      <c r="BF54" s="13" t="str">
        <f>HYPERLINK("http://dx.doi.org/10.1111/jbi.12013","http://dx.doi.org/10.1111/jbi.12013")</f>
        <v>http://dx.doi.org/10.1111/jbi.12013</v>
      </c>
      <c r="BG54" s="8" t="s">
        <v>969</v>
      </c>
      <c r="BH54" s="8" t="s">
        <v>969</v>
      </c>
      <c r="BI54" s="8">
        <v>14.0</v>
      </c>
      <c r="BJ54" s="8" t="s">
        <v>1017</v>
      </c>
      <c r="BK54" s="8" t="s">
        <v>988</v>
      </c>
      <c r="BL54" s="8" t="s">
        <v>1018</v>
      </c>
      <c r="BM54" s="8" t="s">
        <v>2603</v>
      </c>
      <c r="BN54" s="8" t="s">
        <v>969</v>
      </c>
      <c r="BO54" s="8" t="s">
        <v>969</v>
      </c>
      <c r="BP54" s="8" t="s">
        <v>969</v>
      </c>
      <c r="BQ54" s="8" t="s">
        <v>969</v>
      </c>
      <c r="BR54" s="8" t="s">
        <v>3231</v>
      </c>
      <c r="BS54" s="8" t="s">
        <v>2604</v>
      </c>
      <c r="BT54" s="3" t="s">
        <v>3232</v>
      </c>
      <c r="BU54" s="8" t="str">
        <f>HYPERLINK("https%3A%2F%2Fwww.webofscience.com%2Fwos%2Fwoscc%2Ffull-record%2FWOS:000314922500011","View Full Record in Web of Science")</f>
        <v>View Full Record in Web of Science</v>
      </c>
    </row>
    <row r="55" ht="12.75" customHeight="1">
      <c r="A55" s="8" t="s">
        <v>967</v>
      </c>
      <c r="B55" s="8" t="s">
        <v>1375</v>
      </c>
      <c r="C55" s="8" t="s">
        <v>969</v>
      </c>
      <c r="D55" s="8" t="s">
        <v>969</v>
      </c>
      <c r="E55" s="8" t="s">
        <v>969</v>
      </c>
      <c r="F55" s="8" t="s">
        <v>1375</v>
      </c>
      <c r="G55" s="8" t="s">
        <v>969</v>
      </c>
      <c r="H55" s="8" t="s">
        <v>969</v>
      </c>
      <c r="I55" s="8" t="s">
        <v>1376</v>
      </c>
      <c r="J55" s="8" t="s">
        <v>1377</v>
      </c>
      <c r="K55" s="8" t="s">
        <v>969</v>
      </c>
      <c r="L55" s="8" t="s">
        <v>969</v>
      </c>
      <c r="M55" s="8" t="s">
        <v>972</v>
      </c>
      <c r="N55" s="8" t="s">
        <v>973</v>
      </c>
      <c r="O55" s="8" t="s">
        <v>969</v>
      </c>
      <c r="P55" s="8" t="s">
        <v>969</v>
      </c>
      <c r="Q55" s="8" t="s">
        <v>969</v>
      </c>
      <c r="R55" s="8" t="s">
        <v>969</v>
      </c>
      <c r="S55" s="8" t="s">
        <v>969</v>
      </c>
      <c r="T55" s="8" t="s">
        <v>1378</v>
      </c>
      <c r="U55" s="8" t="s">
        <v>1379</v>
      </c>
      <c r="V55" s="8" t="s">
        <v>1380</v>
      </c>
      <c r="W55" s="8" t="s">
        <v>1381</v>
      </c>
      <c r="X55" s="8" t="s">
        <v>1382</v>
      </c>
      <c r="Y55" s="8" t="s">
        <v>1383</v>
      </c>
      <c r="Z55" s="8" t="s">
        <v>1384</v>
      </c>
      <c r="AA55" s="8" t="s">
        <v>3291</v>
      </c>
      <c r="AB55" s="8" t="s">
        <v>1386</v>
      </c>
      <c r="AC55" s="8" t="s">
        <v>969</v>
      </c>
      <c r="AD55" s="8" t="s">
        <v>969</v>
      </c>
      <c r="AE55" s="8" t="s">
        <v>969</v>
      </c>
      <c r="AF55" s="8" t="s">
        <v>969</v>
      </c>
      <c r="AG55" s="8">
        <v>40.0</v>
      </c>
      <c r="AH55" s="8">
        <v>1873.0</v>
      </c>
      <c r="AI55" s="8">
        <v>2174.0</v>
      </c>
      <c r="AJ55" s="8">
        <v>9.0</v>
      </c>
      <c r="AK55" s="8">
        <v>913.0</v>
      </c>
      <c r="AL55" s="8" t="s">
        <v>1387</v>
      </c>
      <c r="AM55" s="8" t="s">
        <v>1388</v>
      </c>
      <c r="AN55" s="8" t="s">
        <v>1389</v>
      </c>
      <c r="AO55" s="8" t="s">
        <v>1390</v>
      </c>
      <c r="AP55" s="8" t="s">
        <v>1391</v>
      </c>
      <c r="AQ55" s="8" t="s">
        <v>969</v>
      </c>
      <c r="AR55" s="8" t="s">
        <v>1392</v>
      </c>
      <c r="AS55" s="8" t="s">
        <v>1393</v>
      </c>
      <c r="AT55" s="8" t="s">
        <v>1394</v>
      </c>
      <c r="AU55" s="8">
        <v>2005.0</v>
      </c>
      <c r="AV55" s="8">
        <v>102.0</v>
      </c>
      <c r="AW55" s="8">
        <v>23.0</v>
      </c>
      <c r="AX55" s="8" t="s">
        <v>969</v>
      </c>
      <c r="AY55" s="8" t="s">
        <v>969</v>
      </c>
      <c r="AZ55" s="8" t="s">
        <v>969</v>
      </c>
      <c r="BA55" s="8" t="s">
        <v>969</v>
      </c>
      <c r="BB55" s="8">
        <v>8245.0</v>
      </c>
      <c r="BC55" s="8">
        <v>8250.0</v>
      </c>
      <c r="BD55" s="8" t="s">
        <v>969</v>
      </c>
      <c r="BE55" s="8" t="s">
        <v>635</v>
      </c>
      <c r="BF55" s="13" t="str">
        <f>HYPERLINK("http://dx.doi.org/10.1073/pnas.0409902102","http://dx.doi.org/10.1073/pnas.0409902102")</f>
        <v>http://dx.doi.org/10.1073/pnas.0409902102</v>
      </c>
      <c r="BG55" s="8" t="s">
        <v>969</v>
      </c>
      <c r="BH55" s="8" t="s">
        <v>969</v>
      </c>
      <c r="BI55" s="8">
        <v>6.0</v>
      </c>
      <c r="BJ55" s="8" t="s">
        <v>1076</v>
      </c>
      <c r="BK55" s="8" t="s">
        <v>988</v>
      </c>
      <c r="BL55" s="8" t="s">
        <v>1077</v>
      </c>
      <c r="BM55" s="8" t="s">
        <v>1395</v>
      </c>
      <c r="BN55" s="8">
        <v>1.5919825E7</v>
      </c>
      <c r="BO55" s="8" t="s">
        <v>1227</v>
      </c>
      <c r="BP55" s="8" t="s">
        <v>969</v>
      </c>
      <c r="BQ55" s="8" t="s">
        <v>969</v>
      </c>
      <c r="BR55" s="8" t="s">
        <v>3231</v>
      </c>
      <c r="BS55" s="8" t="s">
        <v>1396</v>
      </c>
      <c r="BT55" s="3" t="s">
        <v>3232</v>
      </c>
      <c r="BU55" s="8" t="str">
        <f>HYPERLINK("https%3A%2F%2Fwww.webofscience.com%2Fwos%2Fwoscc%2Ffull-record%2FWOS:000229650500032","View Full Record in Web of Science")</f>
        <v>View Full Record in Web of Science</v>
      </c>
    </row>
    <row r="56" ht="12.75" customHeight="1">
      <c r="A56" s="8" t="s">
        <v>967</v>
      </c>
      <c r="B56" s="8" t="s">
        <v>2715</v>
      </c>
      <c r="C56" s="8" t="s">
        <v>969</v>
      </c>
      <c r="D56" s="8" t="s">
        <v>969</v>
      </c>
      <c r="E56" s="8" t="s">
        <v>969</v>
      </c>
      <c r="F56" s="8" t="s">
        <v>2716</v>
      </c>
      <c r="G56" s="8" t="s">
        <v>969</v>
      </c>
      <c r="H56" s="8" t="s">
        <v>969</v>
      </c>
      <c r="I56" s="8" t="s">
        <v>2717</v>
      </c>
      <c r="J56" s="8" t="s">
        <v>2718</v>
      </c>
      <c r="K56" s="8" t="s">
        <v>969</v>
      </c>
      <c r="L56" s="8" t="s">
        <v>969</v>
      </c>
      <c r="M56" s="8" t="s">
        <v>972</v>
      </c>
      <c r="N56" s="8" t="s">
        <v>973</v>
      </c>
      <c r="O56" s="8" t="s">
        <v>969</v>
      </c>
      <c r="P56" s="8" t="s">
        <v>969</v>
      </c>
      <c r="Q56" s="8" t="s">
        <v>969</v>
      </c>
      <c r="R56" s="8" t="s">
        <v>969</v>
      </c>
      <c r="S56" s="8" t="s">
        <v>969</v>
      </c>
      <c r="T56" s="8" t="s">
        <v>2719</v>
      </c>
      <c r="U56" s="8" t="s">
        <v>2720</v>
      </c>
      <c r="V56" s="8" t="s">
        <v>2721</v>
      </c>
      <c r="W56" s="8" t="s">
        <v>2722</v>
      </c>
      <c r="X56" s="8" t="s">
        <v>2723</v>
      </c>
      <c r="Y56" s="8" t="s">
        <v>2724</v>
      </c>
      <c r="Z56" s="8" t="s">
        <v>2725</v>
      </c>
      <c r="AA56" s="8" t="s">
        <v>2939</v>
      </c>
      <c r="AB56" s="8" t="s">
        <v>2940</v>
      </c>
      <c r="AC56" s="8" t="s">
        <v>2728</v>
      </c>
      <c r="AD56" s="8" t="s">
        <v>2729</v>
      </c>
      <c r="AE56" s="8" t="s">
        <v>2730</v>
      </c>
      <c r="AF56" s="8" t="s">
        <v>969</v>
      </c>
      <c r="AG56" s="8">
        <v>60.0</v>
      </c>
      <c r="AH56" s="8">
        <v>35.0</v>
      </c>
      <c r="AI56" s="8">
        <v>39.0</v>
      </c>
      <c r="AJ56" s="8">
        <v>1.0</v>
      </c>
      <c r="AK56" s="8">
        <v>69.0</v>
      </c>
      <c r="AL56" s="8" t="s">
        <v>1609</v>
      </c>
      <c r="AM56" s="8" t="s">
        <v>2731</v>
      </c>
      <c r="AN56" s="8" t="s">
        <v>2732</v>
      </c>
      <c r="AO56" s="8" t="s">
        <v>2733</v>
      </c>
      <c r="AP56" s="8" t="s">
        <v>969</v>
      </c>
      <c r="AQ56" s="8" t="s">
        <v>969</v>
      </c>
      <c r="AR56" s="8" t="s">
        <v>2718</v>
      </c>
      <c r="AS56" s="8" t="s">
        <v>2734</v>
      </c>
      <c r="AT56" s="8" t="s">
        <v>1300</v>
      </c>
      <c r="AU56" s="8">
        <v>2013.0</v>
      </c>
      <c r="AV56" s="8">
        <v>100.0</v>
      </c>
      <c r="AW56" s="8">
        <v>9.0</v>
      </c>
      <c r="AX56" s="8" t="s">
        <v>969</v>
      </c>
      <c r="AY56" s="8" t="s">
        <v>969</v>
      </c>
      <c r="AZ56" s="8" t="s">
        <v>969</v>
      </c>
      <c r="BA56" s="8" t="s">
        <v>969</v>
      </c>
      <c r="BB56" s="8">
        <v>877.0</v>
      </c>
      <c r="BC56" s="8">
        <v>889.0</v>
      </c>
      <c r="BD56" s="8" t="s">
        <v>969</v>
      </c>
      <c r="BE56" s="8" t="s">
        <v>512</v>
      </c>
      <c r="BF56" s="13" t="str">
        <f>HYPERLINK("http://dx.doi.org/10.1007/s00114-013-1088-4","http://dx.doi.org/10.1007/s00114-013-1088-4")</f>
        <v>http://dx.doi.org/10.1007/s00114-013-1088-4</v>
      </c>
      <c r="BG56" s="8" t="s">
        <v>969</v>
      </c>
      <c r="BH56" s="8" t="s">
        <v>969</v>
      </c>
      <c r="BI56" s="8">
        <v>13.0</v>
      </c>
      <c r="BJ56" s="8" t="s">
        <v>1076</v>
      </c>
      <c r="BK56" s="8" t="s">
        <v>988</v>
      </c>
      <c r="BL56" s="8" t="s">
        <v>1077</v>
      </c>
      <c r="BM56" s="8" t="s">
        <v>2735</v>
      </c>
      <c r="BN56" s="8">
        <v>2.394255E7</v>
      </c>
      <c r="BO56" s="8" t="s">
        <v>969</v>
      </c>
      <c r="BP56" s="8" t="s">
        <v>969</v>
      </c>
      <c r="BQ56" s="8" t="s">
        <v>969</v>
      </c>
      <c r="BR56" s="8" t="s">
        <v>3231</v>
      </c>
      <c r="BS56" s="8" t="s">
        <v>2736</v>
      </c>
      <c r="BT56" s="3" t="s">
        <v>3232</v>
      </c>
      <c r="BU56" s="8" t="str">
        <f>HYPERLINK("https%3A%2F%2Fwww.webofscience.com%2Fwos%2Fwoscc%2Ffull-record%2FWOS:000323670800008","View Full Record in Web of Science")</f>
        <v>View Full Record in Web of Science</v>
      </c>
    </row>
    <row r="57" ht="12.75" customHeight="1">
      <c r="A57" s="8" t="s">
        <v>967</v>
      </c>
      <c r="B57" s="8" t="s">
        <v>1865</v>
      </c>
      <c r="C57" s="8" t="s">
        <v>969</v>
      </c>
      <c r="D57" s="8" t="s">
        <v>969</v>
      </c>
      <c r="E57" s="8" t="s">
        <v>969</v>
      </c>
      <c r="F57" s="8" t="s">
        <v>1866</v>
      </c>
      <c r="G57" s="8" t="s">
        <v>969</v>
      </c>
      <c r="H57" s="8" t="s">
        <v>969</v>
      </c>
      <c r="I57" s="8" t="s">
        <v>1867</v>
      </c>
      <c r="J57" s="8" t="s">
        <v>971</v>
      </c>
      <c r="K57" s="8" t="s">
        <v>969</v>
      </c>
      <c r="L57" s="8" t="s">
        <v>969</v>
      </c>
      <c r="M57" s="8" t="s">
        <v>972</v>
      </c>
      <c r="N57" s="8" t="s">
        <v>973</v>
      </c>
      <c r="O57" s="8" t="s">
        <v>969</v>
      </c>
      <c r="P57" s="8" t="s">
        <v>969</v>
      </c>
      <c r="Q57" s="8" t="s">
        <v>969</v>
      </c>
      <c r="R57" s="8" t="s">
        <v>969</v>
      </c>
      <c r="S57" s="8" t="s">
        <v>969</v>
      </c>
      <c r="T57" s="8" t="s">
        <v>1868</v>
      </c>
      <c r="U57" s="8" t="s">
        <v>1869</v>
      </c>
      <c r="V57" s="8" t="s">
        <v>1870</v>
      </c>
      <c r="W57" s="8" t="s">
        <v>1871</v>
      </c>
      <c r="X57" s="8" t="s">
        <v>1872</v>
      </c>
      <c r="Y57" s="8" t="s">
        <v>1873</v>
      </c>
      <c r="Z57" s="8" t="s">
        <v>1874</v>
      </c>
      <c r="AA57" s="8" t="s">
        <v>3292</v>
      </c>
      <c r="AB57" s="8" t="s">
        <v>3293</v>
      </c>
      <c r="AC57" s="8" t="s">
        <v>969</v>
      </c>
      <c r="AD57" s="8" t="s">
        <v>969</v>
      </c>
      <c r="AE57" s="8" t="s">
        <v>969</v>
      </c>
      <c r="AF57" s="8" t="s">
        <v>969</v>
      </c>
      <c r="AG57" s="8">
        <v>72.0</v>
      </c>
      <c r="AH57" s="8">
        <v>207.0</v>
      </c>
      <c r="AI57" s="8">
        <v>255.0</v>
      </c>
      <c r="AJ57" s="8">
        <v>6.0</v>
      </c>
      <c r="AK57" s="8">
        <v>146.0</v>
      </c>
      <c r="AL57" s="8" t="s">
        <v>1091</v>
      </c>
      <c r="AM57" s="8" t="s">
        <v>1092</v>
      </c>
      <c r="AN57" s="8" t="s">
        <v>1093</v>
      </c>
      <c r="AO57" s="8" t="s">
        <v>983</v>
      </c>
      <c r="AP57" s="8" t="s">
        <v>1094</v>
      </c>
      <c r="AQ57" s="8" t="s">
        <v>969</v>
      </c>
      <c r="AR57" s="8" t="s">
        <v>1095</v>
      </c>
      <c r="AS57" s="8" t="s">
        <v>985</v>
      </c>
      <c r="AT57" s="8" t="s">
        <v>1285</v>
      </c>
      <c r="AU57" s="8">
        <v>2008.0</v>
      </c>
      <c r="AV57" s="8">
        <v>14.0</v>
      </c>
      <c r="AW57" s="8">
        <v>6.0</v>
      </c>
      <c r="AX57" s="8" t="s">
        <v>969</v>
      </c>
      <c r="AY57" s="8" t="s">
        <v>969</v>
      </c>
      <c r="AZ57" s="8" t="s">
        <v>969</v>
      </c>
      <c r="BA57" s="8" t="s">
        <v>969</v>
      </c>
      <c r="BB57" s="8">
        <v>1337.0</v>
      </c>
      <c r="BC57" s="8">
        <v>1352.0</v>
      </c>
      <c r="BD57" s="8" t="s">
        <v>969</v>
      </c>
      <c r="BE57" s="8" t="s">
        <v>707</v>
      </c>
      <c r="BF57" s="13" t="str">
        <f>HYPERLINK("http://dx.doi.org/10.1111/j.1365-2486.2008.01559.x","http://dx.doi.org/10.1111/j.1365-2486.2008.01559.x")</f>
        <v>http://dx.doi.org/10.1111/j.1365-2486.2008.01559.x</v>
      </c>
      <c r="BG57" s="8" t="s">
        <v>969</v>
      </c>
      <c r="BH57" s="8" t="s">
        <v>969</v>
      </c>
      <c r="BI57" s="8">
        <v>16.0</v>
      </c>
      <c r="BJ57" s="8" t="s">
        <v>987</v>
      </c>
      <c r="BK57" s="8" t="s">
        <v>988</v>
      </c>
      <c r="BL57" s="8" t="s">
        <v>989</v>
      </c>
      <c r="BM57" s="8" t="s">
        <v>1877</v>
      </c>
      <c r="BN57" s="8" t="s">
        <v>969</v>
      </c>
      <c r="BO57" s="8" t="s">
        <v>969</v>
      </c>
      <c r="BP57" s="8" t="s">
        <v>969</v>
      </c>
      <c r="BQ57" s="8" t="s">
        <v>969</v>
      </c>
      <c r="BR57" s="8" t="s">
        <v>3231</v>
      </c>
      <c r="BS57" s="8" t="s">
        <v>1878</v>
      </c>
      <c r="BT57" s="3" t="s">
        <v>3232</v>
      </c>
      <c r="BU57" s="8" t="str">
        <f>HYPERLINK("https%3A%2F%2Fwww.webofscience.com%2Fwos%2Fwoscc%2Ffull-record%2FWOS:000255707200011","View Full Record in Web of Science")</f>
        <v>View Full Record in Web of Science</v>
      </c>
    </row>
    <row r="58" ht="12.75" customHeight="1">
      <c r="A58" s="8" t="s">
        <v>967</v>
      </c>
      <c r="B58" s="8" t="s">
        <v>2805</v>
      </c>
      <c r="C58" s="8" t="s">
        <v>969</v>
      </c>
      <c r="D58" s="8" t="s">
        <v>969</v>
      </c>
      <c r="E58" s="8" t="s">
        <v>969</v>
      </c>
      <c r="F58" s="8" t="s">
        <v>2806</v>
      </c>
      <c r="G58" s="8" t="s">
        <v>969</v>
      </c>
      <c r="H58" s="8" t="s">
        <v>969</v>
      </c>
      <c r="I58" s="8" t="s">
        <v>2807</v>
      </c>
      <c r="J58" s="8" t="s">
        <v>1000</v>
      </c>
      <c r="K58" s="8" t="s">
        <v>969</v>
      </c>
      <c r="L58" s="8" t="s">
        <v>969</v>
      </c>
      <c r="M58" s="8" t="s">
        <v>972</v>
      </c>
      <c r="N58" s="8" t="s">
        <v>973</v>
      </c>
      <c r="O58" s="8" t="s">
        <v>969</v>
      </c>
      <c r="P58" s="8" t="s">
        <v>969</v>
      </c>
      <c r="Q58" s="8" t="s">
        <v>969</v>
      </c>
      <c r="R58" s="8" t="s">
        <v>969</v>
      </c>
      <c r="S58" s="8" t="s">
        <v>969</v>
      </c>
      <c r="T58" s="8" t="s">
        <v>2808</v>
      </c>
      <c r="U58" s="8" t="s">
        <v>2809</v>
      </c>
      <c r="V58" s="8" t="s">
        <v>2810</v>
      </c>
      <c r="W58" s="8" t="s">
        <v>2811</v>
      </c>
      <c r="X58" s="8" t="s">
        <v>2812</v>
      </c>
      <c r="Y58" s="8" t="s">
        <v>2813</v>
      </c>
      <c r="Z58" s="8" t="s">
        <v>2814</v>
      </c>
      <c r="AA58" s="8" t="s">
        <v>2910</v>
      </c>
      <c r="AB58" s="8" t="s">
        <v>2911</v>
      </c>
      <c r="AC58" s="8" t="s">
        <v>3294</v>
      </c>
      <c r="AD58" s="8" t="s">
        <v>3295</v>
      </c>
      <c r="AE58" s="8" t="s">
        <v>2819</v>
      </c>
      <c r="AF58" s="8" t="s">
        <v>969</v>
      </c>
      <c r="AG58" s="8">
        <v>87.0</v>
      </c>
      <c r="AH58" s="8">
        <v>37.0</v>
      </c>
      <c r="AI58" s="8">
        <v>40.0</v>
      </c>
      <c r="AJ58" s="8">
        <v>2.0</v>
      </c>
      <c r="AK58" s="8">
        <v>83.0</v>
      </c>
      <c r="AL58" s="8" t="s">
        <v>1091</v>
      </c>
      <c r="AM58" s="8" t="s">
        <v>1092</v>
      </c>
      <c r="AN58" s="8" t="s">
        <v>1093</v>
      </c>
      <c r="AO58" s="8" t="s">
        <v>1013</v>
      </c>
      <c r="AP58" s="8" t="s">
        <v>2602</v>
      </c>
      <c r="AQ58" s="8" t="s">
        <v>969</v>
      </c>
      <c r="AR58" s="8" t="s">
        <v>1014</v>
      </c>
      <c r="AS58" s="8" t="s">
        <v>1015</v>
      </c>
      <c r="AT58" s="8" t="s">
        <v>1096</v>
      </c>
      <c r="AU58" s="8">
        <v>2014.0</v>
      </c>
      <c r="AV58" s="8">
        <v>41.0</v>
      </c>
      <c r="AW58" s="8">
        <v>7.0</v>
      </c>
      <c r="AX58" s="8" t="s">
        <v>969</v>
      </c>
      <c r="AY58" s="8" t="s">
        <v>969</v>
      </c>
      <c r="AZ58" s="8" t="s">
        <v>969</v>
      </c>
      <c r="BA58" s="8" t="s">
        <v>969</v>
      </c>
      <c r="BB58" s="8">
        <v>1352.0</v>
      </c>
      <c r="BC58" s="8">
        <v>1366.0</v>
      </c>
      <c r="BD58" s="8" t="s">
        <v>969</v>
      </c>
      <c r="BE58" s="8" t="s">
        <v>794</v>
      </c>
      <c r="BF58" s="13" t="str">
        <f>HYPERLINK("http://dx.doi.org/10.1111/jbi.12289","http://dx.doi.org/10.1111/jbi.12289")</f>
        <v>http://dx.doi.org/10.1111/jbi.12289</v>
      </c>
      <c r="BG58" s="8" t="s">
        <v>969</v>
      </c>
      <c r="BH58" s="8" t="s">
        <v>969</v>
      </c>
      <c r="BI58" s="8">
        <v>15.0</v>
      </c>
      <c r="BJ58" s="8" t="s">
        <v>1017</v>
      </c>
      <c r="BK58" s="8" t="s">
        <v>988</v>
      </c>
      <c r="BL58" s="8" t="s">
        <v>1018</v>
      </c>
      <c r="BM58" s="8" t="s">
        <v>2820</v>
      </c>
      <c r="BN58" s="8" t="s">
        <v>969</v>
      </c>
      <c r="BO58" s="8" t="s">
        <v>969</v>
      </c>
      <c r="BP58" s="8" t="s">
        <v>969</v>
      </c>
      <c r="BQ58" s="8" t="s">
        <v>969</v>
      </c>
      <c r="BR58" s="8" t="s">
        <v>3231</v>
      </c>
      <c r="BS58" s="8" t="s">
        <v>2821</v>
      </c>
      <c r="BT58" s="3" t="s">
        <v>3232</v>
      </c>
      <c r="BU58" s="8" t="str">
        <f>HYPERLINK("https%3A%2F%2Fwww.webofscience.com%2Fwos%2Fwoscc%2Ffull-record%2FWOS:000337615500011","View Full Record in Web of Science")</f>
        <v>View Full Record in Web of Science</v>
      </c>
    </row>
    <row r="59" ht="12.75" customHeight="1">
      <c r="A59" s="8" t="s">
        <v>967</v>
      </c>
      <c r="B59" s="8" t="s">
        <v>998</v>
      </c>
      <c r="C59" s="8" t="s">
        <v>969</v>
      </c>
      <c r="D59" s="8" t="s">
        <v>969</v>
      </c>
      <c r="E59" s="8" t="s">
        <v>969</v>
      </c>
      <c r="F59" s="8" t="s">
        <v>998</v>
      </c>
      <c r="G59" s="8" t="s">
        <v>969</v>
      </c>
      <c r="H59" s="8" t="s">
        <v>969</v>
      </c>
      <c r="I59" s="8" t="s">
        <v>999</v>
      </c>
      <c r="J59" s="8" t="s">
        <v>1000</v>
      </c>
      <c r="K59" s="8" t="s">
        <v>969</v>
      </c>
      <c r="L59" s="8" t="s">
        <v>969</v>
      </c>
      <c r="M59" s="8" t="s">
        <v>972</v>
      </c>
      <c r="N59" s="8" t="s">
        <v>973</v>
      </c>
      <c r="O59" s="8" t="s">
        <v>969</v>
      </c>
      <c r="P59" s="8" t="s">
        <v>969</v>
      </c>
      <c r="Q59" s="8" t="s">
        <v>969</v>
      </c>
      <c r="R59" s="8" t="s">
        <v>969</v>
      </c>
      <c r="S59" s="8" t="s">
        <v>969</v>
      </c>
      <c r="T59" s="8" t="s">
        <v>1001</v>
      </c>
      <c r="U59" s="8" t="s">
        <v>1002</v>
      </c>
      <c r="V59" s="8" t="s">
        <v>1003</v>
      </c>
      <c r="W59" s="8" t="s">
        <v>1004</v>
      </c>
      <c r="X59" s="8" t="s">
        <v>1005</v>
      </c>
      <c r="Y59" s="8" t="s">
        <v>1006</v>
      </c>
      <c r="Z59" s="8" t="s">
        <v>1007</v>
      </c>
      <c r="AA59" s="8" t="s">
        <v>3135</v>
      </c>
      <c r="AB59" s="8" t="s">
        <v>3136</v>
      </c>
      <c r="AC59" s="8" t="s">
        <v>969</v>
      </c>
      <c r="AD59" s="8" t="s">
        <v>969</v>
      </c>
      <c r="AE59" s="8" t="s">
        <v>969</v>
      </c>
      <c r="AF59" s="8" t="s">
        <v>969</v>
      </c>
      <c r="AG59" s="8">
        <v>93.0</v>
      </c>
      <c r="AH59" s="8">
        <v>55.0</v>
      </c>
      <c r="AI59" s="8">
        <v>60.0</v>
      </c>
      <c r="AJ59" s="8">
        <v>1.0</v>
      </c>
      <c r="AK59" s="8">
        <v>30.0</v>
      </c>
      <c r="AL59" s="8" t="s">
        <v>1010</v>
      </c>
      <c r="AM59" s="8" t="s">
        <v>1011</v>
      </c>
      <c r="AN59" s="8" t="s">
        <v>1012</v>
      </c>
      <c r="AO59" s="8" t="s">
        <v>1013</v>
      </c>
      <c r="AP59" s="8" t="s">
        <v>969</v>
      </c>
      <c r="AQ59" s="8" t="s">
        <v>969</v>
      </c>
      <c r="AR59" s="8" t="s">
        <v>1014</v>
      </c>
      <c r="AS59" s="8" t="s">
        <v>1015</v>
      </c>
      <c r="AT59" s="8" t="s">
        <v>1016</v>
      </c>
      <c r="AU59" s="8">
        <v>1998.0</v>
      </c>
      <c r="AV59" s="8">
        <v>25.0</v>
      </c>
      <c r="AW59" s="8">
        <v>1.0</v>
      </c>
      <c r="AX59" s="8" t="s">
        <v>969</v>
      </c>
      <c r="AY59" s="8" t="s">
        <v>969</v>
      </c>
      <c r="AZ59" s="8" t="s">
        <v>969</v>
      </c>
      <c r="BA59" s="8" t="s">
        <v>969</v>
      </c>
      <c r="BB59" s="8">
        <v>111.0</v>
      </c>
      <c r="BC59" s="8">
        <v>122.0</v>
      </c>
      <c r="BD59" s="8" t="s">
        <v>969</v>
      </c>
      <c r="BE59" s="8" t="s">
        <v>620</v>
      </c>
      <c r="BF59" s="13" t="str">
        <f>HYPERLINK("http://dx.doi.org/10.1046/j.1365-2699.1998.251192.x","http://dx.doi.org/10.1046/j.1365-2699.1998.251192.x")</f>
        <v>http://dx.doi.org/10.1046/j.1365-2699.1998.251192.x</v>
      </c>
      <c r="BG59" s="8" t="s">
        <v>969</v>
      </c>
      <c r="BH59" s="8" t="s">
        <v>969</v>
      </c>
      <c r="BI59" s="8">
        <v>12.0</v>
      </c>
      <c r="BJ59" s="8" t="s">
        <v>1017</v>
      </c>
      <c r="BK59" s="8" t="s">
        <v>988</v>
      </c>
      <c r="BL59" s="8" t="s">
        <v>1018</v>
      </c>
      <c r="BM59" s="8" t="s">
        <v>1019</v>
      </c>
      <c r="BN59" s="8" t="s">
        <v>969</v>
      </c>
      <c r="BO59" s="8" t="s">
        <v>969</v>
      </c>
      <c r="BP59" s="8" t="s">
        <v>969</v>
      </c>
      <c r="BQ59" s="8" t="s">
        <v>969</v>
      </c>
      <c r="BR59" s="8" t="s">
        <v>3231</v>
      </c>
      <c r="BS59" s="8" t="s">
        <v>1020</v>
      </c>
      <c r="BT59" s="3" t="s">
        <v>3232</v>
      </c>
      <c r="BU59" s="8" t="str">
        <f>HYPERLINK("https%3A%2F%2Fwww.webofscience.com%2Fwos%2Fwoscc%2Ffull-record%2FWOS:000073382800011","View Full Record in Web of Science")</f>
        <v>View Full Record in Web of Science</v>
      </c>
    </row>
    <row r="60" ht="12.75" customHeight="1">
      <c r="A60" s="8" t="s">
        <v>967</v>
      </c>
      <c r="B60" s="8" t="s">
        <v>1899</v>
      </c>
      <c r="C60" s="8" t="s">
        <v>969</v>
      </c>
      <c r="D60" s="8" t="s">
        <v>969</v>
      </c>
      <c r="E60" s="8" t="s">
        <v>969</v>
      </c>
      <c r="F60" s="8" t="s">
        <v>1900</v>
      </c>
      <c r="G60" s="8" t="s">
        <v>969</v>
      </c>
      <c r="H60" s="8" t="s">
        <v>969</v>
      </c>
      <c r="I60" s="8" t="s">
        <v>1901</v>
      </c>
      <c r="J60" s="8" t="s">
        <v>1183</v>
      </c>
      <c r="K60" s="8" t="s">
        <v>969</v>
      </c>
      <c r="L60" s="8" t="s">
        <v>969</v>
      </c>
      <c r="M60" s="8" t="s">
        <v>972</v>
      </c>
      <c r="N60" s="8" t="s">
        <v>973</v>
      </c>
      <c r="O60" s="8" t="s">
        <v>969</v>
      </c>
      <c r="P60" s="8" t="s">
        <v>969</v>
      </c>
      <c r="Q60" s="8" t="s">
        <v>969</v>
      </c>
      <c r="R60" s="8" t="s">
        <v>969</v>
      </c>
      <c r="S60" s="8" t="s">
        <v>969</v>
      </c>
      <c r="T60" s="8" t="s">
        <v>1902</v>
      </c>
      <c r="U60" s="8" t="s">
        <v>1903</v>
      </c>
      <c r="V60" s="8" t="s">
        <v>1904</v>
      </c>
      <c r="W60" s="8" t="s">
        <v>1905</v>
      </c>
      <c r="X60" s="8" t="s">
        <v>1906</v>
      </c>
      <c r="Y60" s="8" t="s">
        <v>1907</v>
      </c>
      <c r="Z60" s="8" t="s">
        <v>1908</v>
      </c>
      <c r="AA60" s="8" t="s">
        <v>3082</v>
      </c>
      <c r="AB60" s="8" t="s">
        <v>3083</v>
      </c>
      <c r="AC60" s="8" t="s">
        <v>969</v>
      </c>
      <c r="AD60" s="8" t="s">
        <v>969</v>
      </c>
      <c r="AE60" s="8" t="s">
        <v>969</v>
      </c>
      <c r="AF60" s="8" t="s">
        <v>969</v>
      </c>
      <c r="AG60" s="8">
        <v>66.0</v>
      </c>
      <c r="AH60" s="8">
        <v>115.0</v>
      </c>
      <c r="AI60" s="8">
        <v>137.0</v>
      </c>
      <c r="AJ60" s="8">
        <v>3.0</v>
      </c>
      <c r="AK60" s="8">
        <v>105.0</v>
      </c>
      <c r="AL60" s="8" t="s">
        <v>1192</v>
      </c>
      <c r="AM60" s="8" t="s">
        <v>981</v>
      </c>
      <c r="AN60" s="8" t="s">
        <v>1408</v>
      </c>
      <c r="AO60" s="8" t="s">
        <v>1195</v>
      </c>
      <c r="AP60" s="8" t="s">
        <v>1196</v>
      </c>
      <c r="AQ60" s="8" t="s">
        <v>969</v>
      </c>
      <c r="AR60" s="8" t="s">
        <v>1197</v>
      </c>
      <c r="AS60" s="8" t="s">
        <v>1198</v>
      </c>
      <c r="AT60" s="8" t="s">
        <v>1177</v>
      </c>
      <c r="AU60" s="8">
        <v>2008.0</v>
      </c>
      <c r="AV60" s="8">
        <v>141.0</v>
      </c>
      <c r="AW60" s="8">
        <v>5.0</v>
      </c>
      <c r="AX60" s="8" t="s">
        <v>969</v>
      </c>
      <c r="AY60" s="8" t="s">
        <v>969</v>
      </c>
      <c r="AZ60" s="8" t="s">
        <v>969</v>
      </c>
      <c r="BA60" s="8" t="s">
        <v>969</v>
      </c>
      <c r="BB60" s="8">
        <v>1343.0</v>
      </c>
      <c r="BC60" s="8">
        <v>1353.0</v>
      </c>
      <c r="BD60" s="8" t="s">
        <v>969</v>
      </c>
      <c r="BE60" s="8" t="s">
        <v>551</v>
      </c>
      <c r="BF60" s="13" t="str">
        <f>HYPERLINK("http://dx.doi.org/10.1016/j.biocon.2008.03.007","http://dx.doi.org/10.1016/j.biocon.2008.03.007")</f>
        <v>http://dx.doi.org/10.1016/j.biocon.2008.03.007</v>
      </c>
      <c r="BG60" s="8" t="s">
        <v>969</v>
      </c>
      <c r="BH60" s="8" t="s">
        <v>969</v>
      </c>
      <c r="BI60" s="8">
        <v>11.0</v>
      </c>
      <c r="BJ60" s="8" t="s">
        <v>987</v>
      </c>
      <c r="BK60" s="8" t="s">
        <v>988</v>
      </c>
      <c r="BL60" s="8" t="s">
        <v>989</v>
      </c>
      <c r="BM60" s="8" t="s">
        <v>1910</v>
      </c>
      <c r="BN60" s="8" t="s">
        <v>969</v>
      </c>
      <c r="BO60" s="8" t="s">
        <v>969</v>
      </c>
      <c r="BP60" s="8" t="s">
        <v>969</v>
      </c>
      <c r="BQ60" s="8" t="s">
        <v>969</v>
      </c>
      <c r="BR60" s="8" t="s">
        <v>3231</v>
      </c>
      <c r="BS60" s="8" t="s">
        <v>1911</v>
      </c>
      <c r="BT60" s="3" t="s">
        <v>3232</v>
      </c>
      <c r="BU60" s="8" t="str">
        <f>HYPERLINK("https%3A%2F%2Fwww.webofscience.com%2Fwos%2Fwoscc%2Ffull-record%2FWOS:000257008400017","View Full Record in Web of Science")</f>
        <v>View Full Record in Web of Science</v>
      </c>
    </row>
    <row r="61" ht="12.75" customHeight="1">
      <c r="A61" s="8" t="s">
        <v>967</v>
      </c>
      <c r="B61" s="8" t="s">
        <v>1289</v>
      </c>
      <c r="C61" s="8" t="s">
        <v>969</v>
      </c>
      <c r="D61" s="8" t="s">
        <v>969</v>
      </c>
      <c r="E61" s="8" t="s">
        <v>969</v>
      </c>
      <c r="F61" s="8" t="s">
        <v>1289</v>
      </c>
      <c r="G61" s="8" t="s">
        <v>969</v>
      </c>
      <c r="H61" s="8" t="s">
        <v>969</v>
      </c>
      <c r="I61" s="8" t="s">
        <v>1290</v>
      </c>
      <c r="J61" s="8" t="s">
        <v>971</v>
      </c>
      <c r="K61" s="8" t="s">
        <v>969</v>
      </c>
      <c r="L61" s="8" t="s">
        <v>969</v>
      </c>
      <c r="M61" s="8" t="s">
        <v>972</v>
      </c>
      <c r="N61" s="8" t="s">
        <v>973</v>
      </c>
      <c r="O61" s="8" t="s">
        <v>969</v>
      </c>
      <c r="P61" s="8" t="s">
        <v>969</v>
      </c>
      <c r="Q61" s="8" t="s">
        <v>969</v>
      </c>
      <c r="R61" s="8" t="s">
        <v>969</v>
      </c>
      <c r="S61" s="8" t="s">
        <v>969</v>
      </c>
      <c r="T61" s="8" t="s">
        <v>1291</v>
      </c>
      <c r="U61" s="8" t="s">
        <v>1292</v>
      </c>
      <c r="V61" s="8" t="s">
        <v>1293</v>
      </c>
      <c r="W61" s="8" t="s">
        <v>1294</v>
      </c>
      <c r="X61" s="8" t="s">
        <v>1295</v>
      </c>
      <c r="Y61" s="8" t="s">
        <v>1296</v>
      </c>
      <c r="Z61" s="8" t="s">
        <v>1297</v>
      </c>
      <c r="AA61" s="8" t="s">
        <v>3296</v>
      </c>
      <c r="AB61" s="8" t="s">
        <v>3297</v>
      </c>
      <c r="AC61" s="8" t="s">
        <v>969</v>
      </c>
      <c r="AD61" s="8" t="s">
        <v>969</v>
      </c>
      <c r="AE61" s="8" t="s">
        <v>969</v>
      </c>
      <c r="AF61" s="8" t="s">
        <v>969</v>
      </c>
      <c r="AG61" s="8">
        <v>69.0</v>
      </c>
      <c r="AH61" s="8">
        <v>551.0</v>
      </c>
      <c r="AI61" s="8">
        <v>646.0</v>
      </c>
      <c r="AJ61" s="8">
        <v>3.0</v>
      </c>
      <c r="AK61" s="8">
        <v>202.0</v>
      </c>
      <c r="AL61" s="8" t="s">
        <v>1091</v>
      </c>
      <c r="AM61" s="8" t="s">
        <v>1092</v>
      </c>
      <c r="AN61" s="8" t="s">
        <v>1093</v>
      </c>
      <c r="AO61" s="8" t="s">
        <v>983</v>
      </c>
      <c r="AP61" s="8" t="s">
        <v>1094</v>
      </c>
      <c r="AQ61" s="8" t="s">
        <v>969</v>
      </c>
      <c r="AR61" s="8" t="s">
        <v>1095</v>
      </c>
      <c r="AS61" s="8" t="s">
        <v>985</v>
      </c>
      <c r="AT61" s="8" t="s">
        <v>1300</v>
      </c>
      <c r="AU61" s="8">
        <v>2004.0</v>
      </c>
      <c r="AV61" s="8">
        <v>10.0</v>
      </c>
      <c r="AW61" s="8">
        <v>9.0</v>
      </c>
      <c r="AX61" s="8" t="s">
        <v>969</v>
      </c>
      <c r="AY61" s="8" t="s">
        <v>969</v>
      </c>
      <c r="AZ61" s="8" t="s">
        <v>969</v>
      </c>
      <c r="BA61" s="8" t="s">
        <v>969</v>
      </c>
      <c r="BB61" s="8">
        <v>1618.0</v>
      </c>
      <c r="BC61" s="8">
        <v>1626.0</v>
      </c>
      <c r="BD61" s="8" t="s">
        <v>969</v>
      </c>
      <c r="BE61" s="8" t="s">
        <v>683</v>
      </c>
      <c r="BF61" s="13" t="str">
        <f>HYPERLINK("http://dx.doi.org/10.1111/j.1365-2486.2004.00828.x","http://dx.doi.org/10.1111/j.1365-2486.2004.00828.x")</f>
        <v>http://dx.doi.org/10.1111/j.1365-2486.2004.00828.x</v>
      </c>
      <c r="BG61" s="8" t="s">
        <v>969</v>
      </c>
      <c r="BH61" s="8" t="s">
        <v>969</v>
      </c>
      <c r="BI61" s="8">
        <v>9.0</v>
      </c>
      <c r="BJ61" s="8" t="s">
        <v>987</v>
      </c>
      <c r="BK61" s="8" t="s">
        <v>988</v>
      </c>
      <c r="BL61" s="8" t="s">
        <v>989</v>
      </c>
      <c r="BM61" s="8" t="s">
        <v>1301</v>
      </c>
      <c r="BN61" s="8" t="s">
        <v>969</v>
      </c>
      <c r="BO61" s="8" t="s">
        <v>969</v>
      </c>
      <c r="BP61" s="8" t="s">
        <v>969</v>
      </c>
      <c r="BQ61" s="8" t="s">
        <v>969</v>
      </c>
      <c r="BR61" s="8" t="s">
        <v>3231</v>
      </c>
      <c r="BS61" s="8" t="s">
        <v>1302</v>
      </c>
      <c r="BT61" s="3" t="s">
        <v>3232</v>
      </c>
      <c r="BU61" s="8" t="str">
        <f>HYPERLINK("https%3A%2F%2Fwww.webofscience.com%2Fwos%2Fwoscc%2Ffull-record%2FWOS:000223817000017","View Full Record in Web of Science")</f>
        <v>View Full Record in Web of Science</v>
      </c>
    </row>
    <row r="62" ht="12.75" customHeight="1">
      <c r="A62" s="8" t="s">
        <v>967</v>
      </c>
      <c r="B62" s="8" t="s">
        <v>3067</v>
      </c>
      <c r="C62" s="8" t="s">
        <v>969</v>
      </c>
      <c r="D62" s="8" t="s">
        <v>969</v>
      </c>
      <c r="E62" s="8" t="s">
        <v>969</v>
      </c>
      <c r="F62" s="8" t="s">
        <v>3068</v>
      </c>
      <c r="G62" s="8" t="s">
        <v>969</v>
      </c>
      <c r="H62" s="8" t="s">
        <v>969</v>
      </c>
      <c r="I62" s="8" t="s">
        <v>3069</v>
      </c>
      <c r="J62" s="8" t="s">
        <v>971</v>
      </c>
      <c r="K62" s="8" t="s">
        <v>969</v>
      </c>
      <c r="L62" s="8" t="s">
        <v>969</v>
      </c>
      <c r="M62" s="8" t="s">
        <v>972</v>
      </c>
      <c r="N62" s="8" t="s">
        <v>2924</v>
      </c>
      <c r="O62" s="8" t="s">
        <v>969</v>
      </c>
      <c r="P62" s="8" t="s">
        <v>969</v>
      </c>
      <c r="Q62" s="8" t="s">
        <v>969</v>
      </c>
      <c r="R62" s="8" t="s">
        <v>969</v>
      </c>
      <c r="S62" s="8" t="s">
        <v>969</v>
      </c>
      <c r="T62" s="8" t="s">
        <v>3070</v>
      </c>
      <c r="U62" s="8" t="s">
        <v>3071</v>
      </c>
      <c r="V62" s="8" t="s">
        <v>3072</v>
      </c>
      <c r="W62" s="8" t="s">
        <v>3073</v>
      </c>
      <c r="X62" s="8" t="s">
        <v>3298</v>
      </c>
      <c r="Y62" s="8" t="s">
        <v>3075</v>
      </c>
      <c r="Z62" s="8" t="s">
        <v>3076</v>
      </c>
      <c r="AA62" s="8" t="s">
        <v>3299</v>
      </c>
      <c r="AB62" s="8" t="s">
        <v>3300</v>
      </c>
      <c r="AC62" s="8" t="s">
        <v>3079</v>
      </c>
      <c r="AD62" s="8" t="s">
        <v>1240</v>
      </c>
      <c r="AE62" s="8" t="s">
        <v>969</v>
      </c>
      <c r="AF62" s="8" t="s">
        <v>969</v>
      </c>
      <c r="AG62" s="8">
        <v>114.0</v>
      </c>
      <c r="AH62" s="8">
        <v>191.0</v>
      </c>
      <c r="AI62" s="8">
        <v>223.0</v>
      </c>
      <c r="AJ62" s="8">
        <v>1.0</v>
      </c>
      <c r="AK62" s="8">
        <v>122.0</v>
      </c>
      <c r="AL62" s="8" t="s">
        <v>1091</v>
      </c>
      <c r="AM62" s="8" t="s">
        <v>1092</v>
      </c>
      <c r="AN62" s="8" t="s">
        <v>1093</v>
      </c>
      <c r="AO62" s="8" t="s">
        <v>983</v>
      </c>
      <c r="AP62" s="8" t="s">
        <v>1094</v>
      </c>
      <c r="AQ62" s="8" t="s">
        <v>969</v>
      </c>
      <c r="AR62" s="8" t="s">
        <v>1095</v>
      </c>
      <c r="AS62" s="8" t="s">
        <v>985</v>
      </c>
      <c r="AT62" s="8" t="s">
        <v>1177</v>
      </c>
      <c r="AU62" s="8">
        <v>2008.0</v>
      </c>
      <c r="AV62" s="8">
        <v>14.0</v>
      </c>
      <c r="AW62" s="8">
        <v>5.0</v>
      </c>
      <c r="AX62" s="8" t="s">
        <v>969</v>
      </c>
      <c r="AY62" s="8" t="s">
        <v>969</v>
      </c>
      <c r="AZ62" s="8" t="s">
        <v>969</v>
      </c>
      <c r="BA62" s="8" t="s">
        <v>969</v>
      </c>
      <c r="BB62" s="8">
        <v>1089.0</v>
      </c>
      <c r="BC62" s="8">
        <v>1103.0</v>
      </c>
      <c r="BD62" s="8" t="s">
        <v>969</v>
      </c>
      <c r="BE62" s="8" t="s">
        <v>704</v>
      </c>
      <c r="BF62" s="13" t="str">
        <f>HYPERLINK("http://dx.doi.org/10.1111/j.1365-2486.2008.01553.x","http://dx.doi.org/10.1111/j.1365-2486.2008.01553.x")</f>
        <v>http://dx.doi.org/10.1111/j.1365-2486.2008.01553.x</v>
      </c>
      <c r="BG62" s="8" t="s">
        <v>969</v>
      </c>
      <c r="BH62" s="8" t="s">
        <v>969</v>
      </c>
      <c r="BI62" s="8">
        <v>15.0</v>
      </c>
      <c r="BJ62" s="8" t="s">
        <v>987</v>
      </c>
      <c r="BK62" s="8" t="s">
        <v>988</v>
      </c>
      <c r="BL62" s="8" t="s">
        <v>989</v>
      </c>
      <c r="BM62" s="8" t="s">
        <v>3080</v>
      </c>
      <c r="BN62" s="8" t="s">
        <v>969</v>
      </c>
      <c r="BO62" s="8" t="s">
        <v>969</v>
      </c>
      <c r="BP62" s="8" t="s">
        <v>969</v>
      </c>
      <c r="BQ62" s="8" t="s">
        <v>969</v>
      </c>
      <c r="BR62" s="8" t="s">
        <v>3231</v>
      </c>
      <c r="BS62" s="8" t="s">
        <v>3081</v>
      </c>
      <c r="BT62" s="3" t="s">
        <v>3232</v>
      </c>
      <c r="BU62" s="8" t="str">
        <f>HYPERLINK("https%3A%2F%2Fwww.webofscience.com%2Fwos%2Fwoscc%2Ffull-record%2FWOS:000255463600012","View Full Record in Web of Science")</f>
        <v>View Full Record in Web of Science</v>
      </c>
    </row>
    <row r="63" ht="12.75" customHeight="1">
      <c r="A63" s="8" t="s">
        <v>967</v>
      </c>
      <c r="B63" s="8" t="s">
        <v>1729</v>
      </c>
      <c r="C63" s="8" t="s">
        <v>969</v>
      </c>
      <c r="D63" s="8" t="s">
        <v>969</v>
      </c>
      <c r="E63" s="8" t="s">
        <v>969</v>
      </c>
      <c r="F63" s="8" t="s">
        <v>1730</v>
      </c>
      <c r="G63" s="8" t="s">
        <v>969</v>
      </c>
      <c r="H63" s="8" t="s">
        <v>969</v>
      </c>
      <c r="I63" s="8" t="s">
        <v>1731</v>
      </c>
      <c r="J63" s="8" t="s">
        <v>1538</v>
      </c>
      <c r="K63" s="8" t="s">
        <v>969</v>
      </c>
      <c r="L63" s="8" t="s">
        <v>969</v>
      </c>
      <c r="M63" s="8" t="s">
        <v>972</v>
      </c>
      <c r="N63" s="8" t="s">
        <v>973</v>
      </c>
      <c r="O63" s="8" t="s">
        <v>969</v>
      </c>
      <c r="P63" s="8" t="s">
        <v>969</v>
      </c>
      <c r="Q63" s="8" t="s">
        <v>969</v>
      </c>
      <c r="R63" s="8" t="s">
        <v>969</v>
      </c>
      <c r="S63" s="8" t="s">
        <v>969</v>
      </c>
      <c r="T63" s="8" t="s">
        <v>1732</v>
      </c>
      <c r="U63" s="8" t="s">
        <v>1733</v>
      </c>
      <c r="V63" s="8" t="s">
        <v>1734</v>
      </c>
      <c r="W63" s="8" t="s">
        <v>1735</v>
      </c>
      <c r="X63" s="8" t="s">
        <v>1736</v>
      </c>
      <c r="Y63" s="8" t="s">
        <v>1737</v>
      </c>
      <c r="Z63" s="8" t="s">
        <v>1738</v>
      </c>
      <c r="AA63" s="8" t="s">
        <v>1739</v>
      </c>
      <c r="AB63" s="8" t="s">
        <v>969</v>
      </c>
      <c r="AC63" s="8" t="s">
        <v>969</v>
      </c>
      <c r="AD63" s="8" t="s">
        <v>969</v>
      </c>
      <c r="AE63" s="8" t="s">
        <v>969</v>
      </c>
      <c r="AF63" s="8" t="s">
        <v>969</v>
      </c>
      <c r="AG63" s="8">
        <v>51.0</v>
      </c>
      <c r="AH63" s="8">
        <v>115.0</v>
      </c>
      <c r="AI63" s="8">
        <v>142.0</v>
      </c>
      <c r="AJ63" s="8">
        <v>1.0</v>
      </c>
      <c r="AK63" s="8">
        <v>48.0</v>
      </c>
      <c r="AL63" s="8" t="s">
        <v>1091</v>
      </c>
      <c r="AM63" s="8" t="s">
        <v>1092</v>
      </c>
      <c r="AN63" s="8" t="s">
        <v>1093</v>
      </c>
      <c r="AO63" s="8" t="s">
        <v>1548</v>
      </c>
      <c r="AP63" s="8" t="s">
        <v>1549</v>
      </c>
      <c r="AQ63" s="8" t="s">
        <v>969</v>
      </c>
      <c r="AR63" s="8" t="s">
        <v>1550</v>
      </c>
      <c r="AS63" s="8" t="s">
        <v>1551</v>
      </c>
      <c r="AT63" s="8" t="s">
        <v>986</v>
      </c>
      <c r="AU63" s="8">
        <v>2007.0</v>
      </c>
      <c r="AV63" s="8">
        <v>21.0</v>
      </c>
      <c r="AW63" s="8">
        <v>6.0</v>
      </c>
      <c r="AX63" s="8" t="s">
        <v>969</v>
      </c>
      <c r="AY63" s="8" t="s">
        <v>969</v>
      </c>
      <c r="AZ63" s="8" t="s">
        <v>969</v>
      </c>
      <c r="BA63" s="8" t="s">
        <v>969</v>
      </c>
      <c r="BB63" s="8">
        <v>1545.0</v>
      </c>
      <c r="BC63" s="8">
        <v>1555.0</v>
      </c>
      <c r="BD63" s="8" t="s">
        <v>969</v>
      </c>
      <c r="BE63" s="8" t="s">
        <v>776</v>
      </c>
      <c r="BF63" s="13" t="str">
        <f>HYPERLINK("http://dx.doi.org/10.1111/j.1523-1739.2007.00814.x","http://dx.doi.org/10.1111/j.1523-1739.2007.00814.x")</f>
        <v>http://dx.doi.org/10.1111/j.1523-1739.2007.00814.x</v>
      </c>
      <c r="BG63" s="8" t="s">
        <v>969</v>
      </c>
      <c r="BH63" s="8" t="s">
        <v>969</v>
      </c>
      <c r="BI63" s="8">
        <v>11.0</v>
      </c>
      <c r="BJ63" s="8" t="s">
        <v>987</v>
      </c>
      <c r="BK63" s="8" t="s">
        <v>988</v>
      </c>
      <c r="BL63" s="8" t="s">
        <v>989</v>
      </c>
      <c r="BM63" s="8" t="s">
        <v>1740</v>
      </c>
      <c r="BN63" s="8">
        <v>1.8173478E7</v>
      </c>
      <c r="BO63" s="8" t="s">
        <v>969</v>
      </c>
      <c r="BP63" s="8" t="s">
        <v>969</v>
      </c>
      <c r="BQ63" s="8" t="s">
        <v>969</v>
      </c>
      <c r="BR63" s="8" t="s">
        <v>3231</v>
      </c>
      <c r="BS63" s="8" t="s">
        <v>1741</v>
      </c>
      <c r="BT63" s="3" t="s">
        <v>3232</v>
      </c>
      <c r="BU63" s="8" t="str">
        <f>HYPERLINK("https%3A%2F%2Fwww.webofscience.com%2Fwos%2Fwoscc%2Ffull-record%2FWOS:000251764200024","View Full Record in Web of Science")</f>
        <v>View Full Record in Web of Science</v>
      </c>
    </row>
    <row r="64" ht="12.75" customHeight="1">
      <c r="A64" s="8" t="s">
        <v>967</v>
      </c>
      <c r="B64" s="8" t="s">
        <v>2070</v>
      </c>
      <c r="C64" s="8" t="s">
        <v>969</v>
      </c>
      <c r="D64" s="8" t="s">
        <v>969</v>
      </c>
      <c r="E64" s="8" t="s">
        <v>969</v>
      </c>
      <c r="F64" s="8" t="s">
        <v>2071</v>
      </c>
      <c r="G64" s="8" t="s">
        <v>969</v>
      </c>
      <c r="H64" s="8" t="s">
        <v>969</v>
      </c>
      <c r="I64" s="8" t="s">
        <v>2072</v>
      </c>
      <c r="J64" s="8" t="s">
        <v>1273</v>
      </c>
      <c r="K64" s="8" t="s">
        <v>969</v>
      </c>
      <c r="L64" s="8" t="s">
        <v>969</v>
      </c>
      <c r="M64" s="8" t="s">
        <v>972</v>
      </c>
      <c r="N64" s="8" t="s">
        <v>973</v>
      </c>
      <c r="O64" s="8" t="s">
        <v>969</v>
      </c>
      <c r="P64" s="8" t="s">
        <v>969</v>
      </c>
      <c r="Q64" s="8" t="s">
        <v>969</v>
      </c>
      <c r="R64" s="8" t="s">
        <v>969</v>
      </c>
      <c r="S64" s="8" t="s">
        <v>969</v>
      </c>
      <c r="T64" s="8" t="s">
        <v>969</v>
      </c>
      <c r="U64" s="8" t="s">
        <v>2073</v>
      </c>
      <c r="V64" s="8" t="s">
        <v>2074</v>
      </c>
      <c r="W64" s="8" t="s">
        <v>2075</v>
      </c>
      <c r="X64" s="8" t="s">
        <v>2076</v>
      </c>
      <c r="Y64" s="8" t="s">
        <v>2077</v>
      </c>
      <c r="Z64" s="8" t="s">
        <v>2078</v>
      </c>
      <c r="AA64" s="8" t="s">
        <v>3301</v>
      </c>
      <c r="AB64" s="8" t="s">
        <v>3302</v>
      </c>
      <c r="AC64" s="8" t="s">
        <v>2081</v>
      </c>
      <c r="AD64" s="8" t="s">
        <v>2082</v>
      </c>
      <c r="AE64" s="8" t="s">
        <v>2083</v>
      </c>
      <c r="AF64" s="8" t="s">
        <v>969</v>
      </c>
      <c r="AG64" s="8">
        <v>55.0</v>
      </c>
      <c r="AH64" s="8">
        <v>239.0</v>
      </c>
      <c r="AI64" s="8">
        <v>267.0</v>
      </c>
      <c r="AJ64" s="8">
        <v>2.0</v>
      </c>
      <c r="AK64" s="8">
        <v>122.0</v>
      </c>
      <c r="AL64" s="8" t="s">
        <v>1091</v>
      </c>
      <c r="AM64" s="8" t="s">
        <v>1092</v>
      </c>
      <c r="AN64" s="8" t="s">
        <v>1093</v>
      </c>
      <c r="AO64" s="8" t="s">
        <v>1282</v>
      </c>
      <c r="AP64" s="8" t="s">
        <v>1283</v>
      </c>
      <c r="AQ64" s="8" t="s">
        <v>969</v>
      </c>
      <c r="AR64" s="8" t="s">
        <v>1273</v>
      </c>
      <c r="AS64" s="8" t="s">
        <v>1284</v>
      </c>
      <c r="AT64" s="8" t="s">
        <v>1036</v>
      </c>
      <c r="AU64" s="8">
        <v>2009.0</v>
      </c>
      <c r="AV64" s="8">
        <v>32.0</v>
      </c>
      <c r="AW64" s="8">
        <v>1.0</v>
      </c>
      <c r="AX64" s="8" t="s">
        <v>969</v>
      </c>
      <c r="AY64" s="8" t="s">
        <v>969</v>
      </c>
      <c r="AZ64" s="8" t="s">
        <v>969</v>
      </c>
      <c r="BA64" s="8" t="s">
        <v>969</v>
      </c>
      <c r="BB64" s="8">
        <v>34.0</v>
      </c>
      <c r="BC64" s="8">
        <v>45.0</v>
      </c>
      <c r="BD64" s="8" t="s">
        <v>969</v>
      </c>
      <c r="BE64" s="8" t="s">
        <v>782</v>
      </c>
      <c r="BF64" s="13" t="str">
        <f>HYPERLINK("http://dx.doi.org/10.1111/j.1600-0587.2009.05789.x","http://dx.doi.org/10.1111/j.1600-0587.2009.05789.x")</f>
        <v>http://dx.doi.org/10.1111/j.1600-0587.2009.05789.x</v>
      </c>
      <c r="BG64" s="8" t="s">
        <v>969</v>
      </c>
      <c r="BH64" s="8" t="s">
        <v>969</v>
      </c>
      <c r="BI64" s="8">
        <v>12.0</v>
      </c>
      <c r="BJ64" s="8" t="s">
        <v>1286</v>
      </c>
      <c r="BK64" s="8" t="s">
        <v>988</v>
      </c>
      <c r="BL64" s="8" t="s">
        <v>989</v>
      </c>
      <c r="BM64" s="8" t="s">
        <v>2084</v>
      </c>
      <c r="BN64" s="8" t="s">
        <v>969</v>
      </c>
      <c r="BO64" s="8" t="s">
        <v>2085</v>
      </c>
      <c r="BP64" s="8" t="s">
        <v>969</v>
      </c>
      <c r="BQ64" s="8" t="s">
        <v>969</v>
      </c>
      <c r="BR64" s="8" t="s">
        <v>3231</v>
      </c>
      <c r="BS64" s="8" t="s">
        <v>2086</v>
      </c>
      <c r="BT64" s="3" t="s">
        <v>3232</v>
      </c>
      <c r="BU64" s="8" t="str">
        <f>HYPERLINK("https%3A%2F%2Fwww.webofscience.com%2Fwos%2Fwoscc%2Ffull-record%2FWOS:000264880300005","View Full Record in Web of Science")</f>
        <v>View Full Record in Web of Science</v>
      </c>
    </row>
    <row r="65" ht="12.75" customHeight="1">
      <c r="A65" s="8" t="s">
        <v>967</v>
      </c>
      <c r="B65" s="8" t="s">
        <v>1613</v>
      </c>
      <c r="C65" s="8" t="s">
        <v>969</v>
      </c>
      <c r="D65" s="8" t="s">
        <v>969</v>
      </c>
      <c r="E65" s="8" t="s">
        <v>969</v>
      </c>
      <c r="F65" s="8" t="s">
        <v>1614</v>
      </c>
      <c r="G65" s="8" t="s">
        <v>969</v>
      </c>
      <c r="H65" s="8" t="s">
        <v>969</v>
      </c>
      <c r="I65" s="8" t="s">
        <v>1615</v>
      </c>
      <c r="J65" s="8" t="s">
        <v>1427</v>
      </c>
      <c r="K65" s="8" t="s">
        <v>969</v>
      </c>
      <c r="L65" s="8" t="s">
        <v>969</v>
      </c>
      <c r="M65" s="8" t="s">
        <v>972</v>
      </c>
      <c r="N65" s="8" t="s">
        <v>973</v>
      </c>
      <c r="O65" s="8" t="s">
        <v>969</v>
      </c>
      <c r="P65" s="8" t="s">
        <v>969</v>
      </c>
      <c r="Q65" s="8" t="s">
        <v>969</v>
      </c>
      <c r="R65" s="8" t="s">
        <v>969</v>
      </c>
      <c r="S65" s="8" t="s">
        <v>969</v>
      </c>
      <c r="T65" s="8" t="s">
        <v>1616</v>
      </c>
      <c r="U65" s="8" t="s">
        <v>1617</v>
      </c>
      <c r="V65" s="8" t="s">
        <v>1618</v>
      </c>
      <c r="W65" s="8" t="s">
        <v>1619</v>
      </c>
      <c r="X65" s="8" t="s">
        <v>1620</v>
      </c>
      <c r="Y65" s="8" t="s">
        <v>1621</v>
      </c>
      <c r="Z65" s="8" t="s">
        <v>1622</v>
      </c>
      <c r="AA65" s="8" t="s">
        <v>2947</v>
      </c>
      <c r="AB65" s="8" t="s">
        <v>2948</v>
      </c>
      <c r="AC65" s="8" t="s">
        <v>969</v>
      </c>
      <c r="AD65" s="8" t="s">
        <v>969</v>
      </c>
      <c r="AE65" s="8" t="s">
        <v>969</v>
      </c>
      <c r="AF65" s="8" t="s">
        <v>969</v>
      </c>
      <c r="AG65" s="8">
        <v>51.0</v>
      </c>
      <c r="AH65" s="8">
        <v>145.0</v>
      </c>
      <c r="AI65" s="8">
        <v>170.0</v>
      </c>
      <c r="AJ65" s="8">
        <v>2.0</v>
      </c>
      <c r="AK65" s="8">
        <v>60.0</v>
      </c>
      <c r="AL65" s="8" t="s">
        <v>1091</v>
      </c>
      <c r="AM65" s="8" t="s">
        <v>1092</v>
      </c>
      <c r="AN65" s="8" t="s">
        <v>1093</v>
      </c>
      <c r="AO65" s="8" t="s">
        <v>1437</v>
      </c>
      <c r="AP65" s="8" t="s">
        <v>1499</v>
      </c>
      <c r="AQ65" s="8" t="s">
        <v>969</v>
      </c>
      <c r="AR65" s="8" t="s">
        <v>1438</v>
      </c>
      <c r="AS65" s="8" t="s">
        <v>1439</v>
      </c>
      <c r="AT65" s="8" t="s">
        <v>1300</v>
      </c>
      <c r="AU65" s="8">
        <v>2006.0</v>
      </c>
      <c r="AV65" s="8">
        <v>12.0</v>
      </c>
      <c r="AW65" s="8">
        <v>5.0</v>
      </c>
      <c r="AX65" s="8" t="s">
        <v>969</v>
      </c>
      <c r="AY65" s="8" t="s">
        <v>969</v>
      </c>
      <c r="AZ65" s="8" t="s">
        <v>969</v>
      </c>
      <c r="BA65" s="8" t="s">
        <v>969</v>
      </c>
      <c r="BB65" s="8">
        <v>555.0</v>
      </c>
      <c r="BC65" s="8">
        <v>562.0</v>
      </c>
      <c r="BD65" s="8" t="s">
        <v>969</v>
      </c>
      <c r="BE65" s="8" t="s">
        <v>743</v>
      </c>
      <c r="BF65" s="13" t="str">
        <f>HYPERLINK("http://dx.doi.org/10.1111/j.1366-9516.2006.00273.x","http://dx.doi.org/10.1111/j.1366-9516.2006.00273.x")</f>
        <v>http://dx.doi.org/10.1111/j.1366-9516.2006.00273.x</v>
      </c>
      <c r="BG65" s="8" t="s">
        <v>969</v>
      </c>
      <c r="BH65" s="8" t="s">
        <v>969</v>
      </c>
      <c r="BI65" s="8">
        <v>8.0</v>
      </c>
      <c r="BJ65" s="8" t="s">
        <v>1286</v>
      </c>
      <c r="BK65" s="8" t="s">
        <v>988</v>
      </c>
      <c r="BL65" s="8" t="s">
        <v>989</v>
      </c>
      <c r="BM65" s="8" t="s">
        <v>1625</v>
      </c>
      <c r="BN65" s="8" t="s">
        <v>969</v>
      </c>
      <c r="BO65" s="8" t="s">
        <v>969</v>
      </c>
      <c r="BP65" s="8" t="s">
        <v>969</v>
      </c>
      <c r="BQ65" s="8" t="s">
        <v>969</v>
      </c>
      <c r="BR65" s="8" t="s">
        <v>3231</v>
      </c>
      <c r="BS65" s="8" t="s">
        <v>1626</v>
      </c>
      <c r="BT65" s="3" t="s">
        <v>3232</v>
      </c>
      <c r="BU65" s="8" t="str">
        <f>HYPERLINK("https%3A%2F%2Fwww.webofscience.com%2Fwos%2Fwoscc%2Ffull-record%2FWOS:000239798200010","View Full Record in Web of Science")</f>
        <v>View Full Record in Web of Science</v>
      </c>
    </row>
    <row r="66" ht="12.75" customHeight="1">
      <c r="A66" s="8" t="s">
        <v>967</v>
      </c>
      <c r="B66" s="8" t="s">
        <v>1717</v>
      </c>
      <c r="C66" s="8" t="s">
        <v>969</v>
      </c>
      <c r="D66" s="8" t="s">
        <v>969</v>
      </c>
      <c r="E66" s="8" t="s">
        <v>969</v>
      </c>
      <c r="F66" s="8" t="s">
        <v>1718</v>
      </c>
      <c r="G66" s="8" t="s">
        <v>969</v>
      </c>
      <c r="H66" s="8" t="s">
        <v>969</v>
      </c>
      <c r="I66" s="8" t="s">
        <v>1719</v>
      </c>
      <c r="J66" s="8" t="s">
        <v>1645</v>
      </c>
      <c r="K66" s="8" t="s">
        <v>969</v>
      </c>
      <c r="L66" s="8" t="s">
        <v>969</v>
      </c>
      <c r="M66" s="8" t="s">
        <v>972</v>
      </c>
      <c r="N66" s="8" t="s">
        <v>973</v>
      </c>
      <c r="O66" s="8" t="s">
        <v>969</v>
      </c>
      <c r="P66" s="8" t="s">
        <v>969</v>
      </c>
      <c r="Q66" s="8" t="s">
        <v>969</v>
      </c>
      <c r="R66" s="8" t="s">
        <v>969</v>
      </c>
      <c r="S66" s="8" t="s">
        <v>969</v>
      </c>
      <c r="T66" s="8" t="s">
        <v>1720</v>
      </c>
      <c r="U66" s="8" t="s">
        <v>1721</v>
      </c>
      <c r="V66" s="8" t="s">
        <v>1722</v>
      </c>
      <c r="W66" s="8" t="s">
        <v>1723</v>
      </c>
      <c r="X66" s="8" t="s">
        <v>1724</v>
      </c>
      <c r="Y66" s="8" t="s">
        <v>1067</v>
      </c>
      <c r="Z66" s="8" t="s">
        <v>1174</v>
      </c>
      <c r="AA66" s="8" t="s">
        <v>3303</v>
      </c>
      <c r="AB66" s="8" t="s">
        <v>3304</v>
      </c>
      <c r="AC66" s="8" t="s">
        <v>969</v>
      </c>
      <c r="AD66" s="8" t="s">
        <v>969</v>
      </c>
      <c r="AE66" s="8" t="s">
        <v>969</v>
      </c>
      <c r="AF66" s="8" t="s">
        <v>969</v>
      </c>
      <c r="AG66" s="8">
        <v>41.0</v>
      </c>
      <c r="AH66" s="8">
        <v>7.0</v>
      </c>
      <c r="AI66" s="8">
        <v>10.0</v>
      </c>
      <c r="AJ66" s="8">
        <v>1.0</v>
      </c>
      <c r="AK66" s="8">
        <v>26.0</v>
      </c>
      <c r="AL66" s="8" t="s">
        <v>1609</v>
      </c>
      <c r="AM66" s="8" t="s">
        <v>1032</v>
      </c>
      <c r="AN66" s="8" t="s">
        <v>1210</v>
      </c>
      <c r="AO66" s="8" t="s">
        <v>1653</v>
      </c>
      <c r="AP66" s="8" t="s">
        <v>1654</v>
      </c>
      <c r="AQ66" s="8" t="s">
        <v>969</v>
      </c>
      <c r="AR66" s="8" t="s">
        <v>1655</v>
      </c>
      <c r="AS66" s="8" t="s">
        <v>1656</v>
      </c>
      <c r="AT66" s="8" t="s">
        <v>986</v>
      </c>
      <c r="AU66" s="8">
        <v>2007.0</v>
      </c>
      <c r="AV66" s="8">
        <v>16.0</v>
      </c>
      <c r="AW66" s="8">
        <v>14.0</v>
      </c>
      <c r="AX66" s="8" t="s">
        <v>969</v>
      </c>
      <c r="AY66" s="8" t="s">
        <v>969</v>
      </c>
      <c r="AZ66" s="8" t="s">
        <v>969</v>
      </c>
      <c r="BA66" s="8" t="s">
        <v>969</v>
      </c>
      <c r="BB66" s="8">
        <v>3939.0</v>
      </c>
      <c r="BC66" s="8">
        <v>3950.0</v>
      </c>
      <c r="BD66" s="8" t="s">
        <v>969</v>
      </c>
      <c r="BE66" s="8" t="s">
        <v>524</v>
      </c>
      <c r="BF66" s="13" t="str">
        <f>HYPERLINK("http://dx.doi.org/10.1007/s10531-007-9152-z","http://dx.doi.org/10.1007/s10531-007-9152-z")</f>
        <v>http://dx.doi.org/10.1007/s10531-007-9152-z</v>
      </c>
      <c r="BG66" s="8" t="s">
        <v>969</v>
      </c>
      <c r="BH66" s="8" t="s">
        <v>969</v>
      </c>
      <c r="BI66" s="8">
        <v>12.0</v>
      </c>
      <c r="BJ66" s="8" t="s">
        <v>987</v>
      </c>
      <c r="BK66" s="8" t="s">
        <v>988</v>
      </c>
      <c r="BL66" s="8" t="s">
        <v>989</v>
      </c>
      <c r="BM66" s="8" t="s">
        <v>1727</v>
      </c>
      <c r="BN66" s="8" t="s">
        <v>969</v>
      </c>
      <c r="BO66" s="8" t="s">
        <v>969</v>
      </c>
      <c r="BP66" s="8" t="s">
        <v>969</v>
      </c>
      <c r="BQ66" s="8" t="s">
        <v>969</v>
      </c>
      <c r="BR66" s="8" t="s">
        <v>3231</v>
      </c>
      <c r="BS66" s="8" t="s">
        <v>1728</v>
      </c>
      <c r="BT66" s="3" t="s">
        <v>3232</v>
      </c>
      <c r="BU66" s="8" t="str">
        <f>HYPERLINK("https%3A%2F%2Fwww.webofscience.com%2Fwos%2Fwoscc%2Ffull-record%2FWOS:000250833000001","View Full Record in Web of Science")</f>
        <v>View Full Record in Web of Science</v>
      </c>
    </row>
    <row r="67" ht="12.75" customHeight="1">
      <c r="A67" s="8" t="s">
        <v>967</v>
      </c>
      <c r="B67" s="8" t="s">
        <v>1879</v>
      </c>
      <c r="C67" s="8" t="s">
        <v>969</v>
      </c>
      <c r="D67" s="8" t="s">
        <v>969</v>
      </c>
      <c r="E67" s="8" t="s">
        <v>969</v>
      </c>
      <c r="F67" s="8" t="s">
        <v>1880</v>
      </c>
      <c r="G67" s="8" t="s">
        <v>969</v>
      </c>
      <c r="H67" s="8" t="s">
        <v>969</v>
      </c>
      <c r="I67" s="8" t="s">
        <v>1881</v>
      </c>
      <c r="J67" s="8" t="s">
        <v>1882</v>
      </c>
      <c r="K67" s="8" t="s">
        <v>969</v>
      </c>
      <c r="L67" s="8" t="s">
        <v>969</v>
      </c>
      <c r="M67" s="8" t="s">
        <v>972</v>
      </c>
      <c r="N67" s="8" t="s">
        <v>973</v>
      </c>
      <c r="O67" s="8" t="s">
        <v>969</v>
      </c>
      <c r="P67" s="8" t="s">
        <v>969</v>
      </c>
      <c r="Q67" s="8" t="s">
        <v>969</v>
      </c>
      <c r="R67" s="8" t="s">
        <v>969</v>
      </c>
      <c r="S67" s="8" t="s">
        <v>969</v>
      </c>
      <c r="T67" s="8" t="s">
        <v>1883</v>
      </c>
      <c r="U67" s="8" t="s">
        <v>1884</v>
      </c>
      <c r="V67" s="8" t="s">
        <v>1885</v>
      </c>
      <c r="W67" s="8" t="s">
        <v>1886</v>
      </c>
      <c r="X67" s="8" t="s">
        <v>1887</v>
      </c>
      <c r="Y67" s="8" t="s">
        <v>1888</v>
      </c>
      <c r="Z67" s="8" t="s">
        <v>1889</v>
      </c>
      <c r="AA67" s="8" t="s">
        <v>1890</v>
      </c>
      <c r="AB67" s="8" t="s">
        <v>969</v>
      </c>
      <c r="AC67" s="8" t="s">
        <v>969</v>
      </c>
      <c r="AD67" s="8" t="s">
        <v>969</v>
      </c>
      <c r="AE67" s="8" t="s">
        <v>969</v>
      </c>
      <c r="AF67" s="8" t="s">
        <v>969</v>
      </c>
      <c r="AG67" s="8">
        <v>78.0</v>
      </c>
      <c r="AH67" s="8">
        <v>188.0</v>
      </c>
      <c r="AI67" s="8">
        <v>234.0</v>
      </c>
      <c r="AJ67" s="8">
        <v>1.0</v>
      </c>
      <c r="AK67" s="8">
        <v>155.0</v>
      </c>
      <c r="AL67" s="8" t="s">
        <v>1091</v>
      </c>
      <c r="AM67" s="8" t="s">
        <v>1092</v>
      </c>
      <c r="AN67" s="8" t="s">
        <v>1093</v>
      </c>
      <c r="AO67" s="8" t="s">
        <v>1891</v>
      </c>
      <c r="AP67" s="8" t="s">
        <v>1892</v>
      </c>
      <c r="AQ67" s="8" t="s">
        <v>969</v>
      </c>
      <c r="AR67" s="8" t="s">
        <v>1893</v>
      </c>
      <c r="AS67" s="8" t="s">
        <v>1894</v>
      </c>
      <c r="AT67" s="8" t="s">
        <v>1096</v>
      </c>
      <c r="AU67" s="8">
        <v>2008.0</v>
      </c>
      <c r="AV67" s="8">
        <v>96.0</v>
      </c>
      <c r="AW67" s="8">
        <v>4.0</v>
      </c>
      <c r="AX67" s="8" t="s">
        <v>969</v>
      </c>
      <c r="AY67" s="8" t="s">
        <v>969</v>
      </c>
      <c r="AZ67" s="8" t="s">
        <v>969</v>
      </c>
      <c r="BA67" s="8" t="s">
        <v>969</v>
      </c>
      <c r="BB67" s="8">
        <v>784.0</v>
      </c>
      <c r="BC67" s="8">
        <v>794.0</v>
      </c>
      <c r="BD67" s="8" t="s">
        <v>969</v>
      </c>
      <c r="BE67" s="8" t="s">
        <v>734</v>
      </c>
      <c r="BF67" s="13" t="str">
        <f>HYPERLINK("http://dx.doi.org/10.1111/j.1365-2745.2008.01369.x","http://dx.doi.org/10.1111/j.1365-2745.2008.01369.x")</f>
        <v>http://dx.doi.org/10.1111/j.1365-2745.2008.01369.x</v>
      </c>
      <c r="BG67" s="8" t="s">
        <v>969</v>
      </c>
      <c r="BH67" s="8" t="s">
        <v>969</v>
      </c>
      <c r="BI67" s="8">
        <v>11.0</v>
      </c>
      <c r="BJ67" s="8" t="s">
        <v>1895</v>
      </c>
      <c r="BK67" s="8" t="s">
        <v>988</v>
      </c>
      <c r="BL67" s="8" t="s">
        <v>1896</v>
      </c>
      <c r="BM67" s="8" t="s">
        <v>1897</v>
      </c>
      <c r="BN67" s="8" t="s">
        <v>969</v>
      </c>
      <c r="BO67" s="8" t="s">
        <v>969</v>
      </c>
      <c r="BP67" s="8" t="s">
        <v>969</v>
      </c>
      <c r="BQ67" s="8" t="s">
        <v>969</v>
      </c>
      <c r="BR67" s="8" t="s">
        <v>3231</v>
      </c>
      <c r="BS67" s="8" t="s">
        <v>1898</v>
      </c>
      <c r="BT67" s="3" t="s">
        <v>3232</v>
      </c>
      <c r="BU67" s="8" t="str">
        <f>HYPERLINK("https%3A%2F%2Fwww.webofscience.com%2Fwos%2Fwoscc%2Ffull-record%2FWOS:000256635800024","View Full Record in Web of Science")</f>
        <v>View Full Record in Web of Science</v>
      </c>
    </row>
    <row r="68" ht="12.75" customHeight="1">
      <c r="A68" s="8" t="s">
        <v>967</v>
      </c>
      <c r="B68" s="8" t="s">
        <v>1023</v>
      </c>
      <c r="C68" s="8" t="s">
        <v>969</v>
      </c>
      <c r="D68" s="8" t="s">
        <v>969</v>
      </c>
      <c r="E68" s="8" t="s">
        <v>969</v>
      </c>
      <c r="F68" s="8" t="s">
        <v>1023</v>
      </c>
      <c r="G68" s="8" t="s">
        <v>969</v>
      </c>
      <c r="H68" s="8" t="s">
        <v>969</v>
      </c>
      <c r="I68" s="8" t="s">
        <v>1024</v>
      </c>
      <c r="J68" s="8" t="s">
        <v>1025</v>
      </c>
      <c r="K68" s="8" t="s">
        <v>969</v>
      </c>
      <c r="L68" s="8" t="s">
        <v>969</v>
      </c>
      <c r="M68" s="8" t="s">
        <v>972</v>
      </c>
      <c r="N68" s="8" t="s">
        <v>973</v>
      </c>
      <c r="O68" s="8" t="s">
        <v>969</v>
      </c>
      <c r="P68" s="8" t="s">
        <v>969</v>
      </c>
      <c r="Q68" s="8" t="s">
        <v>969</v>
      </c>
      <c r="R68" s="8" t="s">
        <v>969</v>
      </c>
      <c r="S68" s="8" t="s">
        <v>969</v>
      </c>
      <c r="T68" s="8" t="s">
        <v>969</v>
      </c>
      <c r="U68" s="8" t="s">
        <v>1026</v>
      </c>
      <c r="V68" s="8" t="s">
        <v>1027</v>
      </c>
      <c r="W68" s="8" t="s">
        <v>1028</v>
      </c>
      <c r="X68" s="8" t="s">
        <v>1029</v>
      </c>
      <c r="Y68" s="8" t="s">
        <v>1030</v>
      </c>
      <c r="Z68" s="8" t="s">
        <v>969</v>
      </c>
      <c r="AA68" s="8" t="s">
        <v>969</v>
      </c>
      <c r="AB68" s="8" t="s">
        <v>969</v>
      </c>
      <c r="AC68" s="8" t="s">
        <v>969</v>
      </c>
      <c r="AD68" s="8" t="s">
        <v>969</v>
      </c>
      <c r="AE68" s="8" t="s">
        <v>969</v>
      </c>
      <c r="AF68" s="8" t="s">
        <v>969</v>
      </c>
      <c r="AG68" s="8">
        <v>71.0</v>
      </c>
      <c r="AH68" s="8">
        <v>54.0</v>
      </c>
      <c r="AI68" s="8">
        <v>60.0</v>
      </c>
      <c r="AJ68" s="8">
        <v>0.0</v>
      </c>
      <c r="AK68" s="8">
        <v>11.0</v>
      </c>
      <c r="AL68" s="8" t="s">
        <v>1031</v>
      </c>
      <c r="AM68" s="8" t="s">
        <v>1032</v>
      </c>
      <c r="AN68" s="8" t="s">
        <v>1033</v>
      </c>
      <c r="AO68" s="8" t="s">
        <v>1034</v>
      </c>
      <c r="AP68" s="8" t="s">
        <v>969</v>
      </c>
      <c r="AQ68" s="8" t="s">
        <v>969</v>
      </c>
      <c r="AR68" s="8" t="s">
        <v>1025</v>
      </c>
      <c r="AS68" s="8" t="s">
        <v>1035</v>
      </c>
      <c r="AT68" s="8" t="s">
        <v>1036</v>
      </c>
      <c r="AU68" s="8">
        <v>1999.0</v>
      </c>
      <c r="AV68" s="8">
        <v>41.0</v>
      </c>
      <c r="AW68" s="8">
        <v>2.0</v>
      </c>
      <c r="AX68" s="8" t="s">
        <v>969</v>
      </c>
      <c r="AY68" s="8" t="s">
        <v>969</v>
      </c>
      <c r="AZ68" s="8" t="s">
        <v>969</v>
      </c>
      <c r="BA68" s="8" t="s">
        <v>969</v>
      </c>
      <c r="BB68" s="8">
        <v>213.0</v>
      </c>
      <c r="BC68" s="8">
        <v>248.0</v>
      </c>
      <c r="BD68" s="8" t="s">
        <v>969</v>
      </c>
      <c r="BE68" s="8" t="s">
        <v>584</v>
      </c>
      <c r="BF68" s="13" t="str">
        <f>HYPERLINK("http://dx.doi.org/10.1023/A:1005483507351","http://dx.doi.org/10.1023/A:1005483507351")</f>
        <v>http://dx.doi.org/10.1023/A:1005483507351</v>
      </c>
      <c r="BG68" s="8" t="s">
        <v>969</v>
      </c>
      <c r="BH68" s="8" t="s">
        <v>969</v>
      </c>
      <c r="BI68" s="8">
        <v>36.0</v>
      </c>
      <c r="BJ68" s="8" t="s">
        <v>1037</v>
      </c>
      <c r="BK68" s="8" t="s">
        <v>988</v>
      </c>
      <c r="BL68" s="8" t="s">
        <v>1038</v>
      </c>
      <c r="BM68" s="8" t="s">
        <v>1039</v>
      </c>
      <c r="BN68" s="8" t="s">
        <v>969</v>
      </c>
      <c r="BO68" s="8" t="s">
        <v>969</v>
      </c>
      <c r="BP68" s="8" t="s">
        <v>969</v>
      </c>
      <c r="BQ68" s="8" t="s">
        <v>969</v>
      </c>
      <c r="BR68" s="8" t="s">
        <v>3231</v>
      </c>
      <c r="BS68" s="8" t="s">
        <v>1040</v>
      </c>
      <c r="BT68" s="3" t="s">
        <v>3232</v>
      </c>
      <c r="BU68" s="8" t="str">
        <f>HYPERLINK("https%3A%2F%2Fwww.webofscience.com%2Fwos%2Fwoscc%2Ffull-record%2FWOS:000078751700005","View Full Record in Web of Science")</f>
        <v>View Full Record in Web of Science</v>
      </c>
    </row>
    <row r="69" ht="12.75" customHeight="1">
      <c r="A69" s="8" t="s">
        <v>967</v>
      </c>
      <c r="B69" s="8" t="s">
        <v>1167</v>
      </c>
      <c r="C69" s="8" t="s">
        <v>969</v>
      </c>
      <c r="D69" s="8" t="s">
        <v>969</v>
      </c>
      <c r="E69" s="8" t="s">
        <v>969</v>
      </c>
      <c r="F69" s="8" t="s">
        <v>1167</v>
      </c>
      <c r="G69" s="8" t="s">
        <v>969</v>
      </c>
      <c r="H69" s="8" t="s">
        <v>969</v>
      </c>
      <c r="I69" s="8" t="s">
        <v>1168</v>
      </c>
      <c r="J69" s="8" t="s">
        <v>971</v>
      </c>
      <c r="K69" s="8" t="s">
        <v>969</v>
      </c>
      <c r="L69" s="8" t="s">
        <v>969</v>
      </c>
      <c r="M69" s="8" t="s">
        <v>972</v>
      </c>
      <c r="N69" s="8" t="s">
        <v>973</v>
      </c>
      <c r="O69" s="8" t="s">
        <v>969</v>
      </c>
      <c r="P69" s="8" t="s">
        <v>969</v>
      </c>
      <c r="Q69" s="8" t="s">
        <v>969</v>
      </c>
      <c r="R69" s="8" t="s">
        <v>969</v>
      </c>
      <c r="S69" s="8" t="s">
        <v>969</v>
      </c>
      <c r="T69" s="8" t="s">
        <v>1169</v>
      </c>
      <c r="U69" s="8" t="s">
        <v>1170</v>
      </c>
      <c r="V69" s="8" t="s">
        <v>1171</v>
      </c>
      <c r="W69" s="8" t="s">
        <v>1172</v>
      </c>
      <c r="X69" s="8" t="s">
        <v>1173</v>
      </c>
      <c r="Y69" s="8" t="s">
        <v>1067</v>
      </c>
      <c r="Z69" s="8" t="s">
        <v>1174</v>
      </c>
      <c r="AA69" s="8" t="s">
        <v>3305</v>
      </c>
      <c r="AB69" s="8" t="s">
        <v>3306</v>
      </c>
      <c r="AC69" s="8" t="s">
        <v>969</v>
      </c>
      <c r="AD69" s="8" t="s">
        <v>969</v>
      </c>
      <c r="AE69" s="8" t="s">
        <v>969</v>
      </c>
      <c r="AF69" s="8" t="s">
        <v>969</v>
      </c>
      <c r="AG69" s="8">
        <v>44.0</v>
      </c>
      <c r="AH69" s="8">
        <v>132.0</v>
      </c>
      <c r="AI69" s="8">
        <v>165.0</v>
      </c>
      <c r="AJ69" s="8">
        <v>0.0</v>
      </c>
      <c r="AK69" s="8">
        <v>93.0</v>
      </c>
      <c r="AL69" s="8" t="s">
        <v>1091</v>
      </c>
      <c r="AM69" s="8" t="s">
        <v>1092</v>
      </c>
      <c r="AN69" s="8" t="s">
        <v>1093</v>
      </c>
      <c r="AO69" s="8" t="s">
        <v>983</v>
      </c>
      <c r="AP69" s="8" t="s">
        <v>1094</v>
      </c>
      <c r="AQ69" s="8" t="s">
        <v>969</v>
      </c>
      <c r="AR69" s="8" t="s">
        <v>1095</v>
      </c>
      <c r="AS69" s="8" t="s">
        <v>985</v>
      </c>
      <c r="AT69" s="8" t="s">
        <v>1177</v>
      </c>
      <c r="AU69" s="8">
        <v>2003.0</v>
      </c>
      <c r="AV69" s="8">
        <v>9.0</v>
      </c>
      <c r="AW69" s="8">
        <v>5.0</v>
      </c>
      <c r="AX69" s="8" t="s">
        <v>969</v>
      </c>
      <c r="AY69" s="8" t="s">
        <v>969</v>
      </c>
      <c r="AZ69" s="8" t="s">
        <v>969</v>
      </c>
      <c r="BA69" s="8" t="s">
        <v>969</v>
      </c>
      <c r="BB69" s="8">
        <v>647.0</v>
      </c>
      <c r="BC69" s="8">
        <v>655.0</v>
      </c>
      <c r="BD69" s="8" t="s">
        <v>969</v>
      </c>
      <c r="BE69" s="8" t="s">
        <v>614</v>
      </c>
      <c r="BF69" s="13" t="str">
        <f>HYPERLINK("http://dx.doi.org/10.1046/j.1365-2486.2003.00616.x","http://dx.doi.org/10.1046/j.1365-2486.2003.00616.x")</f>
        <v>http://dx.doi.org/10.1046/j.1365-2486.2003.00616.x</v>
      </c>
      <c r="BG69" s="8" t="s">
        <v>969</v>
      </c>
      <c r="BH69" s="8" t="s">
        <v>969</v>
      </c>
      <c r="BI69" s="8">
        <v>9.0</v>
      </c>
      <c r="BJ69" s="8" t="s">
        <v>987</v>
      </c>
      <c r="BK69" s="8" t="s">
        <v>988</v>
      </c>
      <c r="BL69" s="8" t="s">
        <v>989</v>
      </c>
      <c r="BM69" s="8" t="s">
        <v>1178</v>
      </c>
      <c r="BN69" s="8" t="s">
        <v>969</v>
      </c>
      <c r="BO69" s="8" t="s">
        <v>969</v>
      </c>
      <c r="BP69" s="8" t="s">
        <v>969</v>
      </c>
      <c r="BQ69" s="8" t="s">
        <v>969</v>
      </c>
      <c r="BR69" s="8" t="s">
        <v>3231</v>
      </c>
      <c r="BS69" s="8" t="s">
        <v>1179</v>
      </c>
      <c r="BT69" s="3" t="s">
        <v>3232</v>
      </c>
      <c r="BU69" s="8" t="str">
        <f>HYPERLINK("https%3A%2F%2Fwww.webofscience.com%2Fwos%2Fwoscc%2Ffull-record%2FWOS:000182653700001","View Full Record in Web of Science")</f>
        <v>View Full Record in Web of Science</v>
      </c>
    </row>
    <row r="70" ht="12.75" customHeight="1">
      <c r="A70" s="8" t="s">
        <v>967</v>
      </c>
      <c r="B70" s="8" t="s">
        <v>1203</v>
      </c>
      <c r="C70" s="8" t="s">
        <v>969</v>
      </c>
      <c r="D70" s="8" t="s">
        <v>969</v>
      </c>
      <c r="E70" s="8" t="s">
        <v>969</v>
      </c>
      <c r="F70" s="8" t="s">
        <v>1203</v>
      </c>
      <c r="G70" s="8" t="s">
        <v>969</v>
      </c>
      <c r="H70" s="8" t="s">
        <v>969</v>
      </c>
      <c r="I70" s="8" t="s">
        <v>1204</v>
      </c>
      <c r="J70" s="8" t="s">
        <v>1025</v>
      </c>
      <c r="K70" s="8" t="s">
        <v>969</v>
      </c>
      <c r="L70" s="8" t="s">
        <v>969</v>
      </c>
      <c r="M70" s="8" t="s">
        <v>972</v>
      </c>
      <c r="N70" s="8" t="s">
        <v>973</v>
      </c>
      <c r="O70" s="8" t="s">
        <v>969</v>
      </c>
      <c r="P70" s="8" t="s">
        <v>969</v>
      </c>
      <c r="Q70" s="8" t="s">
        <v>969</v>
      </c>
      <c r="R70" s="8" t="s">
        <v>969</v>
      </c>
      <c r="S70" s="8" t="s">
        <v>969</v>
      </c>
      <c r="T70" s="8" t="s">
        <v>969</v>
      </c>
      <c r="U70" s="8" t="s">
        <v>1205</v>
      </c>
      <c r="V70" s="8" t="s">
        <v>1206</v>
      </c>
      <c r="W70" s="8" t="s">
        <v>1207</v>
      </c>
      <c r="X70" s="8" t="s">
        <v>1208</v>
      </c>
      <c r="Y70" s="8" t="s">
        <v>1209</v>
      </c>
      <c r="Z70" s="8" t="s">
        <v>969</v>
      </c>
      <c r="AA70" s="8" t="s">
        <v>969</v>
      </c>
      <c r="AB70" s="8" t="s">
        <v>969</v>
      </c>
      <c r="AC70" s="8" t="s">
        <v>969</v>
      </c>
      <c r="AD70" s="8" t="s">
        <v>969</v>
      </c>
      <c r="AE70" s="8" t="s">
        <v>969</v>
      </c>
      <c r="AF70" s="8" t="s">
        <v>969</v>
      </c>
      <c r="AG70" s="8">
        <v>26.0</v>
      </c>
      <c r="AH70" s="8">
        <v>236.0</v>
      </c>
      <c r="AI70" s="8">
        <v>277.0</v>
      </c>
      <c r="AJ70" s="8">
        <v>1.0</v>
      </c>
      <c r="AK70" s="8">
        <v>75.0</v>
      </c>
      <c r="AL70" s="8" t="s">
        <v>1031</v>
      </c>
      <c r="AM70" s="8" t="s">
        <v>1032</v>
      </c>
      <c r="AN70" s="8" t="s">
        <v>1210</v>
      </c>
      <c r="AO70" s="8" t="s">
        <v>1034</v>
      </c>
      <c r="AP70" s="8" t="s">
        <v>969</v>
      </c>
      <c r="AQ70" s="8" t="s">
        <v>969</v>
      </c>
      <c r="AR70" s="8" t="s">
        <v>1025</v>
      </c>
      <c r="AS70" s="8" t="s">
        <v>1035</v>
      </c>
      <c r="AT70" s="8" t="s">
        <v>1211</v>
      </c>
      <c r="AU70" s="8">
        <v>2003.0</v>
      </c>
      <c r="AV70" s="8">
        <v>59.0</v>
      </c>
      <c r="AW70" s="8">
        <v>3.0</v>
      </c>
      <c r="AX70" s="8" t="s">
        <v>969</v>
      </c>
      <c r="AY70" s="8" t="s">
        <v>969</v>
      </c>
      <c r="AZ70" s="8" t="s">
        <v>969</v>
      </c>
      <c r="BA70" s="8" t="s">
        <v>969</v>
      </c>
      <c r="BB70" s="8">
        <v>389.0</v>
      </c>
      <c r="BC70" s="8">
        <v>409.0</v>
      </c>
      <c r="BD70" s="8" t="s">
        <v>969</v>
      </c>
      <c r="BE70" s="8" t="s">
        <v>587</v>
      </c>
      <c r="BF70" s="13" t="str">
        <f>HYPERLINK("http://dx.doi.org/10.1023/A:1024847723344","http://dx.doi.org/10.1023/A:1024847723344")</f>
        <v>http://dx.doi.org/10.1023/A:1024847723344</v>
      </c>
      <c r="BG70" s="8" t="s">
        <v>969</v>
      </c>
      <c r="BH70" s="8" t="s">
        <v>969</v>
      </c>
      <c r="BI70" s="8">
        <v>21.0</v>
      </c>
      <c r="BJ70" s="8" t="s">
        <v>1037</v>
      </c>
      <c r="BK70" s="8" t="s">
        <v>988</v>
      </c>
      <c r="BL70" s="8" t="s">
        <v>1038</v>
      </c>
      <c r="BM70" s="8" t="s">
        <v>1212</v>
      </c>
      <c r="BN70" s="8" t="s">
        <v>969</v>
      </c>
      <c r="BO70" s="8" t="s">
        <v>969</v>
      </c>
      <c r="BP70" s="8" t="s">
        <v>969</v>
      </c>
      <c r="BQ70" s="8" t="s">
        <v>969</v>
      </c>
      <c r="BR70" s="8" t="s">
        <v>3231</v>
      </c>
      <c r="BS70" s="8" t="s">
        <v>1213</v>
      </c>
      <c r="BT70" s="3" t="s">
        <v>3232</v>
      </c>
      <c r="BU70" s="8" t="str">
        <f>HYPERLINK("https%3A%2F%2Fwww.webofscience.com%2Fwos%2Fwoscc%2Ffull-record%2FWOS:000184319800006","View Full Record in Web of Science")</f>
        <v>View Full Record in Web of Science</v>
      </c>
    </row>
    <row r="71" ht="12.75" customHeight="1">
      <c r="A71" s="8" t="s">
        <v>967</v>
      </c>
      <c r="B71" s="8" t="s">
        <v>1100</v>
      </c>
      <c r="C71" s="8" t="s">
        <v>969</v>
      </c>
      <c r="D71" s="8" t="s">
        <v>969</v>
      </c>
      <c r="E71" s="8" t="s">
        <v>969</v>
      </c>
      <c r="F71" s="8" t="s">
        <v>1100</v>
      </c>
      <c r="G71" s="8" t="s">
        <v>969</v>
      </c>
      <c r="H71" s="8" t="s">
        <v>969</v>
      </c>
      <c r="I71" s="8" t="s">
        <v>1101</v>
      </c>
      <c r="J71" s="8" t="s">
        <v>971</v>
      </c>
      <c r="K71" s="8" t="s">
        <v>969</v>
      </c>
      <c r="L71" s="8" t="s">
        <v>969</v>
      </c>
      <c r="M71" s="8" t="s">
        <v>972</v>
      </c>
      <c r="N71" s="8" t="s">
        <v>973</v>
      </c>
      <c r="O71" s="8" t="s">
        <v>969</v>
      </c>
      <c r="P71" s="8" t="s">
        <v>969</v>
      </c>
      <c r="Q71" s="8" t="s">
        <v>969</v>
      </c>
      <c r="R71" s="8" t="s">
        <v>969</v>
      </c>
      <c r="S71" s="8" t="s">
        <v>969</v>
      </c>
      <c r="T71" s="8" t="s">
        <v>1102</v>
      </c>
      <c r="U71" s="8" t="s">
        <v>1103</v>
      </c>
      <c r="V71" s="8" t="s">
        <v>1104</v>
      </c>
      <c r="W71" s="8" t="s">
        <v>1105</v>
      </c>
      <c r="X71" s="8" t="s">
        <v>1106</v>
      </c>
      <c r="Y71" s="8" t="s">
        <v>1107</v>
      </c>
      <c r="Z71" s="8" t="s">
        <v>969</v>
      </c>
      <c r="AA71" s="8" t="s">
        <v>1420</v>
      </c>
      <c r="AB71" s="8" t="s">
        <v>1421</v>
      </c>
      <c r="AC71" s="8" t="s">
        <v>969</v>
      </c>
      <c r="AD71" s="8" t="s">
        <v>969</v>
      </c>
      <c r="AE71" s="8" t="s">
        <v>969</v>
      </c>
      <c r="AF71" s="8" t="s">
        <v>969</v>
      </c>
      <c r="AG71" s="8">
        <v>61.0</v>
      </c>
      <c r="AH71" s="8">
        <v>115.0</v>
      </c>
      <c r="AI71" s="8">
        <v>147.0</v>
      </c>
      <c r="AJ71" s="8">
        <v>1.0</v>
      </c>
      <c r="AK71" s="8">
        <v>93.0</v>
      </c>
      <c r="AL71" s="8" t="s">
        <v>1110</v>
      </c>
      <c r="AM71" s="8" t="s">
        <v>981</v>
      </c>
      <c r="AN71" s="8" t="s">
        <v>1111</v>
      </c>
      <c r="AO71" s="8" t="s">
        <v>983</v>
      </c>
      <c r="AP71" s="8" t="s">
        <v>969</v>
      </c>
      <c r="AQ71" s="8" t="s">
        <v>969</v>
      </c>
      <c r="AR71" s="8" t="s">
        <v>1095</v>
      </c>
      <c r="AS71" s="8" t="s">
        <v>985</v>
      </c>
      <c r="AT71" s="8" t="s">
        <v>1112</v>
      </c>
      <c r="AU71" s="8">
        <v>2002.0</v>
      </c>
      <c r="AV71" s="8">
        <v>8.0</v>
      </c>
      <c r="AW71" s="8">
        <v>10.0</v>
      </c>
      <c r="AX71" s="8" t="s">
        <v>969</v>
      </c>
      <c r="AY71" s="8" t="s">
        <v>969</v>
      </c>
      <c r="AZ71" s="8" t="s">
        <v>969</v>
      </c>
      <c r="BA71" s="8" t="s">
        <v>969</v>
      </c>
      <c r="BB71" s="8">
        <v>954.0</v>
      </c>
      <c r="BC71" s="8">
        <v>971.0</v>
      </c>
      <c r="BD71" s="8" t="s">
        <v>969</v>
      </c>
      <c r="BE71" s="8" t="s">
        <v>608</v>
      </c>
      <c r="BF71" s="13" t="str">
        <f>HYPERLINK("http://dx.doi.org/10.1046/j.1365-2486.2002.00490.x","http://dx.doi.org/10.1046/j.1365-2486.2002.00490.x")</f>
        <v>http://dx.doi.org/10.1046/j.1365-2486.2002.00490.x</v>
      </c>
      <c r="BG71" s="8" t="s">
        <v>969</v>
      </c>
      <c r="BH71" s="8" t="s">
        <v>969</v>
      </c>
      <c r="BI71" s="8">
        <v>18.0</v>
      </c>
      <c r="BJ71" s="8" t="s">
        <v>987</v>
      </c>
      <c r="BK71" s="8" t="s">
        <v>988</v>
      </c>
      <c r="BL71" s="8" t="s">
        <v>989</v>
      </c>
      <c r="BM71" s="8" t="s">
        <v>1113</v>
      </c>
      <c r="BN71" s="8" t="s">
        <v>969</v>
      </c>
      <c r="BO71" s="8" t="s">
        <v>969</v>
      </c>
      <c r="BP71" s="8" t="s">
        <v>969</v>
      </c>
      <c r="BQ71" s="8" t="s">
        <v>969</v>
      </c>
      <c r="BR71" s="8" t="s">
        <v>3231</v>
      </c>
      <c r="BS71" s="8" t="s">
        <v>1114</v>
      </c>
      <c r="BT71" s="3" t="s">
        <v>3232</v>
      </c>
      <c r="BU71" s="8" t="str">
        <f>HYPERLINK("https%3A%2F%2Fwww.webofscience.com%2Fwos%2Fwoscc%2Ffull-record%2FWOS:000177853000003","View Full Record in Web of Science")</f>
        <v>View Full Record in Web of Science</v>
      </c>
    </row>
    <row r="72" ht="12.75" customHeight="1">
      <c r="A72" s="8" t="s">
        <v>967</v>
      </c>
      <c r="B72" s="8" t="s">
        <v>1642</v>
      </c>
      <c r="C72" s="8" t="s">
        <v>969</v>
      </c>
      <c r="D72" s="8" t="s">
        <v>969</v>
      </c>
      <c r="E72" s="8" t="s">
        <v>969</v>
      </c>
      <c r="F72" s="8" t="s">
        <v>1643</v>
      </c>
      <c r="G72" s="8" t="s">
        <v>969</v>
      </c>
      <c r="H72" s="8" t="s">
        <v>969</v>
      </c>
      <c r="I72" s="8" t="s">
        <v>1644</v>
      </c>
      <c r="J72" s="8" t="s">
        <v>1645</v>
      </c>
      <c r="K72" s="8" t="s">
        <v>969</v>
      </c>
      <c r="L72" s="8" t="s">
        <v>969</v>
      </c>
      <c r="M72" s="8" t="s">
        <v>972</v>
      </c>
      <c r="N72" s="8" t="s">
        <v>973</v>
      </c>
      <c r="O72" s="8" t="s">
        <v>969</v>
      </c>
      <c r="P72" s="8" t="s">
        <v>969</v>
      </c>
      <c r="Q72" s="8" t="s">
        <v>969</v>
      </c>
      <c r="R72" s="8" t="s">
        <v>969</v>
      </c>
      <c r="S72" s="8" t="s">
        <v>969</v>
      </c>
      <c r="T72" s="8" t="s">
        <v>1646</v>
      </c>
      <c r="U72" s="8" t="s">
        <v>1647</v>
      </c>
      <c r="V72" s="8" t="s">
        <v>1648</v>
      </c>
      <c r="W72" s="8" t="s">
        <v>1649</v>
      </c>
      <c r="X72" s="8" t="s">
        <v>1650</v>
      </c>
      <c r="Y72" s="8" t="s">
        <v>1651</v>
      </c>
      <c r="Z72" s="8" t="s">
        <v>1652</v>
      </c>
      <c r="AA72" s="8" t="s">
        <v>1280</v>
      </c>
      <c r="AB72" s="8" t="s">
        <v>1281</v>
      </c>
      <c r="AC72" s="8" t="s">
        <v>969</v>
      </c>
      <c r="AD72" s="8" t="s">
        <v>969</v>
      </c>
      <c r="AE72" s="8" t="s">
        <v>969</v>
      </c>
      <c r="AF72" s="8" t="s">
        <v>969</v>
      </c>
      <c r="AG72" s="8">
        <v>62.0</v>
      </c>
      <c r="AH72" s="8">
        <v>43.0</v>
      </c>
      <c r="AI72" s="8">
        <v>49.0</v>
      </c>
      <c r="AJ72" s="8">
        <v>0.0</v>
      </c>
      <c r="AK72" s="8">
        <v>32.0</v>
      </c>
      <c r="AL72" s="8" t="s">
        <v>1609</v>
      </c>
      <c r="AM72" s="8" t="s">
        <v>1032</v>
      </c>
      <c r="AN72" s="8" t="s">
        <v>1210</v>
      </c>
      <c r="AO72" s="8" t="s">
        <v>1653</v>
      </c>
      <c r="AP72" s="8" t="s">
        <v>1654</v>
      </c>
      <c r="AQ72" s="8" t="s">
        <v>969</v>
      </c>
      <c r="AR72" s="8" t="s">
        <v>1655</v>
      </c>
      <c r="AS72" s="8" t="s">
        <v>1656</v>
      </c>
      <c r="AT72" s="8" t="s">
        <v>1300</v>
      </c>
      <c r="AU72" s="8">
        <v>2006.0</v>
      </c>
      <c r="AV72" s="8">
        <v>15.0</v>
      </c>
      <c r="AW72" s="8">
        <v>10.0</v>
      </c>
      <c r="AX72" s="8" t="s">
        <v>969</v>
      </c>
      <c r="AY72" s="8" t="s">
        <v>969</v>
      </c>
      <c r="AZ72" s="8" t="s">
        <v>969</v>
      </c>
      <c r="BA72" s="8" t="s">
        <v>969</v>
      </c>
      <c r="BB72" s="8">
        <v>3341.0</v>
      </c>
      <c r="BC72" s="8">
        <v>3356.0</v>
      </c>
      <c r="BD72" s="8" t="s">
        <v>969</v>
      </c>
      <c r="BE72" s="8" t="s">
        <v>521</v>
      </c>
      <c r="BF72" s="13" t="str">
        <f>HYPERLINK("http://dx.doi.org/10.1007/s10531-005-1345-8","http://dx.doi.org/10.1007/s10531-005-1345-8")</f>
        <v>http://dx.doi.org/10.1007/s10531-005-1345-8</v>
      </c>
      <c r="BG72" s="8" t="s">
        <v>969</v>
      </c>
      <c r="BH72" s="8" t="s">
        <v>969</v>
      </c>
      <c r="BI72" s="8">
        <v>16.0</v>
      </c>
      <c r="BJ72" s="8" t="s">
        <v>987</v>
      </c>
      <c r="BK72" s="8" t="s">
        <v>988</v>
      </c>
      <c r="BL72" s="8" t="s">
        <v>989</v>
      </c>
      <c r="BM72" s="8" t="s">
        <v>1657</v>
      </c>
      <c r="BN72" s="8" t="s">
        <v>969</v>
      </c>
      <c r="BO72" s="8" t="s">
        <v>969</v>
      </c>
      <c r="BP72" s="8" t="s">
        <v>969</v>
      </c>
      <c r="BQ72" s="8" t="s">
        <v>969</v>
      </c>
      <c r="BR72" s="8" t="s">
        <v>3231</v>
      </c>
      <c r="BS72" s="8" t="s">
        <v>1658</v>
      </c>
      <c r="BT72" s="3" t="s">
        <v>3232</v>
      </c>
      <c r="BU72" s="8" t="str">
        <f>HYPERLINK("https%3A%2F%2Fwww.webofscience.com%2Fwos%2Fwoscc%2Ffull-record%2FWOS:000241791200014","View Full Record in Web of Science")</f>
        <v>View Full Record in Web of Science</v>
      </c>
    </row>
    <row r="73" ht="12.75" customHeight="1">
      <c r="A73" s="8" t="s">
        <v>967</v>
      </c>
      <c r="B73" s="8" t="s">
        <v>2052</v>
      </c>
      <c r="C73" s="8" t="s">
        <v>969</v>
      </c>
      <c r="D73" s="8" t="s">
        <v>969</v>
      </c>
      <c r="E73" s="8" t="s">
        <v>969</v>
      </c>
      <c r="F73" s="8" t="s">
        <v>2053</v>
      </c>
      <c r="G73" s="8" t="s">
        <v>969</v>
      </c>
      <c r="H73" s="8" t="s">
        <v>969</v>
      </c>
      <c r="I73" s="8" t="s">
        <v>2054</v>
      </c>
      <c r="J73" s="8" t="s">
        <v>1120</v>
      </c>
      <c r="K73" s="8" t="s">
        <v>969</v>
      </c>
      <c r="L73" s="8" t="s">
        <v>969</v>
      </c>
      <c r="M73" s="8" t="s">
        <v>972</v>
      </c>
      <c r="N73" s="8" t="s">
        <v>973</v>
      </c>
      <c r="O73" s="8" t="s">
        <v>969</v>
      </c>
      <c r="P73" s="8" t="s">
        <v>969</v>
      </c>
      <c r="Q73" s="8" t="s">
        <v>969</v>
      </c>
      <c r="R73" s="8" t="s">
        <v>969</v>
      </c>
      <c r="S73" s="8" t="s">
        <v>969</v>
      </c>
      <c r="T73" s="8" t="s">
        <v>2055</v>
      </c>
      <c r="U73" s="8" t="s">
        <v>2056</v>
      </c>
      <c r="V73" s="8" t="s">
        <v>2057</v>
      </c>
      <c r="W73" s="8" t="s">
        <v>2058</v>
      </c>
      <c r="X73" s="8" t="s">
        <v>3161</v>
      </c>
      <c r="Y73" s="8" t="s">
        <v>2060</v>
      </c>
      <c r="Z73" s="8" t="s">
        <v>2061</v>
      </c>
      <c r="AA73" s="8" t="s">
        <v>3307</v>
      </c>
      <c r="AB73" s="8" t="s">
        <v>3308</v>
      </c>
      <c r="AC73" s="8" t="s">
        <v>2064</v>
      </c>
      <c r="AD73" s="8" t="s">
        <v>2065</v>
      </c>
      <c r="AE73" s="8" t="s">
        <v>2066</v>
      </c>
      <c r="AF73" s="8" t="s">
        <v>969</v>
      </c>
      <c r="AG73" s="8">
        <v>36.0</v>
      </c>
      <c r="AH73" s="8">
        <v>260.0</v>
      </c>
      <c r="AI73" s="8">
        <v>293.0</v>
      </c>
      <c r="AJ73" s="8">
        <v>0.0</v>
      </c>
      <c r="AK73" s="8">
        <v>238.0</v>
      </c>
      <c r="AL73" s="8" t="s">
        <v>1130</v>
      </c>
      <c r="AM73" s="8" t="s">
        <v>1071</v>
      </c>
      <c r="AN73" s="8" t="s">
        <v>1131</v>
      </c>
      <c r="AO73" s="8" t="s">
        <v>1132</v>
      </c>
      <c r="AP73" s="8" t="s">
        <v>1133</v>
      </c>
      <c r="AQ73" s="8" t="s">
        <v>969</v>
      </c>
      <c r="AR73" s="8" t="s">
        <v>1134</v>
      </c>
      <c r="AS73" s="8" t="s">
        <v>1135</v>
      </c>
      <c r="AT73" s="8" t="s">
        <v>2067</v>
      </c>
      <c r="AU73" s="8">
        <v>2009.0</v>
      </c>
      <c r="AV73" s="8">
        <v>276.0</v>
      </c>
      <c r="AW73" s="8">
        <v>1661.0</v>
      </c>
      <c r="AX73" s="8" t="s">
        <v>969</v>
      </c>
      <c r="AY73" s="8" t="s">
        <v>969</v>
      </c>
      <c r="AZ73" s="8" t="s">
        <v>969</v>
      </c>
      <c r="BA73" s="8" t="s">
        <v>969</v>
      </c>
      <c r="BB73" s="8">
        <v>1415.0</v>
      </c>
      <c r="BC73" s="8">
        <v>1420.0</v>
      </c>
      <c r="BD73" s="8" t="s">
        <v>969</v>
      </c>
      <c r="BE73" s="8" t="s">
        <v>662</v>
      </c>
      <c r="BF73" s="13" t="str">
        <f>HYPERLINK("http://dx.doi.org/10.1098/rspb.2008.1681","http://dx.doi.org/10.1098/rspb.2008.1681")</f>
        <v>http://dx.doi.org/10.1098/rspb.2008.1681</v>
      </c>
      <c r="BG73" s="8" t="s">
        <v>969</v>
      </c>
      <c r="BH73" s="8" t="s">
        <v>969</v>
      </c>
      <c r="BI73" s="8">
        <v>6.0</v>
      </c>
      <c r="BJ73" s="8" t="s">
        <v>1137</v>
      </c>
      <c r="BK73" s="8" t="s">
        <v>988</v>
      </c>
      <c r="BL73" s="8" t="s">
        <v>1138</v>
      </c>
      <c r="BM73" s="8" t="s">
        <v>2068</v>
      </c>
      <c r="BN73" s="8">
        <v>1.9324811E7</v>
      </c>
      <c r="BO73" s="8" t="s">
        <v>1227</v>
      </c>
      <c r="BP73" s="8" t="s">
        <v>969</v>
      </c>
      <c r="BQ73" s="8" t="s">
        <v>969</v>
      </c>
      <c r="BR73" s="8" t="s">
        <v>3231</v>
      </c>
      <c r="BS73" s="8" t="s">
        <v>2069</v>
      </c>
      <c r="BT73" s="3" t="s">
        <v>3232</v>
      </c>
      <c r="BU73" s="8" t="str">
        <f>HYPERLINK("https%3A%2F%2Fwww.webofscience.com%2Fwos%2Fwoscc%2Ffull-record%2FWOS:000264351900004","View Full Record in Web of Science")</f>
        <v>View Full Record in Web of Science</v>
      </c>
    </row>
    <row r="74" ht="12.75" customHeight="1">
      <c r="A74" s="8" t="s">
        <v>967</v>
      </c>
      <c r="B74" s="8" t="s">
        <v>2477</v>
      </c>
      <c r="C74" s="8" t="s">
        <v>969</v>
      </c>
      <c r="D74" s="8" t="s">
        <v>969</v>
      </c>
      <c r="E74" s="8" t="s">
        <v>969</v>
      </c>
      <c r="F74" s="8" t="s">
        <v>2478</v>
      </c>
      <c r="G74" s="8" t="s">
        <v>969</v>
      </c>
      <c r="H74" s="8" t="s">
        <v>969</v>
      </c>
      <c r="I74" s="8" t="s">
        <v>2479</v>
      </c>
      <c r="J74" s="8" t="s">
        <v>1974</v>
      </c>
      <c r="K74" s="8" t="s">
        <v>969</v>
      </c>
      <c r="L74" s="8" t="s">
        <v>969</v>
      </c>
      <c r="M74" s="8" t="s">
        <v>972</v>
      </c>
      <c r="N74" s="8" t="s">
        <v>973</v>
      </c>
      <c r="O74" s="8" t="s">
        <v>969</v>
      </c>
      <c r="P74" s="8" t="s">
        <v>969</v>
      </c>
      <c r="Q74" s="8" t="s">
        <v>969</v>
      </c>
      <c r="R74" s="8" t="s">
        <v>969</v>
      </c>
      <c r="S74" s="8" t="s">
        <v>969</v>
      </c>
      <c r="T74" s="8" t="s">
        <v>969</v>
      </c>
      <c r="U74" s="8" t="s">
        <v>2480</v>
      </c>
      <c r="V74" s="8" t="s">
        <v>2481</v>
      </c>
      <c r="W74" s="8" t="s">
        <v>2482</v>
      </c>
      <c r="X74" s="8" t="s">
        <v>969</v>
      </c>
      <c r="Y74" s="8" t="s">
        <v>2483</v>
      </c>
      <c r="Z74" s="8" t="s">
        <v>2484</v>
      </c>
      <c r="AA74" s="8" t="s">
        <v>969</v>
      </c>
      <c r="AB74" s="8" t="s">
        <v>969</v>
      </c>
      <c r="AC74" s="8" t="s">
        <v>969</v>
      </c>
      <c r="AD74" s="8" t="s">
        <v>969</v>
      </c>
      <c r="AE74" s="8" t="s">
        <v>969</v>
      </c>
      <c r="AF74" s="8" t="s">
        <v>969</v>
      </c>
      <c r="AG74" s="8">
        <v>55.0</v>
      </c>
      <c r="AH74" s="8">
        <v>99.0</v>
      </c>
      <c r="AI74" s="8">
        <v>118.0</v>
      </c>
      <c r="AJ74" s="8">
        <v>1.0</v>
      </c>
      <c r="AK74" s="8">
        <v>102.0</v>
      </c>
      <c r="AL74" s="8" t="s">
        <v>1985</v>
      </c>
      <c r="AM74" s="8" t="s">
        <v>1986</v>
      </c>
      <c r="AN74" s="8" t="s">
        <v>1987</v>
      </c>
      <c r="AO74" s="8" t="s">
        <v>1988</v>
      </c>
      <c r="AP74" s="8" t="s">
        <v>969</v>
      </c>
      <c r="AQ74" s="8" t="s">
        <v>969</v>
      </c>
      <c r="AR74" s="8" t="s">
        <v>1974</v>
      </c>
      <c r="AS74" s="8" t="s">
        <v>1989</v>
      </c>
      <c r="AT74" s="8" t="s">
        <v>2485</v>
      </c>
      <c r="AU74" s="8">
        <v>2012.0</v>
      </c>
      <c r="AV74" s="8">
        <v>7.0</v>
      </c>
      <c r="AW74" s="8">
        <v>3.0</v>
      </c>
      <c r="AX74" s="8" t="s">
        <v>969</v>
      </c>
      <c r="AY74" s="8" t="s">
        <v>969</v>
      </c>
      <c r="AZ74" s="8" t="s">
        <v>969</v>
      </c>
      <c r="BA74" s="8" t="s">
        <v>969</v>
      </c>
      <c r="BB74" s="8" t="s">
        <v>969</v>
      </c>
      <c r="BC74" s="8" t="s">
        <v>969</v>
      </c>
      <c r="BD74" s="8" t="s">
        <v>2486</v>
      </c>
      <c r="BE74" s="8" t="s">
        <v>815</v>
      </c>
      <c r="BF74" s="13" t="str">
        <f>HYPERLINK("http://dx.doi.org/10.1371/journal.pone.0029507","http://dx.doi.org/10.1371/journal.pone.0029507")</f>
        <v>http://dx.doi.org/10.1371/journal.pone.0029507</v>
      </c>
      <c r="BG74" s="8" t="s">
        <v>969</v>
      </c>
      <c r="BH74" s="8" t="s">
        <v>969</v>
      </c>
      <c r="BI74" s="8">
        <v>13.0</v>
      </c>
      <c r="BJ74" s="8" t="s">
        <v>1076</v>
      </c>
      <c r="BK74" s="8" t="s">
        <v>988</v>
      </c>
      <c r="BL74" s="8" t="s">
        <v>1077</v>
      </c>
      <c r="BM74" s="8" t="s">
        <v>2487</v>
      </c>
      <c r="BN74" s="8">
        <v>2.2396726E7</v>
      </c>
      <c r="BO74" s="8" t="s">
        <v>1140</v>
      </c>
      <c r="BP74" s="8" t="s">
        <v>969</v>
      </c>
      <c r="BQ74" s="8" t="s">
        <v>969</v>
      </c>
      <c r="BR74" s="8" t="s">
        <v>3231</v>
      </c>
      <c r="BS74" s="8" t="s">
        <v>2488</v>
      </c>
      <c r="BT74" s="3" t="s">
        <v>3232</v>
      </c>
      <c r="BU74" s="8" t="str">
        <f>HYPERLINK("https%3A%2F%2Fwww.webofscience.com%2Fwos%2Fwoscc%2Ffull-record%2FWOS:000303006500001","View Full Record in Web of Science")</f>
        <v>View Full Record in Web of Science</v>
      </c>
    </row>
    <row r="75" ht="12.75" customHeight="1">
      <c r="A75" s="8" t="s">
        <v>967</v>
      </c>
      <c r="B75" s="8" t="s">
        <v>1844</v>
      </c>
      <c r="C75" s="8" t="s">
        <v>969</v>
      </c>
      <c r="D75" s="8" t="s">
        <v>969</v>
      </c>
      <c r="E75" s="8" t="s">
        <v>969</v>
      </c>
      <c r="F75" s="8" t="s">
        <v>1845</v>
      </c>
      <c r="G75" s="8" t="s">
        <v>969</v>
      </c>
      <c r="H75" s="8" t="s">
        <v>969</v>
      </c>
      <c r="I75" s="8" t="s">
        <v>1846</v>
      </c>
      <c r="J75" s="8" t="s">
        <v>1847</v>
      </c>
      <c r="K75" s="8" t="s">
        <v>969</v>
      </c>
      <c r="L75" s="8" t="s">
        <v>969</v>
      </c>
      <c r="M75" s="8" t="s">
        <v>972</v>
      </c>
      <c r="N75" s="8" t="s">
        <v>973</v>
      </c>
      <c r="O75" s="8" t="s">
        <v>969</v>
      </c>
      <c r="P75" s="8" t="s">
        <v>969</v>
      </c>
      <c r="Q75" s="8" t="s">
        <v>969</v>
      </c>
      <c r="R75" s="8" t="s">
        <v>969</v>
      </c>
      <c r="S75" s="8" t="s">
        <v>969</v>
      </c>
      <c r="T75" s="8" t="s">
        <v>1848</v>
      </c>
      <c r="U75" s="8" t="s">
        <v>1849</v>
      </c>
      <c r="V75" s="8" t="s">
        <v>1850</v>
      </c>
      <c r="W75" s="8" t="s">
        <v>1851</v>
      </c>
      <c r="X75" s="8" t="s">
        <v>1852</v>
      </c>
      <c r="Y75" s="8" t="s">
        <v>1853</v>
      </c>
      <c r="Z75" s="8" t="s">
        <v>1854</v>
      </c>
      <c r="AA75" s="8" t="s">
        <v>3201</v>
      </c>
      <c r="AB75" s="8" t="s">
        <v>3202</v>
      </c>
      <c r="AC75" s="8" t="s">
        <v>969</v>
      </c>
      <c r="AD75" s="8" t="s">
        <v>969</v>
      </c>
      <c r="AE75" s="8" t="s">
        <v>969</v>
      </c>
      <c r="AF75" s="8" t="s">
        <v>969</v>
      </c>
      <c r="AG75" s="8">
        <v>60.0</v>
      </c>
      <c r="AH75" s="8">
        <v>263.0</v>
      </c>
      <c r="AI75" s="8">
        <v>301.0</v>
      </c>
      <c r="AJ75" s="8">
        <v>5.0</v>
      </c>
      <c r="AK75" s="8">
        <v>93.0</v>
      </c>
      <c r="AL75" s="8" t="s">
        <v>1813</v>
      </c>
      <c r="AM75" s="8" t="s">
        <v>1261</v>
      </c>
      <c r="AN75" s="8" t="s">
        <v>1814</v>
      </c>
      <c r="AO75" s="8" t="s">
        <v>1857</v>
      </c>
      <c r="AP75" s="8" t="s">
        <v>1858</v>
      </c>
      <c r="AQ75" s="8" t="s">
        <v>969</v>
      </c>
      <c r="AR75" s="8" t="s">
        <v>1859</v>
      </c>
      <c r="AS75" s="8" t="s">
        <v>1860</v>
      </c>
      <c r="AT75" s="8" t="s">
        <v>1285</v>
      </c>
      <c r="AU75" s="8">
        <v>2008.0</v>
      </c>
      <c r="AV75" s="8">
        <v>126.0</v>
      </c>
      <c r="AW75" s="8" t="s">
        <v>1200</v>
      </c>
      <c r="AX75" s="8" t="s">
        <v>969</v>
      </c>
      <c r="AY75" s="8" t="s">
        <v>969</v>
      </c>
      <c r="AZ75" s="8" t="s">
        <v>969</v>
      </c>
      <c r="BA75" s="8" t="s">
        <v>969</v>
      </c>
      <c r="BB75" s="8">
        <v>13.0</v>
      </c>
      <c r="BC75" s="8">
        <v>23.0</v>
      </c>
      <c r="BD75" s="8" t="s">
        <v>969</v>
      </c>
      <c r="BE75" s="8" t="s">
        <v>545</v>
      </c>
      <c r="BF75" s="13" t="str">
        <f>HYPERLINK("http://dx.doi.org/10.1016/j.agee.2008.01.013","http://dx.doi.org/10.1016/j.agee.2008.01.013")</f>
        <v>http://dx.doi.org/10.1016/j.agee.2008.01.013</v>
      </c>
      <c r="BG75" s="8" t="s">
        <v>969</v>
      </c>
      <c r="BH75" s="8" t="s">
        <v>969</v>
      </c>
      <c r="BI75" s="8">
        <v>11.0</v>
      </c>
      <c r="BJ75" s="8" t="s">
        <v>1861</v>
      </c>
      <c r="BK75" s="8" t="s">
        <v>988</v>
      </c>
      <c r="BL75" s="8" t="s">
        <v>1862</v>
      </c>
      <c r="BM75" s="8" t="s">
        <v>1863</v>
      </c>
      <c r="BN75" s="8" t="s">
        <v>969</v>
      </c>
      <c r="BO75" s="8" t="s">
        <v>969</v>
      </c>
      <c r="BP75" s="8" t="s">
        <v>969</v>
      </c>
      <c r="BQ75" s="8" t="s">
        <v>969</v>
      </c>
      <c r="BR75" s="8" t="s">
        <v>3231</v>
      </c>
      <c r="BS75" s="8" t="s">
        <v>1864</v>
      </c>
      <c r="BT75" s="3" t="s">
        <v>3232</v>
      </c>
      <c r="BU75" s="8" t="str">
        <f>HYPERLINK("https%3A%2F%2Fwww.webofscience.com%2Fwos%2Fwoscc%2Ffull-record%2FWOS:000255694700003","View Full Record in Web of Science")</f>
        <v>View Full Record in Web of Science</v>
      </c>
    </row>
    <row r="76" ht="12.75" customHeight="1">
      <c r="A76" s="8" t="s">
        <v>967</v>
      </c>
      <c r="B76" s="8" t="s">
        <v>1948</v>
      </c>
      <c r="C76" s="8" t="s">
        <v>969</v>
      </c>
      <c r="D76" s="8" t="s">
        <v>969</v>
      </c>
      <c r="E76" s="8" t="s">
        <v>969</v>
      </c>
      <c r="F76" s="8" t="s">
        <v>1949</v>
      </c>
      <c r="G76" s="8" t="s">
        <v>969</v>
      </c>
      <c r="H76" s="8" t="s">
        <v>969</v>
      </c>
      <c r="I76" s="8" t="s">
        <v>1950</v>
      </c>
      <c r="J76" s="8" t="s">
        <v>1951</v>
      </c>
      <c r="K76" s="8" t="s">
        <v>969</v>
      </c>
      <c r="L76" s="8" t="s">
        <v>969</v>
      </c>
      <c r="M76" s="8" t="s">
        <v>972</v>
      </c>
      <c r="N76" s="8" t="s">
        <v>973</v>
      </c>
      <c r="O76" s="8" t="s">
        <v>969</v>
      </c>
      <c r="P76" s="8" t="s">
        <v>969</v>
      </c>
      <c r="Q76" s="8" t="s">
        <v>969</v>
      </c>
      <c r="R76" s="8" t="s">
        <v>969</v>
      </c>
      <c r="S76" s="8" t="s">
        <v>969</v>
      </c>
      <c r="T76" s="8" t="s">
        <v>969</v>
      </c>
      <c r="U76" s="8" t="s">
        <v>1952</v>
      </c>
      <c r="V76" s="8" t="s">
        <v>1953</v>
      </c>
      <c r="W76" s="8" t="s">
        <v>1954</v>
      </c>
      <c r="X76" s="8" t="s">
        <v>1955</v>
      </c>
      <c r="Y76" s="8" t="s">
        <v>1956</v>
      </c>
      <c r="Z76" s="8" t="s">
        <v>1957</v>
      </c>
      <c r="AA76" s="8" t="s">
        <v>1958</v>
      </c>
      <c r="AB76" s="8" t="s">
        <v>1959</v>
      </c>
      <c r="AC76" s="8" t="s">
        <v>1960</v>
      </c>
      <c r="AD76" s="8" t="s">
        <v>1961</v>
      </c>
      <c r="AE76" s="8" t="s">
        <v>1962</v>
      </c>
      <c r="AF76" s="8" t="s">
        <v>969</v>
      </c>
      <c r="AG76" s="8">
        <v>32.0</v>
      </c>
      <c r="AH76" s="8">
        <v>985.0</v>
      </c>
      <c r="AI76" s="8">
        <v>1170.0</v>
      </c>
      <c r="AJ76" s="8">
        <v>6.0</v>
      </c>
      <c r="AK76" s="8">
        <v>546.0</v>
      </c>
      <c r="AL76" s="8" t="s">
        <v>1963</v>
      </c>
      <c r="AM76" s="8" t="s">
        <v>1388</v>
      </c>
      <c r="AN76" s="8" t="s">
        <v>1964</v>
      </c>
      <c r="AO76" s="8" t="s">
        <v>1965</v>
      </c>
      <c r="AP76" s="8" t="s">
        <v>1966</v>
      </c>
      <c r="AQ76" s="8" t="s">
        <v>969</v>
      </c>
      <c r="AR76" s="8" t="s">
        <v>1951</v>
      </c>
      <c r="AS76" s="8" t="s">
        <v>1967</v>
      </c>
      <c r="AT76" s="8" t="s">
        <v>1968</v>
      </c>
      <c r="AU76" s="8">
        <v>2008.0</v>
      </c>
      <c r="AV76" s="8">
        <v>322.0</v>
      </c>
      <c r="AW76" s="8">
        <v>5899.0</v>
      </c>
      <c r="AX76" s="8" t="s">
        <v>969</v>
      </c>
      <c r="AY76" s="8" t="s">
        <v>969</v>
      </c>
      <c r="AZ76" s="8" t="s">
        <v>969</v>
      </c>
      <c r="BA76" s="8" t="s">
        <v>969</v>
      </c>
      <c r="BB76" s="8">
        <v>258.0</v>
      </c>
      <c r="BC76" s="8">
        <v>261.0</v>
      </c>
      <c r="BD76" s="8" t="s">
        <v>969</v>
      </c>
      <c r="BE76" s="8" t="s">
        <v>797</v>
      </c>
      <c r="BF76" s="13" t="str">
        <f>HYPERLINK("http://dx.doi.org/10.1126/science.1162547","http://dx.doi.org/10.1126/science.1162547")</f>
        <v>http://dx.doi.org/10.1126/science.1162547</v>
      </c>
      <c r="BG76" s="8" t="s">
        <v>969</v>
      </c>
      <c r="BH76" s="8" t="s">
        <v>969</v>
      </c>
      <c r="BI76" s="8">
        <v>4.0</v>
      </c>
      <c r="BJ76" s="8" t="s">
        <v>1076</v>
      </c>
      <c r="BK76" s="8" t="s">
        <v>988</v>
      </c>
      <c r="BL76" s="8" t="s">
        <v>1077</v>
      </c>
      <c r="BM76" s="8" t="s">
        <v>1969</v>
      </c>
      <c r="BN76" s="8">
        <v>1.8845754E7</v>
      </c>
      <c r="BO76" s="8" t="s">
        <v>969</v>
      </c>
      <c r="BP76" s="8" t="s">
        <v>969</v>
      </c>
      <c r="BQ76" s="8" t="s">
        <v>969</v>
      </c>
      <c r="BR76" s="8" t="s">
        <v>3231</v>
      </c>
      <c r="BS76" s="8" t="s">
        <v>1970</v>
      </c>
      <c r="BT76" s="3" t="s">
        <v>3232</v>
      </c>
      <c r="BU76" s="8" t="str">
        <f>HYPERLINK("https%3A%2F%2Fwww.webofscience.com%2Fwos%2Fwoscc%2Ffull-record%2FWOS:000259902300048","View Full Record in Web of Science")</f>
        <v>View Full Record in Web of Science</v>
      </c>
    </row>
    <row r="77" ht="12.75" customHeight="1">
      <c r="A77" s="8" t="s">
        <v>967</v>
      </c>
      <c r="B77" s="8" t="s">
        <v>1600</v>
      </c>
      <c r="C77" s="8" t="s">
        <v>969</v>
      </c>
      <c r="D77" s="8" t="s">
        <v>969</v>
      </c>
      <c r="E77" s="8" t="s">
        <v>969</v>
      </c>
      <c r="F77" s="8" t="s">
        <v>1601</v>
      </c>
      <c r="G77" s="8" t="s">
        <v>969</v>
      </c>
      <c r="H77" s="8" t="s">
        <v>969</v>
      </c>
      <c r="I77" s="8" t="s">
        <v>1602</v>
      </c>
      <c r="J77" s="8" t="s">
        <v>1025</v>
      </c>
      <c r="K77" s="8" t="s">
        <v>969</v>
      </c>
      <c r="L77" s="8" t="s">
        <v>969</v>
      </c>
      <c r="M77" s="8" t="s">
        <v>972</v>
      </c>
      <c r="N77" s="8" t="s">
        <v>973</v>
      </c>
      <c r="O77" s="8" t="s">
        <v>969</v>
      </c>
      <c r="P77" s="8" t="s">
        <v>969</v>
      </c>
      <c r="Q77" s="8" t="s">
        <v>969</v>
      </c>
      <c r="R77" s="8" t="s">
        <v>969</v>
      </c>
      <c r="S77" s="8" t="s">
        <v>969</v>
      </c>
      <c r="T77" s="8" t="s">
        <v>969</v>
      </c>
      <c r="U77" s="8" t="s">
        <v>1603</v>
      </c>
      <c r="V77" s="8" t="s">
        <v>1604</v>
      </c>
      <c r="W77" s="8" t="s">
        <v>969</v>
      </c>
      <c r="X77" s="8" t="s">
        <v>969</v>
      </c>
      <c r="Y77" s="8" t="s">
        <v>1605</v>
      </c>
      <c r="Z77" s="8" t="s">
        <v>1606</v>
      </c>
      <c r="AA77" s="8" t="s">
        <v>1607</v>
      </c>
      <c r="AB77" s="8" t="s">
        <v>1608</v>
      </c>
      <c r="AC77" s="8" t="s">
        <v>969</v>
      </c>
      <c r="AD77" s="8" t="s">
        <v>969</v>
      </c>
      <c r="AE77" s="8" t="s">
        <v>969</v>
      </c>
      <c r="AF77" s="8" t="s">
        <v>969</v>
      </c>
      <c r="AG77" s="8">
        <v>72.0</v>
      </c>
      <c r="AH77" s="8">
        <v>26.0</v>
      </c>
      <c r="AI77" s="8">
        <v>30.0</v>
      </c>
      <c r="AJ77" s="8">
        <v>0.0</v>
      </c>
      <c r="AK77" s="8">
        <v>10.0</v>
      </c>
      <c r="AL77" s="8" t="s">
        <v>1609</v>
      </c>
      <c r="AM77" s="8" t="s">
        <v>1032</v>
      </c>
      <c r="AN77" s="8" t="s">
        <v>1210</v>
      </c>
      <c r="AO77" s="8" t="s">
        <v>1034</v>
      </c>
      <c r="AP77" s="8" t="s">
        <v>1610</v>
      </c>
      <c r="AQ77" s="8" t="s">
        <v>969</v>
      </c>
      <c r="AR77" s="8" t="s">
        <v>1025</v>
      </c>
      <c r="AS77" s="8" t="s">
        <v>1035</v>
      </c>
      <c r="AT77" s="8" t="s">
        <v>1177</v>
      </c>
      <c r="AU77" s="8">
        <v>2006.0</v>
      </c>
      <c r="AV77" s="8">
        <v>76.0</v>
      </c>
      <c r="AW77" s="8" t="s">
        <v>1200</v>
      </c>
      <c r="AX77" s="8" t="s">
        <v>969</v>
      </c>
      <c r="AY77" s="8" t="s">
        <v>969</v>
      </c>
      <c r="AZ77" s="8" t="s">
        <v>969</v>
      </c>
      <c r="BA77" s="8" t="s">
        <v>969</v>
      </c>
      <c r="BB77" s="8">
        <v>91.0</v>
      </c>
      <c r="BC77" s="8">
        <v>119.0</v>
      </c>
      <c r="BD77" s="8" t="s">
        <v>969</v>
      </c>
      <c r="BE77" s="8" t="s">
        <v>536</v>
      </c>
      <c r="BF77" s="13" t="str">
        <f>HYPERLINK("http://dx.doi.org/10.1007/s10584-005-9014-1","http://dx.doi.org/10.1007/s10584-005-9014-1")</f>
        <v>http://dx.doi.org/10.1007/s10584-005-9014-1</v>
      </c>
      <c r="BG77" s="8" t="s">
        <v>969</v>
      </c>
      <c r="BH77" s="8" t="s">
        <v>969</v>
      </c>
      <c r="BI77" s="8">
        <v>29.0</v>
      </c>
      <c r="BJ77" s="8" t="s">
        <v>1037</v>
      </c>
      <c r="BK77" s="8" t="s">
        <v>988</v>
      </c>
      <c r="BL77" s="8" t="s">
        <v>1038</v>
      </c>
      <c r="BM77" s="8" t="s">
        <v>1611</v>
      </c>
      <c r="BN77" s="8" t="s">
        <v>969</v>
      </c>
      <c r="BO77" s="8" t="s">
        <v>969</v>
      </c>
      <c r="BP77" s="8" t="s">
        <v>969</v>
      </c>
      <c r="BQ77" s="8" t="s">
        <v>969</v>
      </c>
      <c r="BR77" s="8" t="s">
        <v>3231</v>
      </c>
      <c r="BS77" s="8" t="s">
        <v>1612</v>
      </c>
      <c r="BT77" s="3" t="s">
        <v>3232</v>
      </c>
      <c r="BU77" s="8" t="str">
        <f>HYPERLINK("https%3A%2F%2Fwww.webofscience.com%2Fwos%2Fwoscc%2Ffull-record%2FWOS:000239060600006","View Full Record in Web of Science")</f>
        <v>View Full Record in Web of Science</v>
      </c>
    </row>
    <row r="78" ht="12.75" customHeight="1">
      <c r="A78" s="8" t="s">
        <v>967</v>
      </c>
      <c r="B78" s="8" t="s">
        <v>2554</v>
      </c>
      <c r="C78" s="8" t="s">
        <v>969</v>
      </c>
      <c r="D78" s="8" t="s">
        <v>969</v>
      </c>
      <c r="E78" s="8" t="s">
        <v>969</v>
      </c>
      <c r="F78" s="8" t="s">
        <v>2555</v>
      </c>
      <c r="G78" s="8" t="s">
        <v>969</v>
      </c>
      <c r="H78" s="8" t="s">
        <v>969</v>
      </c>
      <c r="I78" s="8" t="s">
        <v>2556</v>
      </c>
      <c r="J78" s="8" t="s">
        <v>1974</v>
      </c>
      <c r="K78" s="8" t="s">
        <v>969</v>
      </c>
      <c r="L78" s="8" t="s">
        <v>969</v>
      </c>
      <c r="M78" s="8" t="s">
        <v>972</v>
      </c>
      <c r="N78" s="8" t="s">
        <v>973</v>
      </c>
      <c r="O78" s="8" t="s">
        <v>969</v>
      </c>
      <c r="P78" s="8" t="s">
        <v>969</v>
      </c>
      <c r="Q78" s="8" t="s">
        <v>969</v>
      </c>
      <c r="R78" s="8" t="s">
        <v>969</v>
      </c>
      <c r="S78" s="8" t="s">
        <v>969</v>
      </c>
      <c r="T78" s="8" t="s">
        <v>969</v>
      </c>
      <c r="U78" s="8" t="s">
        <v>2557</v>
      </c>
      <c r="V78" s="8" t="s">
        <v>2558</v>
      </c>
      <c r="W78" s="8" t="s">
        <v>2559</v>
      </c>
      <c r="X78" s="8" t="s">
        <v>2916</v>
      </c>
      <c r="Y78" s="8" t="s">
        <v>2561</v>
      </c>
      <c r="Z78" s="8" t="s">
        <v>2562</v>
      </c>
      <c r="AA78" s="8" t="s">
        <v>3309</v>
      </c>
      <c r="AB78" s="8" t="s">
        <v>3310</v>
      </c>
      <c r="AC78" s="8" t="s">
        <v>2919</v>
      </c>
      <c r="AD78" s="8" t="s">
        <v>2920</v>
      </c>
      <c r="AE78" s="8" t="s">
        <v>2567</v>
      </c>
      <c r="AF78" s="8" t="s">
        <v>969</v>
      </c>
      <c r="AG78" s="8">
        <v>78.0</v>
      </c>
      <c r="AH78" s="8">
        <v>117.0</v>
      </c>
      <c r="AI78" s="8">
        <v>124.0</v>
      </c>
      <c r="AJ78" s="8">
        <v>3.0</v>
      </c>
      <c r="AK78" s="8">
        <v>262.0</v>
      </c>
      <c r="AL78" s="8" t="s">
        <v>1985</v>
      </c>
      <c r="AM78" s="8" t="s">
        <v>1986</v>
      </c>
      <c r="AN78" s="8" t="s">
        <v>1987</v>
      </c>
      <c r="AO78" s="8" t="s">
        <v>1988</v>
      </c>
      <c r="AP78" s="8" t="s">
        <v>969</v>
      </c>
      <c r="AQ78" s="8" t="s">
        <v>969</v>
      </c>
      <c r="AR78" s="8" t="s">
        <v>1974</v>
      </c>
      <c r="AS78" s="8" t="s">
        <v>1989</v>
      </c>
      <c r="AT78" s="8" t="s">
        <v>2568</v>
      </c>
      <c r="AU78" s="8">
        <v>2013.0</v>
      </c>
      <c r="AV78" s="8">
        <v>8.0</v>
      </c>
      <c r="AW78" s="8">
        <v>1.0</v>
      </c>
      <c r="AX78" s="8" t="s">
        <v>969</v>
      </c>
      <c r="AY78" s="8" t="s">
        <v>969</v>
      </c>
      <c r="AZ78" s="8" t="s">
        <v>969</v>
      </c>
      <c r="BA78" s="8" t="s">
        <v>969</v>
      </c>
      <c r="BB78" s="8" t="s">
        <v>969</v>
      </c>
      <c r="BC78" s="8" t="s">
        <v>969</v>
      </c>
      <c r="BD78" s="8" t="s">
        <v>2569</v>
      </c>
      <c r="BE78" s="8" t="s">
        <v>821</v>
      </c>
      <c r="BF78" s="13" t="str">
        <f>HYPERLINK("http://dx.doi.org/10.1371/journal.pone.0054216","http://dx.doi.org/10.1371/journal.pone.0054216")</f>
        <v>http://dx.doi.org/10.1371/journal.pone.0054216</v>
      </c>
      <c r="BG78" s="8" t="s">
        <v>969</v>
      </c>
      <c r="BH78" s="8" t="s">
        <v>969</v>
      </c>
      <c r="BI78" s="8">
        <v>13.0</v>
      </c>
      <c r="BJ78" s="8" t="s">
        <v>1076</v>
      </c>
      <c r="BK78" s="8" t="s">
        <v>988</v>
      </c>
      <c r="BL78" s="8" t="s">
        <v>1077</v>
      </c>
      <c r="BM78" s="8" t="s">
        <v>2570</v>
      </c>
      <c r="BN78" s="8">
        <v>2.3349829E7</v>
      </c>
      <c r="BO78" s="8" t="s">
        <v>1140</v>
      </c>
      <c r="BP78" s="8" t="s">
        <v>969</v>
      </c>
      <c r="BQ78" s="8" t="s">
        <v>969</v>
      </c>
      <c r="BR78" s="8" t="s">
        <v>3231</v>
      </c>
      <c r="BS78" s="8" t="s">
        <v>2571</v>
      </c>
      <c r="BT78" s="3" t="s">
        <v>3232</v>
      </c>
      <c r="BU78" s="8" t="str">
        <f>HYPERLINK("https%3A%2F%2Fwww.webofscience.com%2Fwos%2Fwoscc%2Ffull-record%2FWOS:000314019100051","View Full Record in Web of Science")</f>
        <v>View Full Record in Web of Science</v>
      </c>
    </row>
    <row r="79" ht="12.75" customHeight="1">
      <c r="A79" s="8" t="s">
        <v>967</v>
      </c>
      <c r="B79" s="8" t="s">
        <v>2692</v>
      </c>
      <c r="C79" s="8" t="s">
        <v>969</v>
      </c>
      <c r="D79" s="8" t="s">
        <v>969</v>
      </c>
      <c r="E79" s="8" t="s">
        <v>969</v>
      </c>
      <c r="F79" s="8" t="s">
        <v>2693</v>
      </c>
      <c r="G79" s="8" t="s">
        <v>969</v>
      </c>
      <c r="H79" s="8" t="s">
        <v>969</v>
      </c>
      <c r="I79" s="8" t="s">
        <v>2694</v>
      </c>
      <c r="J79" s="8" t="s">
        <v>2695</v>
      </c>
      <c r="K79" s="8" t="s">
        <v>969</v>
      </c>
      <c r="L79" s="8" t="s">
        <v>969</v>
      </c>
      <c r="M79" s="8" t="s">
        <v>972</v>
      </c>
      <c r="N79" s="8" t="s">
        <v>973</v>
      </c>
      <c r="O79" s="8" t="s">
        <v>969</v>
      </c>
      <c r="P79" s="8" t="s">
        <v>969</v>
      </c>
      <c r="Q79" s="8" t="s">
        <v>969</v>
      </c>
      <c r="R79" s="8" t="s">
        <v>969</v>
      </c>
      <c r="S79" s="8" t="s">
        <v>969</v>
      </c>
      <c r="T79" s="8" t="s">
        <v>2696</v>
      </c>
      <c r="U79" s="8" t="s">
        <v>2697</v>
      </c>
      <c r="V79" s="8" t="s">
        <v>2698</v>
      </c>
      <c r="W79" s="8" t="s">
        <v>2699</v>
      </c>
      <c r="X79" s="8" t="s">
        <v>2700</v>
      </c>
      <c r="Y79" s="8" t="s">
        <v>2701</v>
      </c>
      <c r="Z79" s="8" t="s">
        <v>2225</v>
      </c>
      <c r="AA79" s="8" t="s">
        <v>3005</v>
      </c>
      <c r="AB79" s="8" t="s">
        <v>2227</v>
      </c>
      <c r="AC79" s="8" t="s">
        <v>2702</v>
      </c>
      <c r="AD79" s="8" t="s">
        <v>2703</v>
      </c>
      <c r="AE79" s="8" t="s">
        <v>2704</v>
      </c>
      <c r="AF79" s="8" t="s">
        <v>969</v>
      </c>
      <c r="AG79" s="8">
        <v>54.0</v>
      </c>
      <c r="AH79" s="8">
        <v>52.0</v>
      </c>
      <c r="AI79" s="8">
        <v>81.0</v>
      </c>
      <c r="AJ79" s="8">
        <v>5.0</v>
      </c>
      <c r="AK79" s="8">
        <v>152.0</v>
      </c>
      <c r="AL79" s="8" t="s">
        <v>2705</v>
      </c>
      <c r="AM79" s="8" t="s">
        <v>2706</v>
      </c>
      <c r="AN79" s="8" t="s">
        <v>2707</v>
      </c>
      <c r="AO79" s="8" t="s">
        <v>2708</v>
      </c>
      <c r="AP79" s="8" t="s">
        <v>2709</v>
      </c>
      <c r="AQ79" s="8" t="s">
        <v>969</v>
      </c>
      <c r="AR79" s="8" t="s">
        <v>2710</v>
      </c>
      <c r="AS79" s="8" t="s">
        <v>2711</v>
      </c>
      <c r="AT79" s="8" t="s">
        <v>1211</v>
      </c>
      <c r="AU79" s="8">
        <v>2013.0</v>
      </c>
      <c r="AV79" s="8">
        <v>13.0</v>
      </c>
      <c r="AW79" s="8">
        <v>4.0</v>
      </c>
      <c r="AX79" s="8" t="s">
        <v>969</v>
      </c>
      <c r="AY79" s="8" t="s">
        <v>969</v>
      </c>
      <c r="AZ79" s="8" t="s">
        <v>2350</v>
      </c>
      <c r="BA79" s="8" t="s">
        <v>969</v>
      </c>
      <c r="BB79" s="8">
        <v>843.0</v>
      </c>
      <c r="BC79" s="8">
        <v>852.0</v>
      </c>
      <c r="BD79" s="8" t="s">
        <v>969</v>
      </c>
      <c r="BE79" s="8" t="s">
        <v>515</v>
      </c>
      <c r="BF79" s="13" t="str">
        <f>HYPERLINK("http://dx.doi.org/10.1007/s10113-012-0344-z","http://dx.doi.org/10.1007/s10113-012-0344-z")</f>
        <v>http://dx.doi.org/10.1007/s10113-012-0344-z</v>
      </c>
      <c r="BG79" s="8" t="s">
        <v>969</v>
      </c>
      <c r="BH79" s="8" t="s">
        <v>969</v>
      </c>
      <c r="BI79" s="8">
        <v>10.0</v>
      </c>
      <c r="BJ79" s="8" t="s">
        <v>2712</v>
      </c>
      <c r="BK79" s="8" t="s">
        <v>1519</v>
      </c>
      <c r="BL79" s="8" t="s">
        <v>1268</v>
      </c>
      <c r="BM79" s="8" t="s">
        <v>2713</v>
      </c>
      <c r="BN79" s="8" t="s">
        <v>969</v>
      </c>
      <c r="BO79" s="8" t="s">
        <v>969</v>
      </c>
      <c r="BP79" s="8" t="s">
        <v>969</v>
      </c>
      <c r="BQ79" s="8" t="s">
        <v>969</v>
      </c>
      <c r="BR79" s="8" t="s">
        <v>3231</v>
      </c>
      <c r="BS79" s="8" t="s">
        <v>2714</v>
      </c>
      <c r="BT79" s="3" t="s">
        <v>3232</v>
      </c>
      <c r="BU79" s="8" t="str">
        <f>HYPERLINK("https%3A%2F%2Fwww.webofscience.com%2Fwos%2Fwoscc%2Ffull-record%2FWOS:000322671700008","View Full Record in Web of Science")</f>
        <v>View Full Record in Web of Science</v>
      </c>
    </row>
    <row r="80" ht="12.75" customHeight="1">
      <c r="A80" s="8" t="s">
        <v>967</v>
      </c>
      <c r="B80" s="8" t="s">
        <v>2198</v>
      </c>
      <c r="C80" s="8" t="s">
        <v>969</v>
      </c>
      <c r="D80" s="8" t="s">
        <v>969</v>
      </c>
      <c r="E80" s="8" t="s">
        <v>969</v>
      </c>
      <c r="F80" s="8" t="s">
        <v>2199</v>
      </c>
      <c r="G80" s="8" t="s">
        <v>969</v>
      </c>
      <c r="H80" s="8" t="s">
        <v>969</v>
      </c>
      <c r="I80" s="8" t="s">
        <v>2200</v>
      </c>
      <c r="J80" s="8" t="s">
        <v>1951</v>
      </c>
      <c r="K80" s="8" t="s">
        <v>969</v>
      </c>
      <c r="L80" s="8" t="s">
        <v>969</v>
      </c>
      <c r="M80" s="8" t="s">
        <v>972</v>
      </c>
      <c r="N80" s="8" t="s">
        <v>973</v>
      </c>
      <c r="O80" s="8" t="s">
        <v>969</v>
      </c>
      <c r="P80" s="8" t="s">
        <v>969</v>
      </c>
      <c r="Q80" s="8" t="s">
        <v>969</v>
      </c>
      <c r="R80" s="8" t="s">
        <v>969</v>
      </c>
      <c r="S80" s="8" t="s">
        <v>969</v>
      </c>
      <c r="T80" s="8" t="s">
        <v>969</v>
      </c>
      <c r="U80" s="8" t="s">
        <v>2201</v>
      </c>
      <c r="V80" s="8" t="s">
        <v>2202</v>
      </c>
      <c r="W80" s="8" t="s">
        <v>2203</v>
      </c>
      <c r="X80" s="8" t="s">
        <v>3311</v>
      </c>
      <c r="Y80" s="8" t="s">
        <v>2205</v>
      </c>
      <c r="Z80" s="8" t="s">
        <v>2206</v>
      </c>
      <c r="AA80" s="8" t="s">
        <v>3312</v>
      </c>
      <c r="AB80" s="8" t="s">
        <v>3313</v>
      </c>
      <c r="AC80" s="8" t="s">
        <v>3199</v>
      </c>
      <c r="AD80" s="8" t="s">
        <v>3200</v>
      </c>
      <c r="AE80" s="8" t="s">
        <v>2211</v>
      </c>
      <c r="AF80" s="8" t="s">
        <v>969</v>
      </c>
      <c r="AG80" s="8">
        <v>28.0</v>
      </c>
      <c r="AH80" s="8">
        <v>1536.0</v>
      </c>
      <c r="AI80" s="8">
        <v>1775.0</v>
      </c>
      <c r="AJ80" s="8">
        <v>8.0</v>
      </c>
      <c r="AK80" s="8">
        <v>775.0</v>
      </c>
      <c r="AL80" s="8" t="s">
        <v>1963</v>
      </c>
      <c r="AM80" s="8" t="s">
        <v>1388</v>
      </c>
      <c r="AN80" s="8" t="s">
        <v>1964</v>
      </c>
      <c r="AO80" s="8" t="s">
        <v>1965</v>
      </c>
      <c r="AP80" s="8" t="s">
        <v>1966</v>
      </c>
      <c r="AQ80" s="8" t="s">
        <v>969</v>
      </c>
      <c r="AR80" s="8" t="s">
        <v>1951</v>
      </c>
      <c r="AS80" s="8" t="s">
        <v>1967</v>
      </c>
      <c r="AT80" s="8" t="s">
        <v>2212</v>
      </c>
      <c r="AU80" s="8">
        <v>2010.0</v>
      </c>
      <c r="AV80" s="8">
        <v>328.0</v>
      </c>
      <c r="AW80" s="8">
        <v>5980.0</v>
      </c>
      <c r="AX80" s="8" t="s">
        <v>969</v>
      </c>
      <c r="AY80" s="8" t="s">
        <v>969</v>
      </c>
      <c r="AZ80" s="8" t="s">
        <v>969</v>
      </c>
      <c r="BA80" s="8" t="s">
        <v>969</v>
      </c>
      <c r="BB80" s="8">
        <v>894.0</v>
      </c>
      <c r="BC80" s="8">
        <v>899.0</v>
      </c>
      <c r="BD80" s="8" t="s">
        <v>969</v>
      </c>
      <c r="BE80" s="8" t="s">
        <v>800</v>
      </c>
      <c r="BF80" s="13" t="str">
        <f>HYPERLINK("http://dx.doi.org/10.1126/science.1184695","http://dx.doi.org/10.1126/science.1184695")</f>
        <v>http://dx.doi.org/10.1126/science.1184695</v>
      </c>
      <c r="BG80" s="8" t="s">
        <v>969</v>
      </c>
      <c r="BH80" s="8" t="s">
        <v>969</v>
      </c>
      <c r="BI80" s="8">
        <v>6.0</v>
      </c>
      <c r="BJ80" s="8" t="s">
        <v>1076</v>
      </c>
      <c r="BK80" s="8" t="s">
        <v>988</v>
      </c>
      <c r="BL80" s="8" t="s">
        <v>1077</v>
      </c>
      <c r="BM80" s="8" t="s">
        <v>2213</v>
      </c>
      <c r="BN80" s="8">
        <v>2.0466932E7</v>
      </c>
      <c r="BO80" s="8" t="s">
        <v>1227</v>
      </c>
      <c r="BP80" s="8" t="s">
        <v>969</v>
      </c>
      <c r="BQ80" s="8" t="s">
        <v>969</v>
      </c>
      <c r="BR80" s="8" t="s">
        <v>3231</v>
      </c>
      <c r="BS80" s="8" t="s">
        <v>2214</v>
      </c>
      <c r="BT80" s="3" t="s">
        <v>3232</v>
      </c>
      <c r="BU80" s="8" t="str">
        <f>HYPERLINK("https%3A%2F%2Fwww.webofscience.com%2Fwos%2Fwoscc%2Ffull-record%2FWOS:000277618800050","View Full Record in Web of Science")</f>
        <v>View Full Record in Web of Science</v>
      </c>
    </row>
    <row r="81" ht="12.75" customHeight="1">
      <c r="A81" s="8" t="s">
        <v>967</v>
      </c>
      <c r="B81" s="8" t="s">
        <v>1229</v>
      </c>
      <c r="C81" s="8" t="s">
        <v>969</v>
      </c>
      <c r="D81" s="8" t="s">
        <v>969</v>
      </c>
      <c r="E81" s="8" t="s">
        <v>969</v>
      </c>
      <c r="F81" s="8" t="s">
        <v>1229</v>
      </c>
      <c r="G81" s="8" t="s">
        <v>969</v>
      </c>
      <c r="H81" s="8" t="s">
        <v>969</v>
      </c>
      <c r="I81" s="8" t="s">
        <v>1230</v>
      </c>
      <c r="J81" s="8" t="s">
        <v>1062</v>
      </c>
      <c r="K81" s="8" t="s">
        <v>969</v>
      </c>
      <c r="L81" s="8" t="s">
        <v>969</v>
      </c>
      <c r="M81" s="8" t="s">
        <v>972</v>
      </c>
      <c r="N81" s="8" t="s">
        <v>973</v>
      </c>
      <c r="O81" s="8" t="s">
        <v>969</v>
      </c>
      <c r="P81" s="8" t="s">
        <v>969</v>
      </c>
      <c r="Q81" s="8" t="s">
        <v>969</v>
      </c>
      <c r="R81" s="8" t="s">
        <v>969</v>
      </c>
      <c r="S81" s="8" t="s">
        <v>969</v>
      </c>
      <c r="T81" s="8" t="s">
        <v>969</v>
      </c>
      <c r="U81" s="8" t="s">
        <v>1231</v>
      </c>
      <c r="V81" s="8" t="s">
        <v>1232</v>
      </c>
      <c r="W81" s="8" t="s">
        <v>1233</v>
      </c>
      <c r="X81" s="8" t="s">
        <v>1234</v>
      </c>
      <c r="Y81" s="8" t="s">
        <v>1235</v>
      </c>
      <c r="Z81" s="8" t="s">
        <v>1236</v>
      </c>
      <c r="AA81" s="8" t="s">
        <v>3314</v>
      </c>
      <c r="AB81" s="8" t="s">
        <v>3315</v>
      </c>
      <c r="AC81" s="8" t="s">
        <v>1239</v>
      </c>
      <c r="AD81" s="8" t="s">
        <v>1240</v>
      </c>
      <c r="AE81" s="8" t="s">
        <v>969</v>
      </c>
      <c r="AF81" s="8" t="s">
        <v>969</v>
      </c>
      <c r="AG81" s="8">
        <v>30.0</v>
      </c>
      <c r="AH81" s="8">
        <v>5476.0</v>
      </c>
      <c r="AI81" s="8">
        <v>6616.0</v>
      </c>
      <c r="AJ81" s="8">
        <v>46.0</v>
      </c>
      <c r="AK81" s="8">
        <v>6063.0</v>
      </c>
      <c r="AL81" s="8" t="s">
        <v>1241</v>
      </c>
      <c r="AM81" s="8" t="s">
        <v>1242</v>
      </c>
      <c r="AN81" s="8" t="s">
        <v>1243</v>
      </c>
      <c r="AO81" s="8" t="s">
        <v>1073</v>
      </c>
      <c r="AP81" s="8" t="s">
        <v>1244</v>
      </c>
      <c r="AQ81" s="8" t="s">
        <v>969</v>
      </c>
      <c r="AR81" s="8" t="s">
        <v>1062</v>
      </c>
      <c r="AS81" s="8" t="s">
        <v>1074</v>
      </c>
      <c r="AT81" s="8" t="s">
        <v>1245</v>
      </c>
      <c r="AU81" s="8">
        <v>2004.0</v>
      </c>
      <c r="AV81" s="8">
        <v>427.0</v>
      </c>
      <c r="AW81" s="8">
        <v>6970.0</v>
      </c>
      <c r="AX81" s="8" t="s">
        <v>969</v>
      </c>
      <c r="AY81" s="8" t="s">
        <v>969</v>
      </c>
      <c r="AZ81" s="8" t="s">
        <v>969</v>
      </c>
      <c r="BA81" s="8" t="s">
        <v>969</v>
      </c>
      <c r="BB81" s="8">
        <v>145.0</v>
      </c>
      <c r="BC81" s="8">
        <v>148.0</v>
      </c>
      <c r="BD81" s="8" t="s">
        <v>969</v>
      </c>
      <c r="BE81" s="8" t="s">
        <v>593</v>
      </c>
      <c r="BF81" s="13" t="str">
        <f>HYPERLINK("http://dx.doi.org/10.1038/nature02121","http://dx.doi.org/10.1038/nature02121")</f>
        <v>http://dx.doi.org/10.1038/nature02121</v>
      </c>
      <c r="BG81" s="8" t="s">
        <v>969</v>
      </c>
      <c r="BH81" s="8" t="s">
        <v>969</v>
      </c>
      <c r="BI81" s="8">
        <v>4.0</v>
      </c>
      <c r="BJ81" s="8" t="s">
        <v>1076</v>
      </c>
      <c r="BK81" s="8" t="s">
        <v>988</v>
      </c>
      <c r="BL81" s="8" t="s">
        <v>1077</v>
      </c>
      <c r="BM81" s="8" t="s">
        <v>1246</v>
      </c>
      <c r="BN81" s="8">
        <v>1.4712274E7</v>
      </c>
      <c r="BO81" s="8" t="s">
        <v>1247</v>
      </c>
      <c r="BP81" s="8" t="s">
        <v>969</v>
      </c>
      <c r="BQ81" s="8" t="s">
        <v>969</v>
      </c>
      <c r="BR81" s="8" t="s">
        <v>3231</v>
      </c>
      <c r="BS81" s="8" t="s">
        <v>1248</v>
      </c>
      <c r="BT81" s="3" t="s">
        <v>3232</v>
      </c>
      <c r="BU81" s="8" t="str">
        <f>HYPERLINK("https%3A%2F%2Fwww.webofscience.com%2Fwos%2Fwoscc%2Ffull-record%2FWOS:000187863900033","View Full Record in Web of Science")</f>
        <v>View Full Record in Web of Science</v>
      </c>
    </row>
    <row r="82" ht="12.75" customHeight="1">
      <c r="A82" s="8" t="s">
        <v>967</v>
      </c>
      <c r="B82" s="8" t="s">
        <v>2131</v>
      </c>
      <c r="C82" s="8" t="s">
        <v>969</v>
      </c>
      <c r="D82" s="8" t="s">
        <v>969</v>
      </c>
      <c r="E82" s="8" t="s">
        <v>969</v>
      </c>
      <c r="F82" s="8" t="s">
        <v>2132</v>
      </c>
      <c r="G82" s="8" t="s">
        <v>969</v>
      </c>
      <c r="H82" s="8" t="s">
        <v>969</v>
      </c>
      <c r="I82" s="8" t="s">
        <v>2133</v>
      </c>
      <c r="J82" s="8" t="s">
        <v>2018</v>
      </c>
      <c r="K82" s="8" t="s">
        <v>969</v>
      </c>
      <c r="L82" s="8" t="s">
        <v>969</v>
      </c>
      <c r="M82" s="8" t="s">
        <v>972</v>
      </c>
      <c r="N82" s="8" t="s">
        <v>973</v>
      </c>
      <c r="O82" s="8" t="s">
        <v>969</v>
      </c>
      <c r="P82" s="8" t="s">
        <v>969</v>
      </c>
      <c r="Q82" s="8" t="s">
        <v>969</v>
      </c>
      <c r="R82" s="8" t="s">
        <v>969</v>
      </c>
      <c r="S82" s="8" t="s">
        <v>969</v>
      </c>
      <c r="T82" s="8" t="s">
        <v>2134</v>
      </c>
      <c r="U82" s="8" t="s">
        <v>2135</v>
      </c>
      <c r="V82" s="8" t="s">
        <v>2136</v>
      </c>
      <c r="W82" s="8" t="s">
        <v>2137</v>
      </c>
      <c r="X82" s="8" t="s">
        <v>3316</v>
      </c>
      <c r="Y82" s="8" t="s">
        <v>2139</v>
      </c>
      <c r="Z82" s="8" t="s">
        <v>2140</v>
      </c>
      <c r="AA82" s="8" t="s">
        <v>3160</v>
      </c>
      <c r="AB82" s="8" t="s">
        <v>969</v>
      </c>
      <c r="AC82" s="8" t="s">
        <v>2142</v>
      </c>
      <c r="AD82" s="8" t="s">
        <v>2143</v>
      </c>
      <c r="AE82" s="8" t="s">
        <v>2144</v>
      </c>
      <c r="AF82" s="8" t="s">
        <v>969</v>
      </c>
      <c r="AG82" s="8">
        <v>97.0</v>
      </c>
      <c r="AH82" s="8">
        <v>380.0</v>
      </c>
      <c r="AI82" s="8">
        <v>442.0</v>
      </c>
      <c r="AJ82" s="8">
        <v>1.0</v>
      </c>
      <c r="AK82" s="8">
        <v>288.0</v>
      </c>
      <c r="AL82" s="8" t="s">
        <v>1091</v>
      </c>
      <c r="AM82" s="8" t="s">
        <v>1092</v>
      </c>
      <c r="AN82" s="8" t="s">
        <v>1093</v>
      </c>
      <c r="AO82" s="8" t="s">
        <v>2033</v>
      </c>
      <c r="AP82" s="8" t="s">
        <v>2034</v>
      </c>
      <c r="AQ82" s="8" t="s">
        <v>969</v>
      </c>
      <c r="AR82" s="8" t="s">
        <v>2018</v>
      </c>
      <c r="AS82" s="8" t="s">
        <v>1267</v>
      </c>
      <c r="AT82" s="8" t="s">
        <v>1177</v>
      </c>
      <c r="AU82" s="8">
        <v>2009.0</v>
      </c>
      <c r="AV82" s="8">
        <v>90.0</v>
      </c>
      <c r="AW82" s="8">
        <v>5.0</v>
      </c>
      <c r="AX82" s="8" t="s">
        <v>969</v>
      </c>
      <c r="AY82" s="8" t="s">
        <v>969</v>
      </c>
      <c r="AZ82" s="8" t="s">
        <v>969</v>
      </c>
      <c r="BA82" s="8" t="s">
        <v>969</v>
      </c>
      <c r="BB82" s="8">
        <v>1301.0</v>
      </c>
      <c r="BC82" s="8">
        <v>1313.0</v>
      </c>
      <c r="BD82" s="8" t="s">
        <v>969</v>
      </c>
      <c r="BE82" s="8" t="s">
        <v>839</v>
      </c>
      <c r="BF82" s="13" t="str">
        <f>HYPERLINK("http://dx.doi.org/10.1890/08-0134.1","http://dx.doi.org/10.1890/08-0134.1")</f>
        <v>http://dx.doi.org/10.1890/08-0134.1</v>
      </c>
      <c r="BG82" s="8" t="s">
        <v>969</v>
      </c>
      <c r="BH82" s="8" t="s">
        <v>969</v>
      </c>
      <c r="BI82" s="8">
        <v>13.0</v>
      </c>
      <c r="BJ82" s="8" t="s">
        <v>1267</v>
      </c>
      <c r="BK82" s="8" t="s">
        <v>988</v>
      </c>
      <c r="BL82" s="8" t="s">
        <v>1268</v>
      </c>
      <c r="BM82" s="8" t="s">
        <v>2145</v>
      </c>
      <c r="BN82" s="8">
        <v>1.953755E7</v>
      </c>
      <c r="BO82" s="8" t="s">
        <v>969</v>
      </c>
      <c r="BP82" s="8" t="s">
        <v>969</v>
      </c>
      <c r="BQ82" s="8" t="s">
        <v>969</v>
      </c>
      <c r="BR82" s="8" t="s">
        <v>3231</v>
      </c>
      <c r="BS82" s="8" t="s">
        <v>2146</v>
      </c>
      <c r="BT82" s="3" t="s">
        <v>3232</v>
      </c>
      <c r="BU82" s="8" t="str">
        <f>HYPERLINK("https%3A%2F%2Fwww.webofscience.com%2Fwos%2Fwoscc%2Ffull-record%2FWOS:000265816200012","View Full Record in Web of Science")</f>
        <v>View Full Record in Web of Science</v>
      </c>
    </row>
    <row r="83" ht="12.75" customHeight="1">
      <c r="A83" s="8" t="s">
        <v>967</v>
      </c>
      <c r="B83" s="8" t="s">
        <v>2037</v>
      </c>
      <c r="C83" s="8" t="s">
        <v>969</v>
      </c>
      <c r="D83" s="8" t="s">
        <v>969</v>
      </c>
      <c r="E83" s="8" t="s">
        <v>969</v>
      </c>
      <c r="F83" s="8" t="s">
        <v>2038</v>
      </c>
      <c r="G83" s="8" t="s">
        <v>969</v>
      </c>
      <c r="H83" s="8" t="s">
        <v>969</v>
      </c>
      <c r="I83" s="8" t="s">
        <v>2039</v>
      </c>
      <c r="J83" s="8" t="s">
        <v>1974</v>
      </c>
      <c r="K83" s="8" t="s">
        <v>969</v>
      </c>
      <c r="L83" s="8" t="s">
        <v>969</v>
      </c>
      <c r="M83" s="8" t="s">
        <v>972</v>
      </c>
      <c r="N83" s="8" t="s">
        <v>973</v>
      </c>
      <c r="O83" s="8" t="s">
        <v>969</v>
      </c>
      <c r="P83" s="8" t="s">
        <v>969</v>
      </c>
      <c r="Q83" s="8" t="s">
        <v>969</v>
      </c>
      <c r="R83" s="8" t="s">
        <v>969</v>
      </c>
      <c r="S83" s="8" t="s">
        <v>969</v>
      </c>
      <c r="T83" s="8" t="s">
        <v>969</v>
      </c>
      <c r="U83" s="8" t="s">
        <v>2040</v>
      </c>
      <c r="V83" s="8" t="s">
        <v>2041</v>
      </c>
      <c r="W83" s="8" t="s">
        <v>2042</v>
      </c>
      <c r="X83" s="8" t="s">
        <v>2043</v>
      </c>
      <c r="Y83" s="8" t="s">
        <v>2044</v>
      </c>
      <c r="Z83" s="8" t="s">
        <v>2045</v>
      </c>
      <c r="AA83" s="8" t="s">
        <v>3164</v>
      </c>
      <c r="AB83" s="8" t="s">
        <v>3165</v>
      </c>
      <c r="AC83" s="8" t="s">
        <v>969</v>
      </c>
      <c r="AD83" s="8" t="s">
        <v>969</v>
      </c>
      <c r="AE83" s="8" t="s">
        <v>969</v>
      </c>
      <c r="AF83" s="8" t="s">
        <v>969</v>
      </c>
      <c r="AG83" s="8">
        <v>65.0</v>
      </c>
      <c r="AH83" s="8">
        <v>343.0</v>
      </c>
      <c r="AI83" s="8">
        <v>448.0</v>
      </c>
      <c r="AJ83" s="8">
        <v>0.0</v>
      </c>
      <c r="AK83" s="8">
        <v>122.0</v>
      </c>
      <c r="AL83" s="8" t="s">
        <v>1985</v>
      </c>
      <c r="AM83" s="8" t="s">
        <v>1986</v>
      </c>
      <c r="AN83" s="8" t="s">
        <v>1987</v>
      </c>
      <c r="AO83" s="8" t="s">
        <v>1988</v>
      </c>
      <c r="AP83" s="8" t="s">
        <v>969</v>
      </c>
      <c r="AQ83" s="8" t="s">
        <v>969</v>
      </c>
      <c r="AR83" s="8" t="s">
        <v>1974</v>
      </c>
      <c r="AS83" s="8" t="s">
        <v>1989</v>
      </c>
      <c r="AT83" s="8" t="s">
        <v>2048</v>
      </c>
      <c r="AU83" s="8">
        <v>2008.0</v>
      </c>
      <c r="AV83" s="8">
        <v>3.0</v>
      </c>
      <c r="AW83" s="8">
        <v>6.0</v>
      </c>
      <c r="AX83" s="8" t="s">
        <v>969</v>
      </c>
      <c r="AY83" s="8" t="s">
        <v>969</v>
      </c>
      <c r="AZ83" s="8" t="s">
        <v>969</v>
      </c>
      <c r="BA83" s="8" t="s">
        <v>969</v>
      </c>
      <c r="BB83" s="8" t="s">
        <v>969</v>
      </c>
      <c r="BC83" s="8" t="s">
        <v>969</v>
      </c>
      <c r="BD83" s="8" t="s">
        <v>2049</v>
      </c>
      <c r="BE83" s="8" t="s">
        <v>812</v>
      </c>
      <c r="BF83" s="13" t="str">
        <f>HYPERLINK("http://dx.doi.org/10.1371/journal.pone.0002502","http://dx.doi.org/10.1371/journal.pone.0002502")</f>
        <v>http://dx.doi.org/10.1371/journal.pone.0002502</v>
      </c>
      <c r="BG83" s="8" t="s">
        <v>969</v>
      </c>
      <c r="BH83" s="8" t="s">
        <v>969</v>
      </c>
      <c r="BI83" s="8">
        <v>10.0</v>
      </c>
      <c r="BJ83" s="8" t="s">
        <v>1076</v>
      </c>
      <c r="BK83" s="8" t="s">
        <v>988</v>
      </c>
      <c r="BL83" s="8" t="s">
        <v>1077</v>
      </c>
      <c r="BM83" s="8" t="s">
        <v>2050</v>
      </c>
      <c r="BN83" s="8">
        <v>1.8648541E7</v>
      </c>
      <c r="BO83" s="8" t="s">
        <v>1140</v>
      </c>
      <c r="BP83" s="8" t="s">
        <v>969</v>
      </c>
      <c r="BQ83" s="8" t="s">
        <v>969</v>
      </c>
      <c r="BR83" s="8" t="s">
        <v>3231</v>
      </c>
      <c r="BS83" s="8" t="s">
        <v>2051</v>
      </c>
      <c r="BT83" s="3" t="s">
        <v>3232</v>
      </c>
      <c r="BU83" s="8" t="str">
        <f>HYPERLINK("https%3A%2F%2Fwww.webofscience.com%2Fwos%2Fwoscc%2Ffull-record%2FWOS:000263288000024","View Full Record in Web of Science")</f>
        <v>View Full Record in Web of Science</v>
      </c>
    </row>
    <row r="84" ht="12.75" customHeight="1">
      <c r="A84" s="8" t="s">
        <v>967</v>
      </c>
      <c r="B84" s="8" t="s">
        <v>1971</v>
      </c>
      <c r="C84" s="8" t="s">
        <v>969</v>
      </c>
      <c r="D84" s="8" t="s">
        <v>969</v>
      </c>
      <c r="E84" s="8" t="s">
        <v>969</v>
      </c>
      <c r="F84" s="8" t="s">
        <v>1972</v>
      </c>
      <c r="G84" s="8" t="s">
        <v>969</v>
      </c>
      <c r="H84" s="8" t="s">
        <v>969</v>
      </c>
      <c r="I84" s="8" t="s">
        <v>1973</v>
      </c>
      <c r="J84" s="8" t="s">
        <v>1974</v>
      </c>
      <c r="K84" s="8" t="s">
        <v>969</v>
      </c>
      <c r="L84" s="8" t="s">
        <v>969</v>
      </c>
      <c r="M84" s="8" t="s">
        <v>972</v>
      </c>
      <c r="N84" s="8" t="s">
        <v>973</v>
      </c>
      <c r="O84" s="8" t="s">
        <v>969</v>
      </c>
      <c r="P84" s="8" t="s">
        <v>969</v>
      </c>
      <c r="Q84" s="8" t="s">
        <v>969</v>
      </c>
      <c r="R84" s="8" t="s">
        <v>969</v>
      </c>
      <c r="S84" s="8" t="s">
        <v>969</v>
      </c>
      <c r="T84" s="8" t="s">
        <v>969</v>
      </c>
      <c r="U84" s="8" t="s">
        <v>969</v>
      </c>
      <c r="V84" s="8" t="s">
        <v>1975</v>
      </c>
      <c r="W84" s="8" t="s">
        <v>1976</v>
      </c>
      <c r="X84" s="8" t="s">
        <v>1977</v>
      </c>
      <c r="Y84" s="8" t="s">
        <v>1978</v>
      </c>
      <c r="Z84" s="8" t="s">
        <v>1979</v>
      </c>
      <c r="AA84" s="8" t="s">
        <v>1980</v>
      </c>
      <c r="AB84" s="8" t="s">
        <v>1981</v>
      </c>
      <c r="AC84" s="8" t="s">
        <v>1982</v>
      </c>
      <c r="AD84" s="8" t="s">
        <v>1983</v>
      </c>
      <c r="AE84" s="8" t="s">
        <v>1984</v>
      </c>
      <c r="AF84" s="8" t="s">
        <v>969</v>
      </c>
      <c r="AG84" s="8">
        <v>47.0</v>
      </c>
      <c r="AH84" s="8">
        <v>220.0</v>
      </c>
      <c r="AI84" s="8">
        <v>245.0</v>
      </c>
      <c r="AJ84" s="8">
        <v>0.0</v>
      </c>
      <c r="AK84" s="8">
        <v>96.0</v>
      </c>
      <c r="AL84" s="8" t="s">
        <v>1985</v>
      </c>
      <c r="AM84" s="8" t="s">
        <v>1986</v>
      </c>
      <c r="AN84" s="8" t="s">
        <v>1987</v>
      </c>
      <c r="AO84" s="8" t="s">
        <v>1988</v>
      </c>
      <c r="AP84" s="8" t="s">
        <v>969</v>
      </c>
      <c r="AQ84" s="8" t="s">
        <v>969</v>
      </c>
      <c r="AR84" s="8" t="s">
        <v>1974</v>
      </c>
      <c r="AS84" s="8" t="s">
        <v>1989</v>
      </c>
      <c r="AT84" s="8" t="s">
        <v>1990</v>
      </c>
      <c r="AU84" s="8">
        <v>2008.0</v>
      </c>
      <c r="AV84" s="8">
        <v>3.0</v>
      </c>
      <c r="AW84" s="8">
        <v>1.0</v>
      </c>
      <c r="AX84" s="8" t="s">
        <v>969</v>
      </c>
      <c r="AY84" s="8" t="s">
        <v>969</v>
      </c>
      <c r="AZ84" s="8" t="s">
        <v>969</v>
      </c>
      <c r="BA84" s="8" t="s">
        <v>969</v>
      </c>
      <c r="BB84" s="8" t="s">
        <v>969</v>
      </c>
      <c r="BC84" s="8" t="s">
        <v>969</v>
      </c>
      <c r="BD84" s="8" t="s">
        <v>1991</v>
      </c>
      <c r="BE84" s="8" t="s">
        <v>809</v>
      </c>
      <c r="BF84" s="13" t="str">
        <f>HYPERLINK("http://dx.doi.org/10.1371/journal.pone.0001439","http://dx.doi.org/10.1371/journal.pone.0001439")</f>
        <v>http://dx.doi.org/10.1371/journal.pone.0001439</v>
      </c>
      <c r="BG84" s="8" t="s">
        <v>969</v>
      </c>
      <c r="BH84" s="8" t="s">
        <v>969</v>
      </c>
      <c r="BI84" s="8">
        <v>11.0</v>
      </c>
      <c r="BJ84" s="8" t="s">
        <v>1076</v>
      </c>
      <c r="BK84" s="8" t="s">
        <v>988</v>
      </c>
      <c r="BL84" s="8" t="s">
        <v>1077</v>
      </c>
      <c r="BM84" s="8" t="s">
        <v>1992</v>
      </c>
      <c r="BN84" s="8">
        <v>1.819725E7</v>
      </c>
      <c r="BO84" s="8" t="s">
        <v>1993</v>
      </c>
      <c r="BP84" s="8" t="s">
        <v>969</v>
      </c>
      <c r="BQ84" s="8" t="s">
        <v>969</v>
      </c>
      <c r="BR84" s="8" t="s">
        <v>3231</v>
      </c>
      <c r="BS84" s="8" t="s">
        <v>1994</v>
      </c>
      <c r="BT84" s="3" t="s">
        <v>3232</v>
      </c>
      <c r="BU84" s="8" t="str">
        <f>HYPERLINK("https%3A%2F%2Fwww.webofscience.com%2Fwos%2Fwoscc%2Ffull-record%2FWOS:000260503800011","View Full Record in Web of Science")</f>
        <v>View Full Record in Web of Science</v>
      </c>
    </row>
    <row r="85" ht="12.75" customHeight="1">
      <c r="A85" s="8" t="s">
        <v>967</v>
      </c>
      <c r="B85" s="8" t="s">
        <v>2536</v>
      </c>
      <c r="C85" s="8" t="s">
        <v>969</v>
      </c>
      <c r="D85" s="8" t="s">
        <v>969</v>
      </c>
      <c r="E85" s="8" t="s">
        <v>969</v>
      </c>
      <c r="F85" s="8" t="s">
        <v>2537</v>
      </c>
      <c r="G85" s="8" t="s">
        <v>969</v>
      </c>
      <c r="H85" s="8" t="s">
        <v>969</v>
      </c>
      <c r="I85" s="8" t="s">
        <v>2538</v>
      </c>
      <c r="J85" s="8" t="s">
        <v>1974</v>
      </c>
      <c r="K85" s="8" t="s">
        <v>969</v>
      </c>
      <c r="L85" s="8" t="s">
        <v>969</v>
      </c>
      <c r="M85" s="8" t="s">
        <v>972</v>
      </c>
      <c r="N85" s="8" t="s">
        <v>973</v>
      </c>
      <c r="O85" s="8" t="s">
        <v>969</v>
      </c>
      <c r="P85" s="8" t="s">
        <v>969</v>
      </c>
      <c r="Q85" s="8" t="s">
        <v>969</v>
      </c>
      <c r="R85" s="8" t="s">
        <v>969</v>
      </c>
      <c r="S85" s="8" t="s">
        <v>969</v>
      </c>
      <c r="T85" s="8" t="s">
        <v>969</v>
      </c>
      <c r="U85" s="8" t="s">
        <v>2539</v>
      </c>
      <c r="V85" s="8" t="s">
        <v>2540</v>
      </c>
      <c r="W85" s="8" t="s">
        <v>2541</v>
      </c>
      <c r="X85" s="8" t="s">
        <v>2542</v>
      </c>
      <c r="Y85" s="8" t="s">
        <v>2543</v>
      </c>
      <c r="Z85" s="8" t="s">
        <v>2544</v>
      </c>
      <c r="AA85" s="8" t="s">
        <v>3317</v>
      </c>
      <c r="AB85" s="8" t="s">
        <v>3318</v>
      </c>
      <c r="AC85" s="8" t="s">
        <v>2547</v>
      </c>
      <c r="AD85" s="8" t="s">
        <v>2548</v>
      </c>
      <c r="AE85" s="8" t="s">
        <v>2549</v>
      </c>
      <c r="AF85" s="8" t="s">
        <v>969</v>
      </c>
      <c r="AG85" s="8">
        <v>40.0</v>
      </c>
      <c r="AH85" s="8">
        <v>61.0</v>
      </c>
      <c r="AI85" s="8">
        <v>68.0</v>
      </c>
      <c r="AJ85" s="8">
        <v>0.0</v>
      </c>
      <c r="AK85" s="8">
        <v>130.0</v>
      </c>
      <c r="AL85" s="8" t="s">
        <v>1985</v>
      </c>
      <c r="AM85" s="8" t="s">
        <v>1986</v>
      </c>
      <c r="AN85" s="8" t="s">
        <v>1987</v>
      </c>
      <c r="AO85" s="8" t="s">
        <v>1988</v>
      </c>
      <c r="AP85" s="8" t="s">
        <v>969</v>
      </c>
      <c r="AQ85" s="8" t="s">
        <v>969</v>
      </c>
      <c r="AR85" s="8" t="s">
        <v>1974</v>
      </c>
      <c r="AS85" s="8" t="s">
        <v>1989</v>
      </c>
      <c r="AT85" s="8" t="s">
        <v>2550</v>
      </c>
      <c r="AU85" s="8">
        <v>2012.0</v>
      </c>
      <c r="AV85" s="8">
        <v>7.0</v>
      </c>
      <c r="AW85" s="8">
        <v>12.0</v>
      </c>
      <c r="AX85" s="8" t="s">
        <v>969</v>
      </c>
      <c r="AY85" s="8" t="s">
        <v>969</v>
      </c>
      <c r="AZ85" s="8" t="s">
        <v>969</v>
      </c>
      <c r="BA85" s="8" t="s">
        <v>969</v>
      </c>
      <c r="BB85" s="8" t="s">
        <v>969</v>
      </c>
      <c r="BC85" s="8" t="s">
        <v>969</v>
      </c>
      <c r="BD85" s="8" t="s">
        <v>2551</v>
      </c>
      <c r="BE85" s="8" t="s">
        <v>818</v>
      </c>
      <c r="BF85" s="13" t="str">
        <f>HYPERLINK("http://dx.doi.org/10.1371/journal.pone.0052574","http://dx.doi.org/10.1371/journal.pone.0052574")</f>
        <v>http://dx.doi.org/10.1371/journal.pone.0052574</v>
      </c>
      <c r="BG85" s="8" t="s">
        <v>969</v>
      </c>
      <c r="BH85" s="8" t="s">
        <v>969</v>
      </c>
      <c r="BI85" s="8">
        <v>11.0</v>
      </c>
      <c r="BJ85" s="8" t="s">
        <v>1076</v>
      </c>
      <c r="BK85" s="8" t="s">
        <v>988</v>
      </c>
      <c r="BL85" s="8" t="s">
        <v>1077</v>
      </c>
      <c r="BM85" s="8" t="s">
        <v>2552</v>
      </c>
      <c r="BN85" s="8">
        <v>2.3285098E7</v>
      </c>
      <c r="BO85" s="8" t="s">
        <v>1993</v>
      </c>
      <c r="BP85" s="8" t="s">
        <v>969</v>
      </c>
      <c r="BQ85" s="8" t="s">
        <v>969</v>
      </c>
      <c r="BR85" s="8" t="s">
        <v>3231</v>
      </c>
      <c r="BS85" s="8" t="s">
        <v>2553</v>
      </c>
      <c r="BT85" s="3" t="s">
        <v>3232</v>
      </c>
      <c r="BU85" s="8" t="str">
        <f>HYPERLINK("https%3A%2F%2Fwww.webofscience.com%2Fwos%2Fwoscc%2Ffull-record%2FWOS:000312794500202","View Full Record in Web of Science")</f>
        <v>View Full Record in Web of Science</v>
      </c>
    </row>
    <row r="86" ht="12.75" customHeight="1">
      <c r="A86" s="8" t="s">
        <v>967</v>
      </c>
      <c r="B86" s="8" t="s">
        <v>2399</v>
      </c>
      <c r="C86" s="8" t="s">
        <v>969</v>
      </c>
      <c r="D86" s="8" t="s">
        <v>969</v>
      </c>
      <c r="E86" s="8" t="s">
        <v>969</v>
      </c>
      <c r="F86" s="8" t="s">
        <v>2400</v>
      </c>
      <c r="G86" s="8" t="s">
        <v>969</v>
      </c>
      <c r="H86" s="8" t="s">
        <v>969</v>
      </c>
      <c r="I86" s="8" t="s">
        <v>2401</v>
      </c>
      <c r="J86" s="8" t="s">
        <v>2380</v>
      </c>
      <c r="K86" s="8" t="s">
        <v>969</v>
      </c>
      <c r="L86" s="8" t="s">
        <v>969</v>
      </c>
      <c r="M86" s="8" t="s">
        <v>972</v>
      </c>
      <c r="N86" s="8" t="s">
        <v>973</v>
      </c>
      <c r="O86" s="8" t="s">
        <v>969</v>
      </c>
      <c r="P86" s="8" t="s">
        <v>969</v>
      </c>
      <c r="Q86" s="8" t="s">
        <v>969</v>
      </c>
      <c r="R86" s="8" t="s">
        <v>969</v>
      </c>
      <c r="S86" s="8" t="s">
        <v>969</v>
      </c>
      <c r="T86" s="8" t="s">
        <v>2402</v>
      </c>
      <c r="U86" s="8" t="s">
        <v>2403</v>
      </c>
      <c r="V86" s="8" t="s">
        <v>2404</v>
      </c>
      <c r="W86" s="8" t="s">
        <v>2405</v>
      </c>
      <c r="X86" s="8" t="s">
        <v>2406</v>
      </c>
      <c r="Y86" s="8" t="s">
        <v>2407</v>
      </c>
      <c r="Z86" s="8" t="s">
        <v>2408</v>
      </c>
      <c r="AA86" s="8" t="s">
        <v>3319</v>
      </c>
      <c r="AB86" s="8" t="s">
        <v>3320</v>
      </c>
      <c r="AC86" s="8" t="s">
        <v>3194</v>
      </c>
      <c r="AD86" s="8" t="s">
        <v>3195</v>
      </c>
      <c r="AE86" s="8" t="s">
        <v>2413</v>
      </c>
      <c r="AF86" s="8" t="s">
        <v>969</v>
      </c>
      <c r="AG86" s="8">
        <v>50.0</v>
      </c>
      <c r="AH86" s="8">
        <v>157.0</v>
      </c>
      <c r="AI86" s="8">
        <v>190.0</v>
      </c>
      <c r="AJ86" s="8">
        <v>0.0</v>
      </c>
      <c r="AK86" s="8">
        <v>174.0</v>
      </c>
      <c r="AL86" s="8" t="s">
        <v>1091</v>
      </c>
      <c r="AM86" s="8" t="s">
        <v>1092</v>
      </c>
      <c r="AN86" s="8" t="s">
        <v>1093</v>
      </c>
      <c r="AO86" s="8" t="s">
        <v>2393</v>
      </c>
      <c r="AP86" s="8" t="s">
        <v>2394</v>
      </c>
      <c r="AQ86" s="8" t="s">
        <v>969</v>
      </c>
      <c r="AR86" s="8" t="s">
        <v>2395</v>
      </c>
      <c r="AS86" s="8" t="s">
        <v>2396</v>
      </c>
      <c r="AT86" s="8" t="s">
        <v>986</v>
      </c>
      <c r="AU86" s="8">
        <v>2011.0</v>
      </c>
      <c r="AV86" s="8">
        <v>14.0</v>
      </c>
      <c r="AW86" s="8">
        <v>12.0</v>
      </c>
      <c r="AX86" s="8" t="s">
        <v>969</v>
      </c>
      <c r="AY86" s="8" t="s">
        <v>969</v>
      </c>
      <c r="AZ86" s="8" t="s">
        <v>969</v>
      </c>
      <c r="BA86" s="8" t="s">
        <v>969</v>
      </c>
      <c r="BB86" s="8">
        <v>1191.0</v>
      </c>
      <c r="BC86" s="8">
        <v>1200.0</v>
      </c>
      <c r="BD86" s="8" t="s">
        <v>969</v>
      </c>
      <c r="BE86" s="8" t="s">
        <v>752</v>
      </c>
      <c r="BF86" s="13" t="str">
        <f>HYPERLINK("http://dx.doi.org/10.1111/j.1461-0248.2011.01689.x","http://dx.doi.org/10.1111/j.1461-0248.2011.01689.x")</f>
        <v>http://dx.doi.org/10.1111/j.1461-0248.2011.01689.x</v>
      </c>
      <c r="BG86" s="8" t="s">
        <v>969</v>
      </c>
      <c r="BH86" s="8" t="s">
        <v>969</v>
      </c>
      <c r="BI86" s="8">
        <v>10.0</v>
      </c>
      <c r="BJ86" s="8" t="s">
        <v>1267</v>
      </c>
      <c r="BK86" s="8" t="s">
        <v>988</v>
      </c>
      <c r="BL86" s="8" t="s">
        <v>1268</v>
      </c>
      <c r="BM86" s="8" t="s">
        <v>2414</v>
      </c>
      <c r="BN86" s="8">
        <v>2.1978234E7</v>
      </c>
      <c r="BO86" s="8" t="s">
        <v>969</v>
      </c>
      <c r="BP86" s="8" t="s">
        <v>969</v>
      </c>
      <c r="BQ86" s="8" t="s">
        <v>969</v>
      </c>
      <c r="BR86" s="8" t="s">
        <v>3231</v>
      </c>
      <c r="BS86" s="8" t="s">
        <v>2415</v>
      </c>
      <c r="BT86" s="3" t="s">
        <v>3232</v>
      </c>
      <c r="BU86" s="8" t="str">
        <f>HYPERLINK("https%3A%2F%2Fwww.webofscience.com%2Fwos%2Fwoscc%2Ffull-record%2FWOS:000297147500002","View Full Record in Web of Science")</f>
        <v>View Full Record in Web of Science</v>
      </c>
    </row>
    <row r="87" ht="12.75" customHeight="1">
      <c r="A87" s="8" t="s">
        <v>967</v>
      </c>
      <c r="B87" s="8" t="s">
        <v>1060</v>
      </c>
      <c r="C87" s="8" t="s">
        <v>969</v>
      </c>
      <c r="D87" s="8" t="s">
        <v>969</v>
      </c>
      <c r="E87" s="8" t="s">
        <v>969</v>
      </c>
      <c r="F87" s="8" t="s">
        <v>1060</v>
      </c>
      <c r="G87" s="8" t="s">
        <v>969</v>
      </c>
      <c r="H87" s="8" t="s">
        <v>969</v>
      </c>
      <c r="I87" s="8" t="s">
        <v>1061</v>
      </c>
      <c r="J87" s="8" t="s">
        <v>1062</v>
      </c>
      <c r="K87" s="8" t="s">
        <v>969</v>
      </c>
      <c r="L87" s="8" t="s">
        <v>969</v>
      </c>
      <c r="M87" s="8" t="s">
        <v>972</v>
      </c>
      <c r="N87" s="8" t="s">
        <v>973</v>
      </c>
      <c r="O87" s="8" t="s">
        <v>969</v>
      </c>
      <c r="P87" s="8" t="s">
        <v>969</v>
      </c>
      <c r="Q87" s="8" t="s">
        <v>969</v>
      </c>
      <c r="R87" s="8" t="s">
        <v>969</v>
      </c>
      <c r="S87" s="8" t="s">
        <v>969</v>
      </c>
      <c r="T87" s="8" t="s">
        <v>969</v>
      </c>
      <c r="U87" s="8" t="s">
        <v>1063</v>
      </c>
      <c r="V87" s="8" t="s">
        <v>1064</v>
      </c>
      <c r="W87" s="8" t="s">
        <v>1065</v>
      </c>
      <c r="X87" s="8" t="s">
        <v>1066</v>
      </c>
      <c r="Y87" s="8" t="s">
        <v>1067</v>
      </c>
      <c r="Z87" s="8" t="s">
        <v>969</v>
      </c>
      <c r="AA87" s="8" t="s">
        <v>3321</v>
      </c>
      <c r="AB87" s="8" t="s">
        <v>3322</v>
      </c>
      <c r="AC87" s="8" t="s">
        <v>969</v>
      </c>
      <c r="AD87" s="8" t="s">
        <v>969</v>
      </c>
      <c r="AE87" s="8" t="s">
        <v>969</v>
      </c>
      <c r="AF87" s="8" t="s">
        <v>969</v>
      </c>
      <c r="AG87" s="8">
        <v>29.0</v>
      </c>
      <c r="AH87" s="8">
        <v>655.0</v>
      </c>
      <c r="AI87" s="8">
        <v>792.0</v>
      </c>
      <c r="AJ87" s="8">
        <v>1.0</v>
      </c>
      <c r="AK87" s="8">
        <v>206.0</v>
      </c>
      <c r="AL87" s="8" t="s">
        <v>1070</v>
      </c>
      <c r="AM87" s="8" t="s">
        <v>1071</v>
      </c>
      <c r="AN87" s="8" t="s">
        <v>1072</v>
      </c>
      <c r="AO87" s="8" t="s">
        <v>1073</v>
      </c>
      <c r="AP87" s="8" t="s">
        <v>969</v>
      </c>
      <c r="AQ87" s="8" t="s">
        <v>969</v>
      </c>
      <c r="AR87" s="8" t="s">
        <v>1062</v>
      </c>
      <c r="AS87" s="8" t="s">
        <v>1074</v>
      </c>
      <c r="AT87" s="8" t="s">
        <v>1075</v>
      </c>
      <c r="AU87" s="8">
        <v>2002.0</v>
      </c>
      <c r="AV87" s="8">
        <v>416.0</v>
      </c>
      <c r="AW87" s="8">
        <v>6881.0</v>
      </c>
      <c r="AX87" s="8" t="s">
        <v>969</v>
      </c>
      <c r="AY87" s="8" t="s">
        <v>969</v>
      </c>
      <c r="AZ87" s="8" t="s">
        <v>969</v>
      </c>
      <c r="BA87" s="8" t="s">
        <v>969</v>
      </c>
      <c r="BB87" s="8">
        <v>626.0</v>
      </c>
      <c r="BC87" s="8">
        <v>629.0</v>
      </c>
      <c r="BD87" s="8" t="s">
        <v>969</v>
      </c>
      <c r="BE87" s="8" t="s">
        <v>590</v>
      </c>
      <c r="BF87" s="13" t="str">
        <f>HYPERLINK("http://dx.doi.org/10.1038/416626a","http://dx.doi.org/10.1038/416626a")</f>
        <v>http://dx.doi.org/10.1038/416626a</v>
      </c>
      <c r="BG87" s="8" t="s">
        <v>969</v>
      </c>
      <c r="BH87" s="8" t="s">
        <v>969</v>
      </c>
      <c r="BI87" s="8">
        <v>5.0</v>
      </c>
      <c r="BJ87" s="8" t="s">
        <v>1076</v>
      </c>
      <c r="BK87" s="8" t="s">
        <v>988</v>
      </c>
      <c r="BL87" s="8" t="s">
        <v>1077</v>
      </c>
      <c r="BM87" s="8" t="s">
        <v>1078</v>
      </c>
      <c r="BN87" s="8">
        <v>1.1948349E7</v>
      </c>
      <c r="BO87" s="8" t="s">
        <v>969</v>
      </c>
      <c r="BP87" s="8" t="s">
        <v>969</v>
      </c>
      <c r="BQ87" s="8" t="s">
        <v>969</v>
      </c>
      <c r="BR87" s="8" t="s">
        <v>3231</v>
      </c>
      <c r="BS87" s="8" t="s">
        <v>1079</v>
      </c>
      <c r="BT87" s="3" t="s">
        <v>3232</v>
      </c>
      <c r="BU87" s="8" t="str">
        <f>HYPERLINK("https%3A%2F%2Fwww.webofscience.com%2Fwos%2Fwoscc%2Ffull-record%2FWOS:000174901900041","View Full Record in Web of Science")</f>
        <v>View Full Record in Web of Science</v>
      </c>
    </row>
    <row r="88" ht="12.75" customHeight="1">
      <c r="A88" s="8" t="s">
        <v>967</v>
      </c>
      <c r="B88" s="8" t="s">
        <v>1574</v>
      </c>
      <c r="C88" s="8" t="s">
        <v>969</v>
      </c>
      <c r="D88" s="8" t="s">
        <v>969</v>
      </c>
      <c r="E88" s="8" t="s">
        <v>969</v>
      </c>
      <c r="F88" s="8" t="s">
        <v>1574</v>
      </c>
      <c r="G88" s="8" t="s">
        <v>969</v>
      </c>
      <c r="H88" s="8" t="s">
        <v>969</v>
      </c>
      <c r="I88" s="8" t="s">
        <v>1575</v>
      </c>
      <c r="J88" s="8" t="s">
        <v>1557</v>
      </c>
      <c r="K88" s="8" t="s">
        <v>969</v>
      </c>
      <c r="L88" s="8" t="s">
        <v>969</v>
      </c>
      <c r="M88" s="8" t="s">
        <v>972</v>
      </c>
      <c r="N88" s="8" t="s">
        <v>973</v>
      </c>
      <c r="O88" s="8" t="s">
        <v>969</v>
      </c>
      <c r="P88" s="8" t="s">
        <v>969</v>
      </c>
      <c r="Q88" s="8" t="s">
        <v>969</v>
      </c>
      <c r="R88" s="8" t="s">
        <v>969</v>
      </c>
      <c r="S88" s="8" t="s">
        <v>969</v>
      </c>
      <c r="T88" s="8" t="s">
        <v>1576</v>
      </c>
      <c r="U88" s="8" t="s">
        <v>1577</v>
      </c>
      <c r="V88" s="8" t="s">
        <v>1578</v>
      </c>
      <c r="W88" s="8" t="s">
        <v>1579</v>
      </c>
      <c r="X88" s="8" t="s">
        <v>1580</v>
      </c>
      <c r="Y88" s="8" t="s">
        <v>1581</v>
      </c>
      <c r="Z88" s="8" t="s">
        <v>1582</v>
      </c>
      <c r="AA88" s="8" t="s">
        <v>3323</v>
      </c>
      <c r="AB88" s="8" t="s">
        <v>3324</v>
      </c>
      <c r="AC88" s="8" t="s">
        <v>969</v>
      </c>
      <c r="AD88" s="8" t="s">
        <v>969</v>
      </c>
      <c r="AE88" s="8" t="s">
        <v>969</v>
      </c>
      <c r="AF88" s="8" t="s">
        <v>969</v>
      </c>
      <c r="AG88" s="8">
        <v>61.0</v>
      </c>
      <c r="AH88" s="8">
        <v>63.0</v>
      </c>
      <c r="AI88" s="8">
        <v>76.0</v>
      </c>
      <c r="AJ88" s="8">
        <v>1.0</v>
      </c>
      <c r="AK88" s="8">
        <v>34.0</v>
      </c>
      <c r="AL88" s="8" t="s">
        <v>1192</v>
      </c>
      <c r="AM88" s="8" t="s">
        <v>1193</v>
      </c>
      <c r="AN88" s="8" t="s">
        <v>1194</v>
      </c>
      <c r="AO88" s="8" t="s">
        <v>1567</v>
      </c>
      <c r="AP88" s="8" t="s">
        <v>1568</v>
      </c>
      <c r="AQ88" s="8" t="s">
        <v>969</v>
      </c>
      <c r="AR88" s="8" t="s">
        <v>1569</v>
      </c>
      <c r="AS88" s="8" t="s">
        <v>1570</v>
      </c>
      <c r="AT88" s="8" t="s">
        <v>969</v>
      </c>
      <c r="AU88" s="8">
        <v>2006.0</v>
      </c>
      <c r="AV88" s="8">
        <v>9.0</v>
      </c>
      <c r="AW88" s="8">
        <v>2.0</v>
      </c>
      <c r="AX88" s="8" t="s">
        <v>969</v>
      </c>
      <c r="AY88" s="8" t="s">
        <v>969</v>
      </c>
      <c r="AZ88" s="8" t="s">
        <v>969</v>
      </c>
      <c r="BA88" s="8" t="s">
        <v>969</v>
      </c>
      <c r="BB88" s="8">
        <v>129.0</v>
      </c>
      <c r="BC88" s="8">
        <v>147.0</v>
      </c>
      <c r="BD88" s="8" t="s">
        <v>969</v>
      </c>
      <c r="BE88" s="8" t="s">
        <v>566</v>
      </c>
      <c r="BF88" s="13" t="str">
        <f>HYPERLINK("http://dx.doi.org/10.1016/j.envsci.2005.11.005","http://dx.doi.org/10.1016/j.envsci.2005.11.005")</f>
        <v>http://dx.doi.org/10.1016/j.envsci.2005.11.005</v>
      </c>
      <c r="BG88" s="8" t="s">
        <v>969</v>
      </c>
      <c r="BH88" s="8" t="s">
        <v>969</v>
      </c>
      <c r="BI88" s="8">
        <v>19.0</v>
      </c>
      <c r="BJ88" s="8" t="s">
        <v>1571</v>
      </c>
      <c r="BK88" s="8" t="s">
        <v>988</v>
      </c>
      <c r="BL88" s="8" t="s">
        <v>1268</v>
      </c>
      <c r="BM88" s="8" t="s">
        <v>1572</v>
      </c>
      <c r="BN88" s="8" t="s">
        <v>969</v>
      </c>
      <c r="BO88" s="8" t="s">
        <v>969</v>
      </c>
      <c r="BP88" s="8" t="s">
        <v>969</v>
      </c>
      <c r="BQ88" s="8" t="s">
        <v>969</v>
      </c>
      <c r="BR88" s="8" t="s">
        <v>3231</v>
      </c>
      <c r="BS88" s="8" t="s">
        <v>1585</v>
      </c>
      <c r="BT88" s="3" t="s">
        <v>3232</v>
      </c>
      <c r="BU88" s="8" t="str">
        <f>HYPERLINK("https%3A%2F%2Fwww.webofscience.com%2Fwos%2Fwoscc%2Ffull-record%2FWOS:000236511100004","View Full Record in Web of Science")</f>
        <v>View Full Record in Web of Science</v>
      </c>
    </row>
    <row r="89" ht="12.75" customHeight="1">
      <c r="A89" s="8" t="s">
        <v>967</v>
      </c>
      <c r="B89" s="8" t="s">
        <v>1555</v>
      </c>
      <c r="C89" s="8" t="s">
        <v>969</v>
      </c>
      <c r="D89" s="8" t="s">
        <v>969</v>
      </c>
      <c r="E89" s="8" t="s">
        <v>969</v>
      </c>
      <c r="F89" s="8" t="s">
        <v>1555</v>
      </c>
      <c r="G89" s="8" t="s">
        <v>969</v>
      </c>
      <c r="H89" s="8" t="s">
        <v>969</v>
      </c>
      <c r="I89" s="8" t="s">
        <v>1556</v>
      </c>
      <c r="J89" s="8" t="s">
        <v>1557</v>
      </c>
      <c r="K89" s="8" t="s">
        <v>969</v>
      </c>
      <c r="L89" s="8" t="s">
        <v>969</v>
      </c>
      <c r="M89" s="8" t="s">
        <v>972</v>
      </c>
      <c r="N89" s="8" t="s">
        <v>973</v>
      </c>
      <c r="O89" s="8" t="s">
        <v>969</v>
      </c>
      <c r="P89" s="8" t="s">
        <v>969</v>
      </c>
      <c r="Q89" s="8" t="s">
        <v>969</v>
      </c>
      <c r="R89" s="8" t="s">
        <v>969</v>
      </c>
      <c r="S89" s="8" t="s">
        <v>969</v>
      </c>
      <c r="T89" s="8" t="s">
        <v>1558</v>
      </c>
      <c r="U89" s="8" t="s">
        <v>1559</v>
      </c>
      <c r="V89" s="8" t="s">
        <v>1560</v>
      </c>
      <c r="W89" s="8" t="s">
        <v>1561</v>
      </c>
      <c r="X89" s="8" t="s">
        <v>1562</v>
      </c>
      <c r="Y89" s="8" t="s">
        <v>1563</v>
      </c>
      <c r="Z89" s="8" t="s">
        <v>1564</v>
      </c>
      <c r="AA89" s="8" t="s">
        <v>3325</v>
      </c>
      <c r="AB89" s="8" t="s">
        <v>3326</v>
      </c>
      <c r="AC89" s="8" t="s">
        <v>969</v>
      </c>
      <c r="AD89" s="8" t="s">
        <v>969</v>
      </c>
      <c r="AE89" s="8" t="s">
        <v>969</v>
      </c>
      <c r="AF89" s="8" t="s">
        <v>969</v>
      </c>
      <c r="AG89" s="8">
        <v>66.0</v>
      </c>
      <c r="AH89" s="8">
        <v>131.0</v>
      </c>
      <c r="AI89" s="8">
        <v>147.0</v>
      </c>
      <c r="AJ89" s="8">
        <v>2.0</v>
      </c>
      <c r="AK89" s="8">
        <v>62.0</v>
      </c>
      <c r="AL89" s="8" t="s">
        <v>1192</v>
      </c>
      <c r="AM89" s="8" t="s">
        <v>1193</v>
      </c>
      <c r="AN89" s="8" t="s">
        <v>1194</v>
      </c>
      <c r="AO89" s="8" t="s">
        <v>1567</v>
      </c>
      <c r="AP89" s="8" t="s">
        <v>1568</v>
      </c>
      <c r="AQ89" s="8" t="s">
        <v>969</v>
      </c>
      <c r="AR89" s="8" t="s">
        <v>1569</v>
      </c>
      <c r="AS89" s="8" t="s">
        <v>1570</v>
      </c>
      <c r="AT89" s="8" t="s">
        <v>969</v>
      </c>
      <c r="AU89" s="8">
        <v>2006.0</v>
      </c>
      <c r="AV89" s="8">
        <v>9.0</v>
      </c>
      <c r="AW89" s="8">
        <v>2.0</v>
      </c>
      <c r="AX89" s="8" t="s">
        <v>969</v>
      </c>
      <c r="AY89" s="8" t="s">
        <v>969</v>
      </c>
      <c r="AZ89" s="8" t="s">
        <v>969</v>
      </c>
      <c r="BA89" s="8" t="s">
        <v>969</v>
      </c>
      <c r="BB89" s="8">
        <v>116.0</v>
      </c>
      <c r="BC89" s="8">
        <v>128.0</v>
      </c>
      <c r="BD89" s="8" t="s">
        <v>969</v>
      </c>
      <c r="BE89" s="8" t="s">
        <v>563</v>
      </c>
      <c r="BF89" s="13" t="str">
        <f>HYPERLINK("http://dx.doi.org/10.1016/j.envsci.2005.11.003","http://dx.doi.org/10.1016/j.envsci.2005.11.003")</f>
        <v>http://dx.doi.org/10.1016/j.envsci.2005.11.003</v>
      </c>
      <c r="BG89" s="8" t="s">
        <v>969</v>
      </c>
      <c r="BH89" s="8" t="s">
        <v>969</v>
      </c>
      <c r="BI89" s="8">
        <v>13.0</v>
      </c>
      <c r="BJ89" s="8" t="s">
        <v>1571</v>
      </c>
      <c r="BK89" s="8" t="s">
        <v>988</v>
      </c>
      <c r="BL89" s="8" t="s">
        <v>1268</v>
      </c>
      <c r="BM89" s="8" t="s">
        <v>1572</v>
      </c>
      <c r="BN89" s="8" t="s">
        <v>969</v>
      </c>
      <c r="BO89" s="8" t="s">
        <v>969</v>
      </c>
      <c r="BP89" s="8" t="s">
        <v>969</v>
      </c>
      <c r="BQ89" s="8" t="s">
        <v>969</v>
      </c>
      <c r="BR89" s="8" t="s">
        <v>3231</v>
      </c>
      <c r="BS89" s="8" t="s">
        <v>1573</v>
      </c>
      <c r="BT89" s="3" t="s">
        <v>3232</v>
      </c>
      <c r="BU89" s="8" t="str">
        <f>HYPERLINK("https%3A%2F%2Fwww.webofscience.com%2Fwos%2Fwoscc%2Ffull-record%2FWOS:000236511100003","View Full Record in Web of Science")</f>
        <v>View Full Record in Web of Science</v>
      </c>
    </row>
    <row r="90" ht="12.75" customHeight="1">
      <c r="A90" s="8" t="s">
        <v>967</v>
      </c>
      <c r="B90" s="8" t="s">
        <v>1926</v>
      </c>
      <c r="C90" s="8" t="s">
        <v>969</v>
      </c>
      <c r="D90" s="8" t="s">
        <v>969</v>
      </c>
      <c r="E90" s="8" t="s">
        <v>969</v>
      </c>
      <c r="F90" s="8" t="s">
        <v>1927</v>
      </c>
      <c r="G90" s="8" t="s">
        <v>969</v>
      </c>
      <c r="H90" s="8" t="s">
        <v>969</v>
      </c>
      <c r="I90" s="8" t="s">
        <v>1928</v>
      </c>
      <c r="J90" s="8" t="s">
        <v>1929</v>
      </c>
      <c r="K90" s="8" t="s">
        <v>969</v>
      </c>
      <c r="L90" s="8" t="s">
        <v>969</v>
      </c>
      <c r="M90" s="8" t="s">
        <v>972</v>
      </c>
      <c r="N90" s="8" t="s">
        <v>973</v>
      </c>
      <c r="O90" s="8" t="s">
        <v>969</v>
      </c>
      <c r="P90" s="8" t="s">
        <v>969</v>
      </c>
      <c r="Q90" s="8" t="s">
        <v>969</v>
      </c>
      <c r="R90" s="8" t="s">
        <v>969</v>
      </c>
      <c r="S90" s="8" t="s">
        <v>969</v>
      </c>
      <c r="T90" s="8" t="s">
        <v>1930</v>
      </c>
      <c r="U90" s="8" t="s">
        <v>1931</v>
      </c>
      <c r="V90" s="8" t="s">
        <v>1932</v>
      </c>
      <c r="W90" s="8" t="s">
        <v>1933</v>
      </c>
      <c r="X90" s="8" t="s">
        <v>3064</v>
      </c>
      <c r="Y90" s="8" t="s">
        <v>1935</v>
      </c>
      <c r="Z90" s="8" t="s">
        <v>1936</v>
      </c>
      <c r="AA90" s="8" t="s">
        <v>3327</v>
      </c>
      <c r="AB90" s="8" t="s">
        <v>3328</v>
      </c>
      <c r="AC90" s="8" t="s">
        <v>1939</v>
      </c>
      <c r="AD90" s="8" t="s">
        <v>1940</v>
      </c>
      <c r="AE90" s="8" t="s">
        <v>1941</v>
      </c>
      <c r="AF90" s="8" t="s">
        <v>969</v>
      </c>
      <c r="AG90" s="8">
        <v>20.0</v>
      </c>
      <c r="AH90" s="8">
        <v>129.0</v>
      </c>
      <c r="AI90" s="8">
        <v>162.0</v>
      </c>
      <c r="AJ90" s="8">
        <v>4.0</v>
      </c>
      <c r="AK90" s="8">
        <v>126.0</v>
      </c>
      <c r="AL90" s="8" t="s">
        <v>1130</v>
      </c>
      <c r="AM90" s="8" t="s">
        <v>1071</v>
      </c>
      <c r="AN90" s="8" t="s">
        <v>1131</v>
      </c>
      <c r="AO90" s="8" t="s">
        <v>1942</v>
      </c>
      <c r="AP90" s="8" t="s">
        <v>969</v>
      </c>
      <c r="AQ90" s="8" t="s">
        <v>969</v>
      </c>
      <c r="AR90" s="8" t="s">
        <v>1943</v>
      </c>
      <c r="AS90" s="8" t="s">
        <v>1944</v>
      </c>
      <c r="AT90" s="8" t="s">
        <v>1945</v>
      </c>
      <c r="AU90" s="8">
        <v>2008.0</v>
      </c>
      <c r="AV90" s="8">
        <v>4.0</v>
      </c>
      <c r="AW90" s="8">
        <v>5.0</v>
      </c>
      <c r="AX90" s="8" t="s">
        <v>969</v>
      </c>
      <c r="AY90" s="8" t="s">
        <v>969</v>
      </c>
      <c r="AZ90" s="8" t="s">
        <v>969</v>
      </c>
      <c r="BA90" s="8" t="s">
        <v>969</v>
      </c>
      <c r="BB90" s="8">
        <v>564.0</v>
      </c>
      <c r="BC90" s="8">
        <v>567.0</v>
      </c>
      <c r="BD90" s="8" t="s">
        <v>969</v>
      </c>
      <c r="BE90" s="8" t="s">
        <v>653</v>
      </c>
      <c r="BF90" s="13" t="str">
        <f>HYPERLINK("http://dx.doi.org/10.1098/rsbl.2008.0231","http://dx.doi.org/10.1098/rsbl.2008.0231")</f>
        <v>http://dx.doi.org/10.1098/rsbl.2008.0231</v>
      </c>
      <c r="BG90" s="8" t="s">
        <v>969</v>
      </c>
      <c r="BH90" s="8" t="s">
        <v>969</v>
      </c>
      <c r="BI90" s="8">
        <v>4.0</v>
      </c>
      <c r="BJ90" s="8" t="s">
        <v>1137</v>
      </c>
      <c r="BK90" s="8" t="s">
        <v>988</v>
      </c>
      <c r="BL90" s="8" t="s">
        <v>1138</v>
      </c>
      <c r="BM90" s="8" t="s">
        <v>1946</v>
      </c>
      <c r="BN90" s="8">
        <v>1.8664416E7</v>
      </c>
      <c r="BO90" s="8" t="s">
        <v>1227</v>
      </c>
      <c r="BP90" s="8" t="s">
        <v>969</v>
      </c>
      <c r="BQ90" s="8" t="s">
        <v>969</v>
      </c>
      <c r="BR90" s="8" t="s">
        <v>3231</v>
      </c>
      <c r="BS90" s="8" t="s">
        <v>1947</v>
      </c>
      <c r="BT90" s="3" t="s">
        <v>3232</v>
      </c>
      <c r="BU90" s="8" t="str">
        <f>HYPERLINK("https%3A%2F%2Fwww.webofscience.com%2Fwos%2Fwoscc%2Ffull-record%2FWOS:000259085900035","View Full Record in Web of Science")</f>
        <v>View Full Record in Web of Science</v>
      </c>
    </row>
    <row r="91" ht="12.75" customHeight="1">
      <c r="A91" s="8" t="s">
        <v>967</v>
      </c>
      <c r="B91" s="8" t="s">
        <v>2840</v>
      </c>
      <c r="C91" s="8" t="s">
        <v>969</v>
      </c>
      <c r="D91" s="8" t="s">
        <v>969</v>
      </c>
      <c r="E91" s="8" t="s">
        <v>969</v>
      </c>
      <c r="F91" s="8" t="s">
        <v>2840</v>
      </c>
      <c r="G91" s="8" t="s">
        <v>969</v>
      </c>
      <c r="H91" s="8" t="s">
        <v>969</v>
      </c>
      <c r="I91" s="8" t="s">
        <v>2841</v>
      </c>
      <c r="J91" s="8" t="s">
        <v>1000</v>
      </c>
      <c r="K91" s="8" t="s">
        <v>969</v>
      </c>
      <c r="L91" s="8" t="s">
        <v>969</v>
      </c>
      <c r="M91" s="8" t="s">
        <v>972</v>
      </c>
      <c r="N91" s="8" t="s">
        <v>973</v>
      </c>
      <c r="O91" s="8" t="s">
        <v>969</v>
      </c>
      <c r="P91" s="8" t="s">
        <v>969</v>
      </c>
      <c r="Q91" s="8" t="s">
        <v>969</v>
      </c>
      <c r="R91" s="8" t="s">
        <v>969</v>
      </c>
      <c r="S91" s="8" t="s">
        <v>969</v>
      </c>
      <c r="T91" s="8" t="s">
        <v>2842</v>
      </c>
      <c r="U91" s="8" t="s">
        <v>2843</v>
      </c>
      <c r="V91" s="8" t="s">
        <v>2844</v>
      </c>
      <c r="W91" s="8" t="s">
        <v>2845</v>
      </c>
      <c r="X91" s="8" t="s">
        <v>2846</v>
      </c>
      <c r="Y91" s="8" t="s">
        <v>2847</v>
      </c>
      <c r="Z91" s="8" t="s">
        <v>969</v>
      </c>
      <c r="AA91" s="8" t="s">
        <v>2848</v>
      </c>
      <c r="AB91" s="8" t="s">
        <v>2849</v>
      </c>
      <c r="AC91" s="8" t="s">
        <v>969</v>
      </c>
      <c r="AD91" s="8" t="s">
        <v>969</v>
      </c>
      <c r="AE91" s="8" t="s">
        <v>969</v>
      </c>
      <c r="AF91" s="8" t="s">
        <v>969</v>
      </c>
      <c r="AG91" s="8">
        <v>88.0</v>
      </c>
      <c r="AH91" s="8">
        <v>308.0</v>
      </c>
      <c r="AI91" s="8">
        <v>344.0</v>
      </c>
      <c r="AJ91" s="8">
        <v>0.0</v>
      </c>
      <c r="AK91" s="8">
        <v>88.0</v>
      </c>
      <c r="AL91" s="8" t="s">
        <v>1091</v>
      </c>
      <c r="AM91" s="8" t="s">
        <v>1092</v>
      </c>
      <c r="AN91" s="8" t="s">
        <v>1093</v>
      </c>
      <c r="AO91" s="8" t="s">
        <v>1013</v>
      </c>
      <c r="AP91" s="8" t="s">
        <v>2602</v>
      </c>
      <c r="AQ91" s="8" t="s">
        <v>969</v>
      </c>
      <c r="AR91" s="8" t="s">
        <v>1014</v>
      </c>
      <c r="AS91" s="8" t="s">
        <v>1015</v>
      </c>
      <c r="AT91" s="8" t="s">
        <v>1163</v>
      </c>
      <c r="AU91" s="8">
        <v>1995.0</v>
      </c>
      <c r="AV91" s="8">
        <v>22.0</v>
      </c>
      <c r="AW91" s="8">
        <v>6.0</v>
      </c>
      <c r="AX91" s="8" t="s">
        <v>969</v>
      </c>
      <c r="AY91" s="8" t="s">
        <v>969</v>
      </c>
      <c r="AZ91" s="8" t="s">
        <v>969</v>
      </c>
      <c r="BA91" s="8" t="s">
        <v>969</v>
      </c>
      <c r="BB91" s="8">
        <v>967.0</v>
      </c>
      <c r="BC91" s="8">
        <v>1001.0</v>
      </c>
      <c r="BD91" s="8" t="s">
        <v>969</v>
      </c>
      <c r="BE91" s="8" t="s">
        <v>842</v>
      </c>
      <c r="BF91" s="13" t="str">
        <f>HYPERLINK("http://dx.doi.org/10.2307/2845830","http://dx.doi.org/10.2307/2845830")</f>
        <v>http://dx.doi.org/10.2307/2845830</v>
      </c>
      <c r="BG91" s="8" t="s">
        <v>969</v>
      </c>
      <c r="BH91" s="8" t="s">
        <v>969</v>
      </c>
      <c r="BI91" s="8">
        <v>35.0</v>
      </c>
      <c r="BJ91" s="8" t="s">
        <v>1017</v>
      </c>
      <c r="BK91" s="8" t="s">
        <v>988</v>
      </c>
      <c r="BL91" s="8" t="s">
        <v>1018</v>
      </c>
      <c r="BM91" s="8" t="s">
        <v>2850</v>
      </c>
      <c r="BN91" s="8" t="s">
        <v>969</v>
      </c>
      <c r="BO91" s="8" t="s">
        <v>969</v>
      </c>
      <c r="BP91" s="8" t="s">
        <v>969</v>
      </c>
      <c r="BQ91" s="8" t="s">
        <v>969</v>
      </c>
      <c r="BR91" s="8" t="s">
        <v>3231</v>
      </c>
      <c r="BS91" s="8" t="s">
        <v>2851</v>
      </c>
      <c r="BT91" s="3" t="s">
        <v>3232</v>
      </c>
      <c r="BU91" s="8" t="str">
        <f>HYPERLINK("https%3A%2F%2Fwww.webofscience.com%2Fwos%2Fwoscc%2Ffull-record%2FWOS:A1995UL12900002","View Full Record in Web of Science")</f>
        <v>View Full Record in Web of Science</v>
      </c>
    </row>
    <row r="92" ht="12.75" customHeight="1">
      <c r="A92" s="8" t="s">
        <v>967</v>
      </c>
      <c r="B92" s="8" t="s">
        <v>1502</v>
      </c>
      <c r="C92" s="8" t="s">
        <v>969</v>
      </c>
      <c r="D92" s="8" t="s">
        <v>969</v>
      </c>
      <c r="E92" s="8" t="s">
        <v>969</v>
      </c>
      <c r="F92" s="8" t="s">
        <v>1502</v>
      </c>
      <c r="G92" s="8" t="s">
        <v>969</v>
      </c>
      <c r="H92" s="8" t="s">
        <v>969</v>
      </c>
      <c r="I92" s="8" t="s">
        <v>1503</v>
      </c>
      <c r="J92" s="8" t="s">
        <v>1504</v>
      </c>
      <c r="K92" s="8" t="s">
        <v>969</v>
      </c>
      <c r="L92" s="8" t="s">
        <v>969</v>
      </c>
      <c r="M92" s="8" t="s">
        <v>972</v>
      </c>
      <c r="N92" s="8" t="s">
        <v>973</v>
      </c>
      <c r="O92" s="8" t="s">
        <v>969</v>
      </c>
      <c r="P92" s="8" t="s">
        <v>969</v>
      </c>
      <c r="Q92" s="8" t="s">
        <v>969</v>
      </c>
      <c r="R92" s="8" t="s">
        <v>969</v>
      </c>
      <c r="S92" s="8" t="s">
        <v>969</v>
      </c>
      <c r="T92" s="8" t="s">
        <v>1505</v>
      </c>
      <c r="U92" s="8" t="s">
        <v>1506</v>
      </c>
      <c r="V92" s="8" t="s">
        <v>1507</v>
      </c>
      <c r="W92" s="8" t="s">
        <v>1508</v>
      </c>
      <c r="X92" s="8" t="s">
        <v>1509</v>
      </c>
      <c r="Y92" s="8" t="s">
        <v>1510</v>
      </c>
      <c r="Z92" s="8" t="s">
        <v>1511</v>
      </c>
      <c r="AA92" s="8" t="s">
        <v>1512</v>
      </c>
      <c r="AB92" s="8" t="s">
        <v>1513</v>
      </c>
      <c r="AC92" s="8" t="s">
        <v>969</v>
      </c>
      <c r="AD92" s="8" t="s">
        <v>969</v>
      </c>
      <c r="AE92" s="8" t="s">
        <v>969</v>
      </c>
      <c r="AF92" s="8" t="s">
        <v>969</v>
      </c>
      <c r="AG92" s="8">
        <v>43.0</v>
      </c>
      <c r="AH92" s="8">
        <v>39.0</v>
      </c>
      <c r="AI92" s="8">
        <v>51.0</v>
      </c>
      <c r="AJ92" s="8">
        <v>0.0</v>
      </c>
      <c r="AK92" s="8">
        <v>22.0</v>
      </c>
      <c r="AL92" s="8" t="s">
        <v>1192</v>
      </c>
      <c r="AM92" s="8" t="s">
        <v>1193</v>
      </c>
      <c r="AN92" s="8" t="s">
        <v>1194</v>
      </c>
      <c r="AO92" s="8" t="s">
        <v>1514</v>
      </c>
      <c r="AP92" s="8" t="s">
        <v>1515</v>
      </c>
      <c r="AQ92" s="8" t="s">
        <v>969</v>
      </c>
      <c r="AR92" s="8" t="s">
        <v>1516</v>
      </c>
      <c r="AS92" s="8" t="s">
        <v>1517</v>
      </c>
      <c r="AT92" s="8" t="s">
        <v>1036</v>
      </c>
      <c r="AU92" s="8">
        <v>2006.0</v>
      </c>
      <c r="AV92" s="8">
        <v>16.0</v>
      </c>
      <c r="AW92" s="8">
        <v>1.0</v>
      </c>
      <c r="AX92" s="8" t="s">
        <v>969</v>
      </c>
      <c r="AY92" s="8" t="s">
        <v>969</v>
      </c>
      <c r="AZ92" s="8" t="s">
        <v>969</v>
      </c>
      <c r="BA92" s="8" t="s">
        <v>969</v>
      </c>
      <c r="BB92" s="8">
        <v>19.0</v>
      </c>
      <c r="BC92" s="8">
        <v>28.0</v>
      </c>
      <c r="BD92" s="8" t="s">
        <v>969</v>
      </c>
      <c r="BE92" s="8" t="s">
        <v>575</v>
      </c>
      <c r="BF92" s="13" t="str">
        <f>HYPERLINK("http://dx.doi.org/10.1016/j.gloenvcha.2005.11.001","http://dx.doi.org/10.1016/j.gloenvcha.2005.11.001")</f>
        <v>http://dx.doi.org/10.1016/j.gloenvcha.2005.11.001</v>
      </c>
      <c r="BG92" s="8" t="s">
        <v>969</v>
      </c>
      <c r="BH92" s="8" t="s">
        <v>969</v>
      </c>
      <c r="BI92" s="8">
        <v>10.0</v>
      </c>
      <c r="BJ92" s="8" t="s">
        <v>1518</v>
      </c>
      <c r="BK92" s="8" t="s">
        <v>1519</v>
      </c>
      <c r="BL92" s="8" t="s">
        <v>1520</v>
      </c>
      <c r="BM92" s="8" t="s">
        <v>1521</v>
      </c>
      <c r="BN92" s="8" t="s">
        <v>969</v>
      </c>
      <c r="BO92" s="8" t="s">
        <v>969</v>
      </c>
      <c r="BP92" s="8" t="s">
        <v>969</v>
      </c>
      <c r="BQ92" s="8" t="s">
        <v>969</v>
      </c>
      <c r="BR92" s="8" t="s">
        <v>3231</v>
      </c>
      <c r="BS92" s="8" t="s">
        <v>1522</v>
      </c>
      <c r="BT92" s="3" t="s">
        <v>3232</v>
      </c>
      <c r="BU92" s="8" t="str">
        <f>HYPERLINK("https%3A%2F%2Fwww.webofscience.com%2Fwos%2Fwoscc%2Ffull-record%2FWOS:000235424500004","View Full Record in Web of Science")</f>
        <v>View Full Record in Web of Science</v>
      </c>
    </row>
    <row r="93" ht="12.75" customHeight="1">
      <c r="A93" s="8" t="s">
        <v>967</v>
      </c>
      <c r="B93" s="8" t="s">
        <v>2254</v>
      </c>
      <c r="C93" s="8" t="s">
        <v>969</v>
      </c>
      <c r="D93" s="8" t="s">
        <v>969</v>
      </c>
      <c r="E93" s="8" t="s">
        <v>969</v>
      </c>
      <c r="F93" s="8" t="s">
        <v>2255</v>
      </c>
      <c r="G93" s="8" t="s">
        <v>969</v>
      </c>
      <c r="H93" s="8" t="s">
        <v>969</v>
      </c>
      <c r="I93" s="8" t="s">
        <v>2256</v>
      </c>
      <c r="J93" s="8" t="s">
        <v>1799</v>
      </c>
      <c r="K93" s="8" t="s">
        <v>969</v>
      </c>
      <c r="L93" s="8" t="s">
        <v>969</v>
      </c>
      <c r="M93" s="8" t="s">
        <v>972</v>
      </c>
      <c r="N93" s="8" t="s">
        <v>973</v>
      </c>
      <c r="O93" s="8" t="s">
        <v>969</v>
      </c>
      <c r="P93" s="8" t="s">
        <v>969</v>
      </c>
      <c r="Q93" s="8" t="s">
        <v>969</v>
      </c>
      <c r="R93" s="8" t="s">
        <v>969</v>
      </c>
      <c r="S93" s="8" t="s">
        <v>969</v>
      </c>
      <c r="T93" s="8" t="s">
        <v>2257</v>
      </c>
      <c r="U93" s="8" t="s">
        <v>2258</v>
      </c>
      <c r="V93" s="8" t="s">
        <v>2259</v>
      </c>
      <c r="W93" s="8" t="s">
        <v>2260</v>
      </c>
      <c r="X93" s="8" t="s">
        <v>2261</v>
      </c>
      <c r="Y93" s="8" t="s">
        <v>2262</v>
      </c>
      <c r="Z93" s="8" t="s">
        <v>2263</v>
      </c>
      <c r="AA93" s="8" t="s">
        <v>3142</v>
      </c>
      <c r="AB93" s="8" t="s">
        <v>969</v>
      </c>
      <c r="AC93" s="8" t="s">
        <v>2265</v>
      </c>
      <c r="AD93" s="8" t="s">
        <v>2266</v>
      </c>
      <c r="AE93" s="8" t="s">
        <v>2267</v>
      </c>
      <c r="AF93" s="8" t="s">
        <v>969</v>
      </c>
      <c r="AG93" s="8">
        <v>67.0</v>
      </c>
      <c r="AH93" s="8">
        <v>91.0</v>
      </c>
      <c r="AI93" s="8">
        <v>112.0</v>
      </c>
      <c r="AJ93" s="8">
        <v>3.0</v>
      </c>
      <c r="AK93" s="8">
        <v>96.0</v>
      </c>
      <c r="AL93" s="8" t="s">
        <v>1813</v>
      </c>
      <c r="AM93" s="8" t="s">
        <v>1261</v>
      </c>
      <c r="AN93" s="8" t="s">
        <v>1814</v>
      </c>
      <c r="AO93" s="8" t="s">
        <v>1815</v>
      </c>
      <c r="AP93" s="8" t="s">
        <v>1816</v>
      </c>
      <c r="AQ93" s="8" t="s">
        <v>969</v>
      </c>
      <c r="AR93" s="8" t="s">
        <v>1817</v>
      </c>
      <c r="AS93" s="8" t="s">
        <v>1818</v>
      </c>
      <c r="AT93" s="8" t="s">
        <v>2268</v>
      </c>
      <c r="AU93" s="8">
        <v>2011.0</v>
      </c>
      <c r="AV93" s="8">
        <v>262.0</v>
      </c>
      <c r="AW93" s="8">
        <v>3.0</v>
      </c>
      <c r="AX93" s="8" t="s">
        <v>969</v>
      </c>
      <c r="AY93" s="8" t="s">
        <v>969</v>
      </c>
      <c r="AZ93" s="8" t="s">
        <v>969</v>
      </c>
      <c r="BA93" s="8" t="s">
        <v>969</v>
      </c>
      <c r="BB93" s="8">
        <v>307.0</v>
      </c>
      <c r="BC93" s="8">
        <v>316.0</v>
      </c>
      <c r="BD93" s="8" t="s">
        <v>969</v>
      </c>
      <c r="BE93" s="8" t="s">
        <v>572</v>
      </c>
      <c r="BF93" s="13" t="str">
        <f>HYPERLINK("http://dx.doi.org/10.1016/j.foreco.2011.03.036","http://dx.doi.org/10.1016/j.foreco.2011.03.036")</f>
        <v>http://dx.doi.org/10.1016/j.foreco.2011.03.036</v>
      </c>
      <c r="BG93" s="8" t="s">
        <v>969</v>
      </c>
      <c r="BH93" s="8" t="s">
        <v>969</v>
      </c>
      <c r="BI93" s="8">
        <v>10.0</v>
      </c>
      <c r="BJ93" s="8" t="s">
        <v>1820</v>
      </c>
      <c r="BK93" s="8" t="s">
        <v>988</v>
      </c>
      <c r="BL93" s="8" t="s">
        <v>1820</v>
      </c>
      <c r="BM93" s="8" t="s">
        <v>2269</v>
      </c>
      <c r="BN93" s="8" t="s">
        <v>969</v>
      </c>
      <c r="BO93" s="8" t="s">
        <v>969</v>
      </c>
      <c r="BP93" s="8" t="s">
        <v>969</v>
      </c>
      <c r="BQ93" s="8" t="s">
        <v>969</v>
      </c>
      <c r="BR93" s="8" t="s">
        <v>3231</v>
      </c>
      <c r="BS93" s="8" t="s">
        <v>2270</v>
      </c>
      <c r="BT93" s="3" t="s">
        <v>3232</v>
      </c>
      <c r="BU93" s="8" t="str">
        <f>HYPERLINK("https%3A%2F%2Fwww.webofscience.com%2Fwos%2Fwoscc%2Ffull-record%2FWOS:000292428500001","View Full Record in Web of Science")</f>
        <v>View Full Record in Web of Science</v>
      </c>
    </row>
    <row r="94" ht="12.75" customHeight="1">
      <c r="A94" s="8" t="s">
        <v>967</v>
      </c>
      <c r="B94" s="8" t="s">
        <v>1324</v>
      </c>
      <c r="C94" s="8" t="s">
        <v>969</v>
      </c>
      <c r="D94" s="8" t="s">
        <v>969</v>
      </c>
      <c r="E94" s="8" t="s">
        <v>969</v>
      </c>
      <c r="F94" s="8" t="s">
        <v>1324</v>
      </c>
      <c r="G94" s="8" t="s">
        <v>969</v>
      </c>
      <c r="H94" s="8" t="s">
        <v>969</v>
      </c>
      <c r="I94" s="8" t="s">
        <v>1325</v>
      </c>
      <c r="J94" s="8" t="s">
        <v>1326</v>
      </c>
      <c r="K94" s="8" t="s">
        <v>969</v>
      </c>
      <c r="L94" s="8" t="s">
        <v>969</v>
      </c>
      <c r="M94" s="8" t="s">
        <v>972</v>
      </c>
      <c r="N94" s="8" t="s">
        <v>973</v>
      </c>
      <c r="O94" s="8" t="s">
        <v>969</v>
      </c>
      <c r="P94" s="8" t="s">
        <v>969</v>
      </c>
      <c r="Q94" s="8" t="s">
        <v>969</v>
      </c>
      <c r="R94" s="8" t="s">
        <v>969</v>
      </c>
      <c r="S94" s="8" t="s">
        <v>969</v>
      </c>
      <c r="T94" s="8" t="s">
        <v>1327</v>
      </c>
      <c r="U94" s="8" t="s">
        <v>1328</v>
      </c>
      <c r="V94" s="8" t="s">
        <v>1329</v>
      </c>
      <c r="W94" s="8" t="s">
        <v>1330</v>
      </c>
      <c r="X94" s="8" t="s">
        <v>1331</v>
      </c>
      <c r="Y94" s="8" t="s">
        <v>1332</v>
      </c>
      <c r="Z94" s="8" t="s">
        <v>1333</v>
      </c>
      <c r="AA94" s="8" t="s">
        <v>1334</v>
      </c>
      <c r="AB94" s="8" t="s">
        <v>1335</v>
      </c>
      <c r="AC94" s="8" t="s">
        <v>969</v>
      </c>
      <c r="AD94" s="8" t="s">
        <v>969</v>
      </c>
      <c r="AE94" s="8" t="s">
        <v>969</v>
      </c>
      <c r="AF94" s="8" t="s">
        <v>969</v>
      </c>
      <c r="AG94" s="8">
        <v>30.0</v>
      </c>
      <c r="AH94" s="8">
        <v>292.0</v>
      </c>
      <c r="AI94" s="8">
        <v>330.0</v>
      </c>
      <c r="AJ94" s="8">
        <v>1.0</v>
      </c>
      <c r="AK94" s="8">
        <v>109.0</v>
      </c>
      <c r="AL94" s="8" t="s">
        <v>1091</v>
      </c>
      <c r="AM94" s="8" t="s">
        <v>1092</v>
      </c>
      <c r="AN94" s="8" t="s">
        <v>1093</v>
      </c>
      <c r="AO94" s="8" t="s">
        <v>1336</v>
      </c>
      <c r="AP94" s="8" t="s">
        <v>1337</v>
      </c>
      <c r="AQ94" s="8" t="s">
        <v>969</v>
      </c>
      <c r="AR94" s="8" t="s">
        <v>1338</v>
      </c>
      <c r="AS94" s="8" t="s">
        <v>1339</v>
      </c>
      <c r="AT94" s="8" t="s">
        <v>1112</v>
      </c>
      <c r="AU94" s="8">
        <v>2004.0</v>
      </c>
      <c r="AV94" s="8">
        <v>18.0</v>
      </c>
      <c r="AW94" s="8">
        <v>5.0</v>
      </c>
      <c r="AX94" s="8" t="s">
        <v>969</v>
      </c>
      <c r="AY94" s="8" t="s">
        <v>969</v>
      </c>
      <c r="AZ94" s="8" t="s">
        <v>969</v>
      </c>
      <c r="BA94" s="8" t="s">
        <v>969</v>
      </c>
      <c r="BB94" s="8">
        <v>625.0</v>
      </c>
      <c r="BC94" s="8">
        <v>630.0</v>
      </c>
      <c r="BD94" s="8" t="s">
        <v>969</v>
      </c>
      <c r="BE94" s="8" t="s">
        <v>674</v>
      </c>
      <c r="BF94" s="13" t="str">
        <f>HYPERLINK("http://dx.doi.org/10.1111/j.0269-8463.2004.00903.x","http://dx.doi.org/10.1111/j.0269-8463.2004.00903.x")</f>
        <v>http://dx.doi.org/10.1111/j.0269-8463.2004.00903.x</v>
      </c>
      <c r="BG94" s="8" t="s">
        <v>969</v>
      </c>
      <c r="BH94" s="8" t="s">
        <v>969</v>
      </c>
      <c r="BI94" s="8">
        <v>6.0</v>
      </c>
      <c r="BJ94" s="8" t="s">
        <v>1267</v>
      </c>
      <c r="BK94" s="8" t="s">
        <v>988</v>
      </c>
      <c r="BL94" s="8" t="s">
        <v>1268</v>
      </c>
      <c r="BM94" s="8" t="s">
        <v>1340</v>
      </c>
      <c r="BN94" s="8" t="s">
        <v>969</v>
      </c>
      <c r="BO94" s="8" t="s">
        <v>1341</v>
      </c>
      <c r="BP94" s="8" t="s">
        <v>969</v>
      </c>
      <c r="BQ94" s="8" t="s">
        <v>969</v>
      </c>
      <c r="BR94" s="8" t="s">
        <v>3231</v>
      </c>
      <c r="BS94" s="8" t="s">
        <v>1342</v>
      </c>
      <c r="BT94" s="3" t="s">
        <v>3232</v>
      </c>
      <c r="BU94" s="8" t="str">
        <f>HYPERLINK("https%3A%2F%2Fwww.webofscience.com%2Fwos%2Fwoscc%2Ffull-record%2FWOS:000224000900001","View Full Record in Web of Science")</f>
        <v>View Full Record in Web of Science</v>
      </c>
    </row>
    <row r="95" ht="12.75" customHeight="1">
      <c r="A95" s="8" t="s">
        <v>967</v>
      </c>
      <c r="B95" s="8" t="s">
        <v>1995</v>
      </c>
      <c r="C95" s="8" t="s">
        <v>969</v>
      </c>
      <c r="D95" s="8" t="s">
        <v>969</v>
      </c>
      <c r="E95" s="8" t="s">
        <v>969</v>
      </c>
      <c r="F95" s="8" t="s">
        <v>1996</v>
      </c>
      <c r="G95" s="8" t="s">
        <v>969</v>
      </c>
      <c r="H95" s="8" t="s">
        <v>969</v>
      </c>
      <c r="I95" s="8" t="s">
        <v>1997</v>
      </c>
      <c r="J95" s="8" t="s">
        <v>1998</v>
      </c>
      <c r="K95" s="8" t="s">
        <v>969</v>
      </c>
      <c r="L95" s="8" t="s">
        <v>969</v>
      </c>
      <c r="M95" s="8" t="s">
        <v>972</v>
      </c>
      <c r="N95" s="8" t="s">
        <v>973</v>
      </c>
      <c r="O95" s="8" t="s">
        <v>969</v>
      </c>
      <c r="P95" s="8" t="s">
        <v>969</v>
      </c>
      <c r="Q95" s="8" t="s">
        <v>969</v>
      </c>
      <c r="R95" s="8" t="s">
        <v>969</v>
      </c>
      <c r="S95" s="8" t="s">
        <v>969</v>
      </c>
      <c r="T95" s="8" t="s">
        <v>969</v>
      </c>
      <c r="U95" s="8" t="s">
        <v>1999</v>
      </c>
      <c r="V95" s="8" t="s">
        <v>2000</v>
      </c>
      <c r="W95" s="8" t="s">
        <v>2001</v>
      </c>
      <c r="X95" s="8" t="s">
        <v>1220</v>
      </c>
      <c r="Y95" s="8" t="s">
        <v>2002</v>
      </c>
      <c r="Z95" s="8" t="s">
        <v>2003</v>
      </c>
      <c r="AA95" s="8" t="s">
        <v>2004</v>
      </c>
      <c r="AB95" s="8" t="s">
        <v>2005</v>
      </c>
      <c r="AC95" s="8" t="s">
        <v>2006</v>
      </c>
      <c r="AD95" s="8" t="s">
        <v>2006</v>
      </c>
      <c r="AE95" s="8" t="s">
        <v>2007</v>
      </c>
      <c r="AF95" s="8" t="s">
        <v>969</v>
      </c>
      <c r="AG95" s="8">
        <v>64.0</v>
      </c>
      <c r="AH95" s="8">
        <v>17.0</v>
      </c>
      <c r="AI95" s="8">
        <v>19.0</v>
      </c>
      <c r="AJ95" s="8">
        <v>0.0</v>
      </c>
      <c r="AK95" s="8">
        <v>37.0</v>
      </c>
      <c r="AL95" s="8" t="s">
        <v>1755</v>
      </c>
      <c r="AM95" s="8" t="s">
        <v>1756</v>
      </c>
      <c r="AN95" s="8" t="s">
        <v>1757</v>
      </c>
      <c r="AO95" s="8" t="s">
        <v>2008</v>
      </c>
      <c r="AP95" s="8" t="s">
        <v>969</v>
      </c>
      <c r="AQ95" s="8" t="s">
        <v>969</v>
      </c>
      <c r="AR95" s="8" t="s">
        <v>2009</v>
      </c>
      <c r="AS95" s="8" t="s">
        <v>2010</v>
      </c>
      <c r="AT95" s="8" t="s">
        <v>2011</v>
      </c>
      <c r="AU95" s="8">
        <v>2008.0</v>
      </c>
      <c r="AV95" s="8">
        <v>81.0</v>
      </c>
      <c r="AW95" s="8">
        <v>6.0</v>
      </c>
      <c r="AX95" s="8" t="s">
        <v>969</v>
      </c>
      <c r="AY95" s="8" t="s">
        <v>969</v>
      </c>
      <c r="AZ95" s="8" t="s">
        <v>969</v>
      </c>
      <c r="BA95" s="8" t="s">
        <v>969</v>
      </c>
      <c r="BB95" s="8">
        <v>880.0</v>
      </c>
      <c r="BC95" s="8">
        <v>890.0</v>
      </c>
      <c r="BD95" s="8" t="s">
        <v>969</v>
      </c>
      <c r="BE95" s="8" t="s">
        <v>650</v>
      </c>
      <c r="BF95" s="13" t="str">
        <f>HYPERLINK("http://dx.doi.org/10.1086/588171","http://dx.doi.org/10.1086/588171")</f>
        <v>http://dx.doi.org/10.1086/588171</v>
      </c>
      <c r="BG95" s="8" t="s">
        <v>969</v>
      </c>
      <c r="BH95" s="8" t="s">
        <v>969</v>
      </c>
      <c r="BI95" s="8">
        <v>11.0</v>
      </c>
      <c r="BJ95" s="8" t="s">
        <v>2012</v>
      </c>
      <c r="BK95" s="8" t="s">
        <v>988</v>
      </c>
      <c r="BL95" s="8" t="s">
        <v>2012</v>
      </c>
      <c r="BM95" s="8" t="s">
        <v>2013</v>
      </c>
      <c r="BN95" s="8">
        <v>1.8937565E7</v>
      </c>
      <c r="BO95" s="8" t="s">
        <v>969</v>
      </c>
      <c r="BP95" s="8" t="s">
        <v>969</v>
      </c>
      <c r="BQ95" s="8" t="s">
        <v>969</v>
      </c>
      <c r="BR95" s="8" t="s">
        <v>3231</v>
      </c>
      <c r="BS95" s="8" t="s">
        <v>2014</v>
      </c>
      <c r="BT95" s="3" t="s">
        <v>3232</v>
      </c>
      <c r="BU95" s="8" t="str">
        <f>HYPERLINK("https%3A%2F%2Fwww.webofscience.com%2Fwos%2Fwoscc%2Ffull-record%2FWOS:000260547400015","View Full Record in Web of Science")</f>
        <v>View Full Record in Web of Science</v>
      </c>
    </row>
    <row r="96" ht="12.75" customHeight="1">
      <c r="A96" s="8" t="s">
        <v>967</v>
      </c>
      <c r="B96" s="8" t="s">
        <v>2288</v>
      </c>
      <c r="C96" s="8" t="s">
        <v>969</v>
      </c>
      <c r="D96" s="8" t="s">
        <v>969</v>
      </c>
      <c r="E96" s="8" t="s">
        <v>969</v>
      </c>
      <c r="F96" s="8" t="s">
        <v>2289</v>
      </c>
      <c r="G96" s="8" t="s">
        <v>969</v>
      </c>
      <c r="H96" s="8" t="s">
        <v>969</v>
      </c>
      <c r="I96" s="8" t="s">
        <v>2290</v>
      </c>
      <c r="J96" s="8" t="s">
        <v>1377</v>
      </c>
      <c r="K96" s="8" t="s">
        <v>969</v>
      </c>
      <c r="L96" s="8" t="s">
        <v>969</v>
      </c>
      <c r="M96" s="8" t="s">
        <v>972</v>
      </c>
      <c r="N96" s="8" t="s">
        <v>973</v>
      </c>
      <c r="O96" s="8" t="s">
        <v>969</v>
      </c>
      <c r="P96" s="8" t="s">
        <v>969</v>
      </c>
      <c r="Q96" s="8" t="s">
        <v>969</v>
      </c>
      <c r="R96" s="8" t="s">
        <v>969</v>
      </c>
      <c r="S96" s="8" t="s">
        <v>969</v>
      </c>
      <c r="T96" s="8" t="s">
        <v>2291</v>
      </c>
      <c r="U96" s="8" t="s">
        <v>2292</v>
      </c>
      <c r="V96" s="8" t="s">
        <v>2293</v>
      </c>
      <c r="W96" s="8" t="s">
        <v>2294</v>
      </c>
      <c r="X96" s="8" t="s">
        <v>2295</v>
      </c>
      <c r="Y96" s="8" t="s">
        <v>2296</v>
      </c>
      <c r="Z96" s="8" t="s">
        <v>2297</v>
      </c>
      <c r="AA96" s="8" t="s">
        <v>3329</v>
      </c>
      <c r="AB96" s="8" t="s">
        <v>3330</v>
      </c>
      <c r="AC96" s="8" t="s">
        <v>2300</v>
      </c>
      <c r="AD96" s="8" t="s">
        <v>2301</v>
      </c>
      <c r="AE96" s="8" t="s">
        <v>2302</v>
      </c>
      <c r="AF96" s="8" t="s">
        <v>969</v>
      </c>
      <c r="AG96" s="8">
        <v>48.0</v>
      </c>
      <c r="AH96" s="8">
        <v>474.0</v>
      </c>
      <c r="AI96" s="8">
        <v>570.0</v>
      </c>
      <c r="AJ96" s="8">
        <v>3.0</v>
      </c>
      <c r="AK96" s="8">
        <v>327.0</v>
      </c>
      <c r="AL96" s="8" t="s">
        <v>1387</v>
      </c>
      <c r="AM96" s="8" t="s">
        <v>1388</v>
      </c>
      <c r="AN96" s="8" t="s">
        <v>1389</v>
      </c>
      <c r="AO96" s="8" t="s">
        <v>1390</v>
      </c>
      <c r="AP96" s="8" t="s">
        <v>1391</v>
      </c>
      <c r="AQ96" s="8" t="s">
        <v>969</v>
      </c>
      <c r="AR96" s="8" t="s">
        <v>1392</v>
      </c>
      <c r="AS96" s="8" t="s">
        <v>1393</v>
      </c>
      <c r="AT96" s="8" t="s">
        <v>2303</v>
      </c>
      <c r="AU96" s="8">
        <v>2011.0</v>
      </c>
      <c r="AV96" s="8">
        <v>108.0</v>
      </c>
      <c r="AW96" s="8">
        <v>34.0</v>
      </c>
      <c r="AX96" s="8" t="s">
        <v>969</v>
      </c>
      <c r="AY96" s="8" t="s">
        <v>969</v>
      </c>
      <c r="AZ96" s="8" t="s">
        <v>969</v>
      </c>
      <c r="BA96" s="8" t="s">
        <v>969</v>
      </c>
      <c r="BB96" s="8">
        <v>14175.0</v>
      </c>
      <c r="BC96" s="8">
        <v>14180.0</v>
      </c>
      <c r="BD96" s="8" t="s">
        <v>969</v>
      </c>
      <c r="BE96" s="8" t="s">
        <v>641</v>
      </c>
      <c r="BF96" s="13" t="str">
        <f>HYPERLINK("http://dx.doi.org/10.1073/pnas.1103097108","http://dx.doi.org/10.1073/pnas.1103097108")</f>
        <v>http://dx.doi.org/10.1073/pnas.1103097108</v>
      </c>
      <c r="BG96" s="8" t="s">
        <v>969</v>
      </c>
      <c r="BH96" s="8" t="s">
        <v>969</v>
      </c>
      <c r="BI96" s="8">
        <v>6.0</v>
      </c>
      <c r="BJ96" s="8" t="s">
        <v>1076</v>
      </c>
      <c r="BK96" s="8" t="s">
        <v>988</v>
      </c>
      <c r="BL96" s="8" t="s">
        <v>1077</v>
      </c>
      <c r="BM96" s="8" t="s">
        <v>2304</v>
      </c>
      <c r="BN96" s="8">
        <v>2.1844354E7</v>
      </c>
      <c r="BO96" s="8" t="s">
        <v>1227</v>
      </c>
      <c r="BP96" s="8" t="s">
        <v>969</v>
      </c>
      <c r="BQ96" s="8" t="s">
        <v>969</v>
      </c>
      <c r="BR96" s="8" t="s">
        <v>3231</v>
      </c>
      <c r="BS96" s="8" t="s">
        <v>2305</v>
      </c>
      <c r="BT96" s="3" t="s">
        <v>3232</v>
      </c>
      <c r="BU96" s="8" t="str">
        <f>HYPERLINK("https%3A%2F%2Fwww.webofscience.com%2Fwos%2Fwoscc%2Ffull-record%2FWOS:000294163500063","View Full Record in Web of Science")</f>
        <v>View Full Record in Web of Science</v>
      </c>
    </row>
    <row r="97" ht="12.75" customHeight="1">
      <c r="A97" s="8" t="s">
        <v>967</v>
      </c>
      <c r="B97" s="8" t="s">
        <v>1796</v>
      </c>
      <c r="C97" s="8" t="s">
        <v>969</v>
      </c>
      <c r="D97" s="8" t="s">
        <v>969</v>
      </c>
      <c r="E97" s="8" t="s">
        <v>969</v>
      </c>
      <c r="F97" s="8" t="s">
        <v>1797</v>
      </c>
      <c r="G97" s="8" t="s">
        <v>969</v>
      </c>
      <c r="H97" s="8" t="s">
        <v>969</v>
      </c>
      <c r="I97" s="8" t="s">
        <v>1798</v>
      </c>
      <c r="J97" s="8" t="s">
        <v>1799</v>
      </c>
      <c r="K97" s="8" t="s">
        <v>969</v>
      </c>
      <c r="L97" s="8" t="s">
        <v>969</v>
      </c>
      <c r="M97" s="8" t="s">
        <v>972</v>
      </c>
      <c r="N97" s="8" t="s">
        <v>1145</v>
      </c>
      <c r="O97" s="8" t="s">
        <v>1800</v>
      </c>
      <c r="P97" s="8" t="s">
        <v>1801</v>
      </c>
      <c r="Q97" s="8" t="s">
        <v>1802</v>
      </c>
      <c r="R97" s="8" t="s">
        <v>1803</v>
      </c>
      <c r="S97" s="8" t="s">
        <v>969</v>
      </c>
      <c r="T97" s="8" t="s">
        <v>1804</v>
      </c>
      <c r="U97" s="8" t="s">
        <v>1805</v>
      </c>
      <c r="V97" s="8" t="s">
        <v>1806</v>
      </c>
      <c r="W97" s="8" t="s">
        <v>1807</v>
      </c>
      <c r="X97" s="8" t="s">
        <v>1808</v>
      </c>
      <c r="Y97" s="8" t="s">
        <v>1809</v>
      </c>
      <c r="Z97" s="8" t="s">
        <v>1810</v>
      </c>
      <c r="AA97" s="8" t="s">
        <v>3166</v>
      </c>
      <c r="AB97" s="8" t="s">
        <v>3167</v>
      </c>
      <c r="AC97" s="8" t="s">
        <v>969</v>
      </c>
      <c r="AD97" s="8" t="s">
        <v>969</v>
      </c>
      <c r="AE97" s="8" t="s">
        <v>969</v>
      </c>
      <c r="AF97" s="8" t="s">
        <v>969</v>
      </c>
      <c r="AG97" s="8">
        <v>68.0</v>
      </c>
      <c r="AH97" s="8">
        <v>530.0</v>
      </c>
      <c r="AI97" s="8">
        <v>707.0</v>
      </c>
      <c r="AJ97" s="8">
        <v>1.0</v>
      </c>
      <c r="AK97" s="8">
        <v>226.0</v>
      </c>
      <c r="AL97" s="8" t="s">
        <v>1813</v>
      </c>
      <c r="AM97" s="8" t="s">
        <v>1261</v>
      </c>
      <c r="AN97" s="8" t="s">
        <v>1814</v>
      </c>
      <c r="AO97" s="8" t="s">
        <v>1815</v>
      </c>
      <c r="AP97" s="8" t="s">
        <v>1816</v>
      </c>
      <c r="AQ97" s="8" t="s">
        <v>969</v>
      </c>
      <c r="AR97" s="8" t="s">
        <v>1817</v>
      </c>
      <c r="AS97" s="8" t="s">
        <v>1818</v>
      </c>
      <c r="AT97" s="8" t="s">
        <v>1819</v>
      </c>
      <c r="AU97" s="8">
        <v>2008.0</v>
      </c>
      <c r="AV97" s="8">
        <v>254.0</v>
      </c>
      <c r="AW97" s="8">
        <v>3.0</v>
      </c>
      <c r="AX97" s="8" t="s">
        <v>969</v>
      </c>
      <c r="AY97" s="8" t="s">
        <v>969</v>
      </c>
      <c r="AZ97" s="8" t="s">
        <v>969</v>
      </c>
      <c r="BA97" s="8" t="s">
        <v>969</v>
      </c>
      <c r="BB97" s="8">
        <v>390.0</v>
      </c>
      <c r="BC97" s="8">
        <v>406.0</v>
      </c>
      <c r="BD97" s="8" t="s">
        <v>969</v>
      </c>
      <c r="BE97" s="8" t="s">
        <v>569</v>
      </c>
      <c r="BF97" s="13" t="str">
        <f>HYPERLINK("http://dx.doi.org/10.1016/j.foreco.2007.07.023","http://dx.doi.org/10.1016/j.foreco.2007.07.023")</f>
        <v>http://dx.doi.org/10.1016/j.foreco.2007.07.023</v>
      </c>
      <c r="BG97" s="8" t="s">
        <v>969</v>
      </c>
      <c r="BH97" s="8" t="s">
        <v>969</v>
      </c>
      <c r="BI97" s="8">
        <v>17.0</v>
      </c>
      <c r="BJ97" s="8" t="s">
        <v>1820</v>
      </c>
      <c r="BK97" s="8" t="s">
        <v>1164</v>
      </c>
      <c r="BL97" s="8" t="s">
        <v>1820</v>
      </c>
      <c r="BM97" s="8" t="s">
        <v>1821</v>
      </c>
      <c r="BN97" s="8" t="s">
        <v>969</v>
      </c>
      <c r="BO97" s="8" t="s">
        <v>969</v>
      </c>
      <c r="BP97" s="8" t="s">
        <v>969</v>
      </c>
      <c r="BQ97" s="8" t="s">
        <v>969</v>
      </c>
      <c r="BR97" s="8" t="s">
        <v>3231</v>
      </c>
      <c r="BS97" s="8" t="s">
        <v>1822</v>
      </c>
      <c r="BT97" s="3" t="s">
        <v>3232</v>
      </c>
      <c r="BU97" s="8" t="str">
        <f>HYPERLINK("https%3A%2F%2Fwww.webofscience.com%2Fwos%2Fwoscc%2Ffull-record%2FWOS:000253444600003","View Full Record in Web of Science")</f>
        <v>View Full Record in Web of Science</v>
      </c>
    </row>
    <row r="98" ht="12.75" customHeight="1">
      <c r="A98" s="8" t="s">
        <v>967</v>
      </c>
      <c r="B98" s="8" t="s">
        <v>1303</v>
      </c>
      <c r="C98" s="8" t="s">
        <v>969</v>
      </c>
      <c r="D98" s="8" t="s">
        <v>969</v>
      </c>
      <c r="E98" s="8" t="s">
        <v>969</v>
      </c>
      <c r="F98" s="8" t="s">
        <v>1303</v>
      </c>
      <c r="G98" s="8" t="s">
        <v>969</v>
      </c>
      <c r="H98" s="8" t="s">
        <v>969</v>
      </c>
      <c r="I98" s="8" t="s">
        <v>1304</v>
      </c>
      <c r="J98" s="8" t="s">
        <v>1305</v>
      </c>
      <c r="K98" s="8" t="s">
        <v>969</v>
      </c>
      <c r="L98" s="8" t="s">
        <v>969</v>
      </c>
      <c r="M98" s="8" t="s">
        <v>972</v>
      </c>
      <c r="N98" s="8" t="s">
        <v>973</v>
      </c>
      <c r="O98" s="8" t="s">
        <v>969</v>
      </c>
      <c r="P98" s="8" t="s">
        <v>969</v>
      </c>
      <c r="Q98" s="8" t="s">
        <v>969</v>
      </c>
      <c r="R98" s="8" t="s">
        <v>969</v>
      </c>
      <c r="S98" s="8" t="s">
        <v>969</v>
      </c>
      <c r="T98" s="8" t="s">
        <v>969</v>
      </c>
      <c r="U98" s="8" t="s">
        <v>1306</v>
      </c>
      <c r="V98" s="8" t="s">
        <v>1307</v>
      </c>
      <c r="W98" s="8" t="s">
        <v>1308</v>
      </c>
      <c r="X98" s="8" t="s">
        <v>1309</v>
      </c>
      <c r="Y98" s="8" t="s">
        <v>1310</v>
      </c>
      <c r="Z98" s="8" t="s">
        <v>1174</v>
      </c>
      <c r="AA98" s="8" t="s">
        <v>3176</v>
      </c>
      <c r="AB98" s="8" t="s">
        <v>3177</v>
      </c>
      <c r="AC98" s="8" t="s">
        <v>969</v>
      </c>
      <c r="AD98" s="8" t="s">
        <v>969</v>
      </c>
      <c r="AE98" s="8" t="s">
        <v>969</v>
      </c>
      <c r="AF98" s="8" t="s">
        <v>969</v>
      </c>
      <c r="AG98" s="8">
        <v>55.0</v>
      </c>
      <c r="AH98" s="8">
        <v>48.0</v>
      </c>
      <c r="AI98" s="8">
        <v>61.0</v>
      </c>
      <c r="AJ98" s="8">
        <v>1.0</v>
      </c>
      <c r="AK98" s="8">
        <v>29.0</v>
      </c>
      <c r="AL98" s="8" t="s">
        <v>1313</v>
      </c>
      <c r="AM98" s="8" t="s">
        <v>1314</v>
      </c>
      <c r="AN98" s="8" t="s">
        <v>1315</v>
      </c>
      <c r="AO98" s="8" t="s">
        <v>1316</v>
      </c>
      <c r="AP98" s="8" t="s">
        <v>1317</v>
      </c>
      <c r="AQ98" s="8" t="s">
        <v>969</v>
      </c>
      <c r="AR98" s="8" t="s">
        <v>1318</v>
      </c>
      <c r="AS98" s="8" t="s">
        <v>1319</v>
      </c>
      <c r="AT98" s="8" t="s">
        <v>1285</v>
      </c>
      <c r="AU98" s="8">
        <v>2004.0</v>
      </c>
      <c r="AV98" s="8">
        <v>82.0</v>
      </c>
      <c r="AW98" s="8">
        <v>6.0</v>
      </c>
      <c r="AX98" s="8" t="s">
        <v>969</v>
      </c>
      <c r="AY98" s="8" t="s">
        <v>969</v>
      </c>
      <c r="AZ98" s="8" t="s">
        <v>969</v>
      </c>
      <c r="BA98" s="8" t="s">
        <v>969</v>
      </c>
      <c r="BB98" s="8">
        <v>851.0</v>
      </c>
      <c r="BC98" s="8">
        <v>858.0</v>
      </c>
      <c r="BD98" s="8" t="s">
        <v>969</v>
      </c>
      <c r="BE98" s="8" t="s">
        <v>1320</v>
      </c>
      <c r="BF98" s="13" t="str">
        <f>HYPERLINK("http://dx.doi.org/10.1139/Z04-064","http://dx.doi.org/10.1139/Z04-064")</f>
        <v>http://dx.doi.org/10.1139/Z04-064</v>
      </c>
      <c r="BG98" s="8" t="s">
        <v>969</v>
      </c>
      <c r="BH98" s="8" t="s">
        <v>969</v>
      </c>
      <c r="BI98" s="8">
        <v>8.0</v>
      </c>
      <c r="BJ98" s="8" t="s">
        <v>1321</v>
      </c>
      <c r="BK98" s="8" t="s">
        <v>988</v>
      </c>
      <c r="BL98" s="8" t="s">
        <v>1321</v>
      </c>
      <c r="BM98" s="8" t="s">
        <v>1322</v>
      </c>
      <c r="BN98" s="8" t="s">
        <v>969</v>
      </c>
      <c r="BO98" s="8" t="s">
        <v>1227</v>
      </c>
      <c r="BP98" s="8" t="s">
        <v>969</v>
      </c>
      <c r="BQ98" s="8" t="s">
        <v>969</v>
      </c>
      <c r="BR98" s="8" t="s">
        <v>3231</v>
      </c>
      <c r="BS98" s="8" t="s">
        <v>1323</v>
      </c>
      <c r="BT98" s="3" t="s">
        <v>3232</v>
      </c>
      <c r="BU98" s="8" t="str">
        <f>HYPERLINK("https%3A%2F%2Fwww.webofscience.com%2Fwos%2Fwoscc%2Ffull-record%2FWOS:000223983200003","View Full Record in Web of Science")</f>
        <v>View Full Record in Web of Science</v>
      </c>
    </row>
    <row r="99" ht="12.75" customHeight="1">
      <c r="A99" s="8" t="s">
        <v>967</v>
      </c>
      <c r="B99" s="8" t="s">
        <v>2622</v>
      </c>
      <c r="C99" s="8" t="s">
        <v>969</v>
      </c>
      <c r="D99" s="8" t="s">
        <v>969</v>
      </c>
      <c r="E99" s="8" t="s">
        <v>969</v>
      </c>
      <c r="F99" s="8" t="s">
        <v>2623</v>
      </c>
      <c r="G99" s="8" t="s">
        <v>969</v>
      </c>
      <c r="H99" s="8" t="s">
        <v>969</v>
      </c>
      <c r="I99" s="8" t="s">
        <v>2624</v>
      </c>
      <c r="J99" s="8" t="s">
        <v>2625</v>
      </c>
      <c r="K99" s="8" t="s">
        <v>969</v>
      </c>
      <c r="L99" s="8" t="s">
        <v>969</v>
      </c>
      <c r="M99" s="8" t="s">
        <v>972</v>
      </c>
      <c r="N99" s="8" t="s">
        <v>973</v>
      </c>
      <c r="O99" s="8" t="s">
        <v>969</v>
      </c>
      <c r="P99" s="8" t="s">
        <v>969</v>
      </c>
      <c r="Q99" s="8" t="s">
        <v>969</v>
      </c>
      <c r="R99" s="8" t="s">
        <v>969</v>
      </c>
      <c r="S99" s="8" t="s">
        <v>969</v>
      </c>
      <c r="T99" s="8" t="s">
        <v>2626</v>
      </c>
      <c r="U99" s="8" t="s">
        <v>2627</v>
      </c>
      <c r="V99" s="8" t="s">
        <v>2628</v>
      </c>
      <c r="W99" s="8" t="s">
        <v>2629</v>
      </c>
      <c r="X99" s="8" t="s">
        <v>2630</v>
      </c>
      <c r="Y99" s="8" t="s">
        <v>2631</v>
      </c>
      <c r="Z99" s="8" t="s">
        <v>2632</v>
      </c>
      <c r="AA99" s="8" t="s">
        <v>3331</v>
      </c>
      <c r="AB99" s="8" t="s">
        <v>3332</v>
      </c>
      <c r="AC99" s="8" t="s">
        <v>969</v>
      </c>
      <c r="AD99" s="8" t="s">
        <v>969</v>
      </c>
      <c r="AE99" s="8" t="s">
        <v>969</v>
      </c>
      <c r="AF99" s="8" t="s">
        <v>969</v>
      </c>
      <c r="AG99" s="8">
        <v>67.0</v>
      </c>
      <c r="AH99" s="8">
        <v>222.0</v>
      </c>
      <c r="AI99" s="8">
        <v>263.0</v>
      </c>
      <c r="AJ99" s="8">
        <v>1.0</v>
      </c>
      <c r="AK99" s="8">
        <v>132.0</v>
      </c>
      <c r="AL99" s="8" t="s">
        <v>1813</v>
      </c>
      <c r="AM99" s="8" t="s">
        <v>1261</v>
      </c>
      <c r="AN99" s="8" t="s">
        <v>1814</v>
      </c>
      <c r="AO99" s="8" t="s">
        <v>2635</v>
      </c>
      <c r="AP99" s="8" t="s">
        <v>2636</v>
      </c>
      <c r="AQ99" s="8" t="s">
        <v>969</v>
      </c>
      <c r="AR99" s="8" t="s">
        <v>2637</v>
      </c>
      <c r="AS99" s="8" t="s">
        <v>2638</v>
      </c>
      <c r="AT99" s="8" t="s">
        <v>1177</v>
      </c>
      <c r="AU99" s="8">
        <v>2013.0</v>
      </c>
      <c r="AV99" s="8">
        <v>49.0</v>
      </c>
      <c r="AW99" s="8" t="s">
        <v>969</v>
      </c>
      <c r="AX99" s="8" t="s">
        <v>969</v>
      </c>
      <c r="AY99" s="8" t="s">
        <v>969</v>
      </c>
      <c r="AZ99" s="8" t="s">
        <v>969</v>
      </c>
      <c r="BA99" s="8" t="s">
        <v>969</v>
      </c>
      <c r="BB99" s="8">
        <v>23.0</v>
      </c>
      <c r="BC99" s="8">
        <v>31.0</v>
      </c>
      <c r="BD99" s="8" t="s">
        <v>969</v>
      </c>
      <c r="BE99" s="8" t="s">
        <v>542</v>
      </c>
      <c r="BF99" s="13" t="str">
        <f>HYPERLINK("http://dx.doi.org/10.1016/j.actao.2013.02.007","http://dx.doi.org/10.1016/j.actao.2013.02.007")</f>
        <v>http://dx.doi.org/10.1016/j.actao.2013.02.007</v>
      </c>
      <c r="BG99" s="8" t="s">
        <v>969</v>
      </c>
      <c r="BH99" s="8" t="s">
        <v>969</v>
      </c>
      <c r="BI99" s="8">
        <v>9.0</v>
      </c>
      <c r="BJ99" s="8" t="s">
        <v>1267</v>
      </c>
      <c r="BK99" s="8" t="s">
        <v>988</v>
      </c>
      <c r="BL99" s="8" t="s">
        <v>1268</v>
      </c>
      <c r="BM99" s="8" t="s">
        <v>2639</v>
      </c>
      <c r="BN99" s="8" t="s">
        <v>969</v>
      </c>
      <c r="BO99" s="8" t="s">
        <v>969</v>
      </c>
      <c r="BP99" s="8" t="s">
        <v>969</v>
      </c>
      <c r="BQ99" s="8" t="s">
        <v>969</v>
      </c>
      <c r="BR99" s="8" t="s">
        <v>3231</v>
      </c>
      <c r="BS99" s="8" t="s">
        <v>2640</v>
      </c>
      <c r="BT99" s="3" t="s">
        <v>3232</v>
      </c>
      <c r="BU99" s="8" t="str">
        <f>HYPERLINK("https%3A%2F%2Fwww.webofscience.com%2Fwos%2Fwoscc%2Ffull-record%2FWOS:000319538700005","View Full Record in Web of Science")</f>
        <v>View Full Record in Web of Science</v>
      </c>
    </row>
    <row r="100" ht="12.75" customHeight="1">
      <c r="A100" s="8" t="s">
        <v>967</v>
      </c>
      <c r="B100" s="8" t="s">
        <v>2377</v>
      </c>
      <c r="C100" s="8" t="s">
        <v>969</v>
      </c>
      <c r="D100" s="8" t="s">
        <v>969</v>
      </c>
      <c r="E100" s="8" t="s">
        <v>969</v>
      </c>
      <c r="F100" s="8" t="s">
        <v>2378</v>
      </c>
      <c r="G100" s="8" t="s">
        <v>969</v>
      </c>
      <c r="H100" s="8" t="s">
        <v>969</v>
      </c>
      <c r="I100" s="8" t="s">
        <v>2379</v>
      </c>
      <c r="J100" s="8" t="s">
        <v>2380</v>
      </c>
      <c r="K100" s="8" t="s">
        <v>969</v>
      </c>
      <c r="L100" s="8" t="s">
        <v>969</v>
      </c>
      <c r="M100" s="8" t="s">
        <v>972</v>
      </c>
      <c r="N100" s="8" t="s">
        <v>973</v>
      </c>
      <c r="O100" s="8" t="s">
        <v>969</v>
      </c>
      <c r="P100" s="8" t="s">
        <v>969</v>
      </c>
      <c r="Q100" s="8" t="s">
        <v>969</v>
      </c>
      <c r="R100" s="8" t="s">
        <v>969</v>
      </c>
      <c r="S100" s="8" t="s">
        <v>969</v>
      </c>
      <c r="T100" s="8" t="s">
        <v>2381</v>
      </c>
      <c r="U100" s="8" t="s">
        <v>2382</v>
      </c>
      <c r="V100" s="8" t="s">
        <v>2383</v>
      </c>
      <c r="W100" s="8" t="s">
        <v>2384</v>
      </c>
      <c r="X100" s="8" t="s">
        <v>2385</v>
      </c>
      <c r="Y100" s="8" t="s">
        <v>2386</v>
      </c>
      <c r="Z100" s="8" t="s">
        <v>2387</v>
      </c>
      <c r="AA100" s="8" t="s">
        <v>3138</v>
      </c>
      <c r="AB100" s="8" t="s">
        <v>3139</v>
      </c>
      <c r="AC100" s="8" t="s">
        <v>2390</v>
      </c>
      <c r="AD100" s="8" t="s">
        <v>2391</v>
      </c>
      <c r="AE100" s="8" t="s">
        <v>2392</v>
      </c>
      <c r="AF100" s="8" t="s">
        <v>969</v>
      </c>
      <c r="AG100" s="8">
        <v>47.0</v>
      </c>
      <c r="AH100" s="8">
        <v>120.0</v>
      </c>
      <c r="AI100" s="8">
        <v>135.0</v>
      </c>
      <c r="AJ100" s="8">
        <v>2.0</v>
      </c>
      <c r="AK100" s="8">
        <v>151.0</v>
      </c>
      <c r="AL100" s="8" t="s">
        <v>1091</v>
      </c>
      <c r="AM100" s="8" t="s">
        <v>1092</v>
      </c>
      <c r="AN100" s="8" t="s">
        <v>1093</v>
      </c>
      <c r="AO100" s="8" t="s">
        <v>2393</v>
      </c>
      <c r="AP100" s="8" t="s">
        <v>2394</v>
      </c>
      <c r="AQ100" s="8" t="s">
        <v>969</v>
      </c>
      <c r="AR100" s="8" t="s">
        <v>2395</v>
      </c>
      <c r="AS100" s="8" t="s">
        <v>2396</v>
      </c>
      <c r="AT100" s="8" t="s">
        <v>1163</v>
      </c>
      <c r="AU100" s="8">
        <v>2011.0</v>
      </c>
      <c r="AV100" s="8">
        <v>14.0</v>
      </c>
      <c r="AW100" s="8">
        <v>11.0</v>
      </c>
      <c r="AX100" s="8" t="s">
        <v>969</v>
      </c>
      <c r="AY100" s="8" t="s">
        <v>969</v>
      </c>
      <c r="AZ100" s="8" t="s">
        <v>969</v>
      </c>
      <c r="BA100" s="8" t="s">
        <v>969</v>
      </c>
      <c r="BB100" s="8">
        <v>1125.0</v>
      </c>
      <c r="BC100" s="8">
        <v>1133.0</v>
      </c>
      <c r="BD100" s="8" t="s">
        <v>969</v>
      </c>
      <c r="BE100" s="8" t="s">
        <v>749</v>
      </c>
      <c r="BF100" s="13" t="str">
        <f>HYPERLINK("http://dx.doi.org/10.1111/j.1461-0248.2011.01681.x","http://dx.doi.org/10.1111/j.1461-0248.2011.01681.x")</f>
        <v>http://dx.doi.org/10.1111/j.1461-0248.2011.01681.x</v>
      </c>
      <c r="BG100" s="8" t="s">
        <v>969</v>
      </c>
      <c r="BH100" s="8" t="s">
        <v>969</v>
      </c>
      <c r="BI100" s="8">
        <v>9.0</v>
      </c>
      <c r="BJ100" s="8" t="s">
        <v>1267</v>
      </c>
      <c r="BK100" s="8" t="s">
        <v>988</v>
      </c>
      <c r="BL100" s="8" t="s">
        <v>1268</v>
      </c>
      <c r="BM100" s="8" t="s">
        <v>2397</v>
      </c>
      <c r="BN100" s="8">
        <v>2.1955643E7</v>
      </c>
      <c r="BO100" s="8" t="s">
        <v>969</v>
      </c>
      <c r="BP100" s="8" t="s">
        <v>969</v>
      </c>
      <c r="BQ100" s="8" t="s">
        <v>969</v>
      </c>
      <c r="BR100" s="8" t="s">
        <v>3231</v>
      </c>
      <c r="BS100" s="8" t="s">
        <v>2398</v>
      </c>
      <c r="BT100" s="3" t="s">
        <v>3232</v>
      </c>
      <c r="BU100" s="8" t="str">
        <f>HYPERLINK("https%3A%2F%2Fwww.webofscience.com%2Fwos%2Fwoscc%2Ffull-record%2FWOS:000296263200007","View Full Record in Web of Science")</f>
        <v>View Full Record in Web of Science</v>
      </c>
    </row>
    <row r="101" ht="12.75" customHeight="1">
      <c r="A101" s="8" t="s">
        <v>967</v>
      </c>
      <c r="B101" s="8" t="s">
        <v>1357</v>
      </c>
      <c r="C101" s="8" t="s">
        <v>969</v>
      </c>
      <c r="D101" s="8" t="s">
        <v>969</v>
      </c>
      <c r="E101" s="8" t="s">
        <v>969</v>
      </c>
      <c r="F101" s="8" t="s">
        <v>1357</v>
      </c>
      <c r="G101" s="8" t="s">
        <v>969</v>
      </c>
      <c r="H101" s="8" t="s">
        <v>969</v>
      </c>
      <c r="I101" s="8" t="s">
        <v>1358</v>
      </c>
      <c r="J101" s="8" t="s">
        <v>1359</v>
      </c>
      <c r="K101" s="8" t="s">
        <v>969</v>
      </c>
      <c r="L101" s="8" t="s">
        <v>969</v>
      </c>
      <c r="M101" s="8" t="s">
        <v>972</v>
      </c>
      <c r="N101" s="8" t="s">
        <v>973</v>
      </c>
      <c r="O101" s="8" t="s">
        <v>969</v>
      </c>
      <c r="P101" s="8" t="s">
        <v>969</v>
      </c>
      <c r="Q101" s="8" t="s">
        <v>969</v>
      </c>
      <c r="R101" s="8" t="s">
        <v>969</v>
      </c>
      <c r="S101" s="8" t="s">
        <v>969</v>
      </c>
      <c r="T101" s="8" t="s">
        <v>1360</v>
      </c>
      <c r="U101" s="8" t="s">
        <v>1361</v>
      </c>
      <c r="V101" s="8" t="s">
        <v>1362</v>
      </c>
      <c r="W101" s="8" t="s">
        <v>1363</v>
      </c>
      <c r="X101" s="8" t="s">
        <v>1364</v>
      </c>
      <c r="Y101" s="8" t="s">
        <v>1365</v>
      </c>
      <c r="Z101" s="8" t="s">
        <v>1366</v>
      </c>
      <c r="AA101" s="8" t="s">
        <v>3333</v>
      </c>
      <c r="AB101" s="8" t="s">
        <v>3334</v>
      </c>
      <c r="AC101" s="8" t="s">
        <v>969</v>
      </c>
      <c r="AD101" s="8" t="s">
        <v>969</v>
      </c>
      <c r="AE101" s="8" t="s">
        <v>969</v>
      </c>
      <c r="AF101" s="8" t="s">
        <v>969</v>
      </c>
      <c r="AG101" s="8">
        <v>51.0</v>
      </c>
      <c r="AH101" s="8">
        <v>45.0</v>
      </c>
      <c r="AI101" s="8">
        <v>61.0</v>
      </c>
      <c r="AJ101" s="8">
        <v>2.0</v>
      </c>
      <c r="AK101" s="8">
        <v>35.0</v>
      </c>
      <c r="AL101" s="8" t="s">
        <v>1091</v>
      </c>
      <c r="AM101" s="8" t="s">
        <v>1092</v>
      </c>
      <c r="AN101" s="8" t="s">
        <v>1093</v>
      </c>
      <c r="AO101" s="8" t="s">
        <v>1369</v>
      </c>
      <c r="AP101" s="8" t="s">
        <v>1370</v>
      </c>
      <c r="AQ101" s="8" t="s">
        <v>969</v>
      </c>
      <c r="AR101" s="8" t="s">
        <v>1359</v>
      </c>
      <c r="AS101" s="8" t="s">
        <v>1371</v>
      </c>
      <c r="AT101" s="8" t="s">
        <v>1285</v>
      </c>
      <c r="AU101" s="8">
        <v>2005.0</v>
      </c>
      <c r="AV101" s="8">
        <v>37.0</v>
      </c>
      <c r="AW101" s="8">
        <v>2.0</v>
      </c>
      <c r="AX101" s="8" t="s">
        <v>969</v>
      </c>
      <c r="AY101" s="8" t="s">
        <v>969</v>
      </c>
      <c r="AZ101" s="8" t="s">
        <v>969</v>
      </c>
      <c r="BA101" s="8" t="s">
        <v>969</v>
      </c>
      <c r="BB101" s="8">
        <v>202.0</v>
      </c>
      <c r="BC101" s="8">
        <v>208.0</v>
      </c>
      <c r="BD101" s="8" t="s">
        <v>969</v>
      </c>
      <c r="BE101" s="8" t="s">
        <v>785</v>
      </c>
      <c r="BF101" s="13" t="str">
        <f>HYPERLINK("http://dx.doi.org/10.1111/j.1744-7429.2005.00027.x","http://dx.doi.org/10.1111/j.1744-7429.2005.00027.x")</f>
        <v>http://dx.doi.org/10.1111/j.1744-7429.2005.00027.x</v>
      </c>
      <c r="BG101" s="8" t="s">
        <v>969</v>
      </c>
      <c r="BH101" s="8" t="s">
        <v>969</v>
      </c>
      <c r="BI101" s="8">
        <v>7.0</v>
      </c>
      <c r="BJ101" s="8" t="s">
        <v>1267</v>
      </c>
      <c r="BK101" s="8" t="s">
        <v>988</v>
      </c>
      <c r="BL101" s="8" t="s">
        <v>1268</v>
      </c>
      <c r="BM101" s="8" t="s">
        <v>1372</v>
      </c>
      <c r="BN101" s="8" t="s">
        <v>969</v>
      </c>
      <c r="BO101" s="8" t="s">
        <v>969</v>
      </c>
      <c r="BP101" s="8" t="s">
        <v>969</v>
      </c>
      <c r="BQ101" s="8" t="s">
        <v>969</v>
      </c>
      <c r="BR101" s="8" t="s">
        <v>3231</v>
      </c>
      <c r="BS101" s="8" t="s">
        <v>1373</v>
      </c>
      <c r="BT101" s="3" t="s">
        <v>3232</v>
      </c>
      <c r="BU101" s="8" t="str">
        <f>HYPERLINK("https%3A%2F%2Fwww.webofscience.com%2Fwos%2Fwoscc%2Ffull-record%2FWOS:000229355500007","View Full Record in Web of Science")</f>
        <v>View Full Record in Web of Science</v>
      </c>
    </row>
    <row r="102" ht="12.75" customHeight="1">
      <c r="A102" s="8" t="s">
        <v>967</v>
      </c>
      <c r="B102" s="8" t="s">
        <v>2015</v>
      </c>
      <c r="C102" s="8" t="s">
        <v>969</v>
      </c>
      <c r="D102" s="8" t="s">
        <v>969</v>
      </c>
      <c r="E102" s="8" t="s">
        <v>969</v>
      </c>
      <c r="F102" s="8" t="s">
        <v>2016</v>
      </c>
      <c r="G102" s="8" t="s">
        <v>969</v>
      </c>
      <c r="H102" s="8" t="s">
        <v>969</v>
      </c>
      <c r="I102" s="8" t="s">
        <v>2017</v>
      </c>
      <c r="J102" s="8" t="s">
        <v>2018</v>
      </c>
      <c r="K102" s="8" t="s">
        <v>969</v>
      </c>
      <c r="L102" s="8" t="s">
        <v>969</v>
      </c>
      <c r="M102" s="8" t="s">
        <v>972</v>
      </c>
      <c r="N102" s="8" t="s">
        <v>973</v>
      </c>
      <c r="O102" s="8" t="s">
        <v>969</v>
      </c>
      <c r="P102" s="8" t="s">
        <v>969</v>
      </c>
      <c r="Q102" s="8" t="s">
        <v>969</v>
      </c>
      <c r="R102" s="8" t="s">
        <v>969</v>
      </c>
      <c r="S102" s="8" t="s">
        <v>969</v>
      </c>
      <c r="T102" s="8" t="s">
        <v>2019</v>
      </c>
      <c r="U102" s="8" t="s">
        <v>2020</v>
      </c>
      <c r="V102" s="8" t="s">
        <v>2021</v>
      </c>
      <c r="W102" s="8" t="s">
        <v>2022</v>
      </c>
      <c r="X102" s="8" t="s">
        <v>2023</v>
      </c>
      <c r="Y102" s="8" t="s">
        <v>2024</v>
      </c>
      <c r="Z102" s="8" t="s">
        <v>2025</v>
      </c>
      <c r="AA102" s="8" t="s">
        <v>3335</v>
      </c>
      <c r="AB102" s="8" t="s">
        <v>3336</v>
      </c>
      <c r="AC102" s="8" t="s">
        <v>2028</v>
      </c>
      <c r="AD102" s="8" t="s">
        <v>2029</v>
      </c>
      <c r="AE102" s="8" t="s">
        <v>2030</v>
      </c>
      <c r="AF102" s="8" t="s">
        <v>969</v>
      </c>
      <c r="AG102" s="8">
        <v>49.0</v>
      </c>
      <c r="AH102" s="8">
        <v>333.0</v>
      </c>
      <c r="AI102" s="8">
        <v>383.0</v>
      </c>
      <c r="AJ102" s="8">
        <v>1.0</v>
      </c>
      <c r="AK102" s="8">
        <v>203.0</v>
      </c>
      <c r="AL102" s="8" t="s">
        <v>2031</v>
      </c>
      <c r="AM102" s="8" t="s">
        <v>1388</v>
      </c>
      <c r="AN102" s="8" t="s">
        <v>2032</v>
      </c>
      <c r="AO102" s="8" t="s">
        <v>2033</v>
      </c>
      <c r="AP102" s="8" t="s">
        <v>2034</v>
      </c>
      <c r="AQ102" s="8" t="s">
        <v>969</v>
      </c>
      <c r="AR102" s="8" t="s">
        <v>2018</v>
      </c>
      <c r="AS102" s="8" t="s">
        <v>1267</v>
      </c>
      <c r="AT102" s="8" t="s">
        <v>986</v>
      </c>
      <c r="AU102" s="8">
        <v>2008.0</v>
      </c>
      <c r="AV102" s="8">
        <v>89.0</v>
      </c>
      <c r="AW102" s="8">
        <v>12.0</v>
      </c>
      <c r="AX102" s="8" t="s">
        <v>969</v>
      </c>
      <c r="AY102" s="8" t="s">
        <v>969</v>
      </c>
      <c r="AZ102" s="8" t="s">
        <v>969</v>
      </c>
      <c r="BA102" s="8" t="s">
        <v>969</v>
      </c>
      <c r="BB102" s="8">
        <v>3472.0</v>
      </c>
      <c r="BC102" s="8">
        <v>3479.0</v>
      </c>
      <c r="BD102" s="8" t="s">
        <v>969</v>
      </c>
      <c r="BE102" s="8" t="s">
        <v>836</v>
      </c>
      <c r="BF102" s="13" t="str">
        <f>HYPERLINK("http://dx.doi.org/10.1890/07-1748.1","http://dx.doi.org/10.1890/07-1748.1")</f>
        <v>http://dx.doi.org/10.1890/07-1748.1</v>
      </c>
      <c r="BG102" s="8" t="s">
        <v>969</v>
      </c>
      <c r="BH102" s="8" t="s">
        <v>969</v>
      </c>
      <c r="BI102" s="8">
        <v>8.0</v>
      </c>
      <c r="BJ102" s="8" t="s">
        <v>1267</v>
      </c>
      <c r="BK102" s="8" t="s">
        <v>988</v>
      </c>
      <c r="BL102" s="8" t="s">
        <v>1268</v>
      </c>
      <c r="BM102" s="8" t="s">
        <v>2035</v>
      </c>
      <c r="BN102" s="8">
        <v>1.9137952E7</v>
      </c>
      <c r="BO102" s="8" t="s">
        <v>969</v>
      </c>
      <c r="BP102" s="8" t="s">
        <v>969</v>
      </c>
      <c r="BQ102" s="8" t="s">
        <v>969</v>
      </c>
      <c r="BR102" s="8" t="s">
        <v>3231</v>
      </c>
      <c r="BS102" s="8" t="s">
        <v>2036</v>
      </c>
      <c r="BT102" s="3" t="s">
        <v>3232</v>
      </c>
      <c r="BU102" s="8" t="str">
        <f>HYPERLINK("https%3A%2F%2Fwww.webofscience.com%2Fwos%2Fwoscc%2Ffull-record%2FWOS:000261524000021","View Full Record in Web of Science")</f>
        <v>View Full Record in Web of Science</v>
      </c>
    </row>
    <row r="103" ht="12.75" customHeight="1">
      <c r="A103" s="8" t="s">
        <v>967</v>
      </c>
      <c r="B103" s="8" t="s">
        <v>1214</v>
      </c>
      <c r="C103" s="8" t="s">
        <v>969</v>
      </c>
      <c r="D103" s="8" t="s">
        <v>969</v>
      </c>
      <c r="E103" s="8" t="s">
        <v>969</v>
      </c>
      <c r="F103" s="8" t="s">
        <v>1214</v>
      </c>
      <c r="G103" s="8" t="s">
        <v>969</v>
      </c>
      <c r="H103" s="8" t="s">
        <v>969</v>
      </c>
      <c r="I103" s="8" t="s">
        <v>1215</v>
      </c>
      <c r="J103" s="8" t="s">
        <v>1120</v>
      </c>
      <c r="K103" s="8" t="s">
        <v>969</v>
      </c>
      <c r="L103" s="8" t="s">
        <v>969</v>
      </c>
      <c r="M103" s="8" t="s">
        <v>972</v>
      </c>
      <c r="N103" s="8" t="s">
        <v>973</v>
      </c>
      <c r="O103" s="8" t="s">
        <v>969</v>
      </c>
      <c r="P103" s="8" t="s">
        <v>969</v>
      </c>
      <c r="Q103" s="8" t="s">
        <v>969</v>
      </c>
      <c r="R103" s="8" t="s">
        <v>969</v>
      </c>
      <c r="S103" s="8" t="s">
        <v>969</v>
      </c>
      <c r="T103" s="8" t="s">
        <v>1216</v>
      </c>
      <c r="U103" s="8" t="s">
        <v>1217</v>
      </c>
      <c r="V103" s="8" t="s">
        <v>1218</v>
      </c>
      <c r="W103" s="8" t="s">
        <v>1219</v>
      </c>
      <c r="X103" s="8" t="s">
        <v>1220</v>
      </c>
      <c r="Y103" s="8" t="s">
        <v>1221</v>
      </c>
      <c r="Z103" s="8" t="s">
        <v>1222</v>
      </c>
      <c r="AA103" s="8" t="s">
        <v>3337</v>
      </c>
      <c r="AB103" s="8" t="s">
        <v>3338</v>
      </c>
      <c r="AC103" s="8" t="s">
        <v>969</v>
      </c>
      <c r="AD103" s="8" t="s">
        <v>969</v>
      </c>
      <c r="AE103" s="8" t="s">
        <v>969</v>
      </c>
      <c r="AF103" s="8" t="s">
        <v>969</v>
      </c>
      <c r="AG103" s="8">
        <v>38.0</v>
      </c>
      <c r="AH103" s="8">
        <v>391.0</v>
      </c>
      <c r="AI103" s="8">
        <v>472.0</v>
      </c>
      <c r="AJ103" s="8">
        <v>0.0</v>
      </c>
      <c r="AK103" s="8">
        <v>245.0</v>
      </c>
      <c r="AL103" s="8" t="s">
        <v>1130</v>
      </c>
      <c r="AM103" s="8" t="s">
        <v>1071</v>
      </c>
      <c r="AN103" s="8" t="s">
        <v>1131</v>
      </c>
      <c r="AO103" s="8" t="s">
        <v>1132</v>
      </c>
      <c r="AP103" s="8" t="s">
        <v>969</v>
      </c>
      <c r="AQ103" s="8" t="s">
        <v>969</v>
      </c>
      <c r="AR103" s="8" t="s">
        <v>1134</v>
      </c>
      <c r="AS103" s="8" t="s">
        <v>1135</v>
      </c>
      <c r="AT103" s="8" t="s">
        <v>1225</v>
      </c>
      <c r="AU103" s="8">
        <v>2003.0</v>
      </c>
      <c r="AV103" s="8">
        <v>270.0</v>
      </c>
      <c r="AW103" s="8">
        <v>1527.0</v>
      </c>
      <c r="AX103" s="8" t="s">
        <v>969</v>
      </c>
      <c r="AY103" s="8" t="s">
        <v>969</v>
      </c>
      <c r="AZ103" s="8" t="s">
        <v>969</v>
      </c>
      <c r="BA103" s="8" t="s">
        <v>969</v>
      </c>
      <c r="BB103" s="8">
        <v>1887.0</v>
      </c>
      <c r="BC103" s="8">
        <v>1892.0</v>
      </c>
      <c r="BD103" s="8" t="s">
        <v>969</v>
      </c>
      <c r="BE103" s="8" t="s">
        <v>659</v>
      </c>
      <c r="BF103" s="13" t="str">
        <f>HYPERLINK("http://dx.doi.org/10.1098/rspb.2003.2464","http://dx.doi.org/10.1098/rspb.2003.2464")</f>
        <v>http://dx.doi.org/10.1098/rspb.2003.2464</v>
      </c>
      <c r="BG103" s="8" t="s">
        <v>969</v>
      </c>
      <c r="BH103" s="8" t="s">
        <v>969</v>
      </c>
      <c r="BI103" s="8">
        <v>6.0</v>
      </c>
      <c r="BJ103" s="8" t="s">
        <v>1137</v>
      </c>
      <c r="BK103" s="8" t="s">
        <v>988</v>
      </c>
      <c r="BL103" s="8" t="s">
        <v>1138</v>
      </c>
      <c r="BM103" s="8" t="s">
        <v>1226</v>
      </c>
      <c r="BN103" s="8">
        <v>1.4561301E7</v>
      </c>
      <c r="BO103" s="8" t="s">
        <v>1227</v>
      </c>
      <c r="BP103" s="8" t="s">
        <v>969</v>
      </c>
      <c r="BQ103" s="8" t="s">
        <v>969</v>
      </c>
      <c r="BR103" s="8" t="s">
        <v>3231</v>
      </c>
      <c r="BS103" s="8" t="s">
        <v>1228</v>
      </c>
      <c r="BT103" s="3" t="s">
        <v>3232</v>
      </c>
      <c r="BU103" s="8" t="str">
        <f>HYPERLINK("https%3A%2F%2Fwww.webofscience.com%2Fwos%2Fwoscc%2Ffull-record%2FWOS:000185482500003","View Full Record in Web of Science")</f>
        <v>View Full Record in Web of Science</v>
      </c>
    </row>
    <row r="104" ht="12.75" customHeight="1">
      <c r="A104" s="8" t="s">
        <v>967</v>
      </c>
      <c r="B104" s="8" t="s">
        <v>2770</v>
      </c>
      <c r="C104" s="8" t="s">
        <v>969</v>
      </c>
      <c r="D104" s="8" t="s">
        <v>969</v>
      </c>
      <c r="E104" s="8" t="s">
        <v>969</v>
      </c>
      <c r="F104" s="8" t="s">
        <v>2771</v>
      </c>
      <c r="G104" s="8" t="s">
        <v>969</v>
      </c>
      <c r="H104" s="8" t="s">
        <v>969</v>
      </c>
      <c r="I104" s="8" t="s">
        <v>2772</v>
      </c>
      <c r="J104" s="8" t="s">
        <v>1974</v>
      </c>
      <c r="K104" s="8" t="s">
        <v>969</v>
      </c>
      <c r="L104" s="8" t="s">
        <v>969</v>
      </c>
      <c r="M104" s="8" t="s">
        <v>972</v>
      </c>
      <c r="N104" s="8" t="s">
        <v>973</v>
      </c>
      <c r="O104" s="8" t="s">
        <v>969</v>
      </c>
      <c r="P104" s="8" t="s">
        <v>969</v>
      </c>
      <c r="Q104" s="8" t="s">
        <v>969</v>
      </c>
      <c r="R104" s="8" t="s">
        <v>969</v>
      </c>
      <c r="S104" s="8" t="s">
        <v>969</v>
      </c>
      <c r="T104" s="8" t="s">
        <v>969</v>
      </c>
      <c r="U104" s="8" t="s">
        <v>2773</v>
      </c>
      <c r="V104" s="8" t="s">
        <v>2774</v>
      </c>
      <c r="W104" s="8" t="s">
        <v>2775</v>
      </c>
      <c r="X104" s="8" t="s">
        <v>2776</v>
      </c>
      <c r="Y104" s="8" t="s">
        <v>2777</v>
      </c>
      <c r="Z104" s="8" t="s">
        <v>2778</v>
      </c>
      <c r="AA104" s="8" t="s">
        <v>3028</v>
      </c>
      <c r="AB104" s="8" t="s">
        <v>3029</v>
      </c>
      <c r="AC104" s="8" t="s">
        <v>2781</v>
      </c>
      <c r="AD104" s="8" t="s">
        <v>2782</v>
      </c>
      <c r="AE104" s="8" t="s">
        <v>2783</v>
      </c>
      <c r="AF104" s="8" t="s">
        <v>969</v>
      </c>
      <c r="AG104" s="8">
        <v>84.0</v>
      </c>
      <c r="AH104" s="8">
        <v>37.0</v>
      </c>
      <c r="AI104" s="8">
        <v>42.0</v>
      </c>
      <c r="AJ104" s="8">
        <v>0.0</v>
      </c>
      <c r="AK104" s="8">
        <v>42.0</v>
      </c>
      <c r="AL104" s="8" t="s">
        <v>1985</v>
      </c>
      <c r="AM104" s="8" t="s">
        <v>1986</v>
      </c>
      <c r="AN104" s="8" t="s">
        <v>1987</v>
      </c>
      <c r="AO104" s="8" t="s">
        <v>1988</v>
      </c>
      <c r="AP104" s="8" t="s">
        <v>969</v>
      </c>
      <c r="AQ104" s="8" t="s">
        <v>969</v>
      </c>
      <c r="AR104" s="8" t="s">
        <v>1974</v>
      </c>
      <c r="AS104" s="8" t="s">
        <v>1989</v>
      </c>
      <c r="AT104" s="8" t="s">
        <v>2784</v>
      </c>
      <c r="AU104" s="8">
        <v>2013.0</v>
      </c>
      <c r="AV104" s="8">
        <v>8.0</v>
      </c>
      <c r="AW104" s="8">
        <v>11.0</v>
      </c>
      <c r="AX104" s="8" t="s">
        <v>969</v>
      </c>
      <c r="AY104" s="8" t="s">
        <v>969</v>
      </c>
      <c r="AZ104" s="8" t="s">
        <v>969</v>
      </c>
      <c r="BA104" s="8" t="s">
        <v>969</v>
      </c>
      <c r="BB104" s="8" t="s">
        <v>969</v>
      </c>
      <c r="BC104" s="8" t="s">
        <v>969</v>
      </c>
      <c r="BD104" s="8" t="s">
        <v>2785</v>
      </c>
      <c r="BE104" s="8" t="s">
        <v>830</v>
      </c>
      <c r="BF104" s="13" t="str">
        <f>HYPERLINK("http://dx.doi.org/10.1371/journal.pone.0080531","http://dx.doi.org/10.1371/journal.pone.0080531")</f>
        <v>http://dx.doi.org/10.1371/journal.pone.0080531</v>
      </c>
      <c r="BG104" s="8" t="s">
        <v>969</v>
      </c>
      <c r="BH104" s="8" t="s">
        <v>969</v>
      </c>
      <c r="BI104" s="8">
        <v>10.0</v>
      </c>
      <c r="BJ104" s="8" t="s">
        <v>1076</v>
      </c>
      <c r="BK104" s="8" t="s">
        <v>988</v>
      </c>
      <c r="BL104" s="8" t="s">
        <v>1077</v>
      </c>
      <c r="BM104" s="8" t="s">
        <v>2786</v>
      </c>
      <c r="BN104" s="8">
        <v>2.4260411E7</v>
      </c>
      <c r="BO104" s="8" t="s">
        <v>1140</v>
      </c>
      <c r="BP104" s="8" t="s">
        <v>969</v>
      </c>
      <c r="BQ104" s="8" t="s">
        <v>969</v>
      </c>
      <c r="BR104" s="8" t="s">
        <v>3231</v>
      </c>
      <c r="BS104" s="8" t="s">
        <v>2787</v>
      </c>
      <c r="BT104" s="3" t="s">
        <v>3232</v>
      </c>
      <c r="BU104" s="8" t="str">
        <f>HYPERLINK("https%3A%2F%2Fwww.webofscience.com%2Fwos%2Fwoscc%2Ffull-record%2FWOS:000327258600069","View Full Record in Web of Science")</f>
        <v>View Full Record in Web of Science</v>
      </c>
    </row>
    <row r="105" ht="12.75" customHeight="1">
      <c r="A105" s="8" t="s">
        <v>967</v>
      </c>
      <c r="B105" s="8" t="s">
        <v>1250</v>
      </c>
      <c r="C105" s="8" t="s">
        <v>969</v>
      </c>
      <c r="D105" s="8" t="s">
        <v>969</v>
      </c>
      <c r="E105" s="8" t="s">
        <v>969</v>
      </c>
      <c r="F105" s="8" t="s">
        <v>1250</v>
      </c>
      <c r="G105" s="8" t="s">
        <v>969</v>
      </c>
      <c r="H105" s="8" t="s">
        <v>969</v>
      </c>
      <c r="I105" s="8" t="s">
        <v>1251</v>
      </c>
      <c r="J105" s="8" t="s">
        <v>1252</v>
      </c>
      <c r="K105" s="8" t="s">
        <v>969</v>
      </c>
      <c r="L105" s="8" t="s">
        <v>969</v>
      </c>
      <c r="M105" s="8" t="s">
        <v>972</v>
      </c>
      <c r="N105" s="8" t="s">
        <v>973</v>
      </c>
      <c r="O105" s="8" t="s">
        <v>969</v>
      </c>
      <c r="P105" s="8" t="s">
        <v>969</v>
      </c>
      <c r="Q105" s="8" t="s">
        <v>969</v>
      </c>
      <c r="R105" s="8" t="s">
        <v>969</v>
      </c>
      <c r="S105" s="8" t="s">
        <v>969</v>
      </c>
      <c r="T105" s="8" t="s">
        <v>1253</v>
      </c>
      <c r="U105" s="8" t="s">
        <v>1254</v>
      </c>
      <c r="V105" s="8" t="s">
        <v>1255</v>
      </c>
      <c r="W105" s="8" t="s">
        <v>1256</v>
      </c>
      <c r="X105" s="8" t="s">
        <v>1220</v>
      </c>
      <c r="Y105" s="8" t="s">
        <v>1257</v>
      </c>
      <c r="Z105" s="8" t="s">
        <v>1258</v>
      </c>
      <c r="AA105" s="8" t="s">
        <v>969</v>
      </c>
      <c r="AB105" s="8" t="s">
        <v>1259</v>
      </c>
      <c r="AC105" s="8" t="s">
        <v>969</v>
      </c>
      <c r="AD105" s="8" t="s">
        <v>969</v>
      </c>
      <c r="AE105" s="8" t="s">
        <v>969</v>
      </c>
      <c r="AF105" s="8" t="s">
        <v>969</v>
      </c>
      <c r="AG105" s="8">
        <v>49.0</v>
      </c>
      <c r="AH105" s="8">
        <v>47.0</v>
      </c>
      <c r="AI105" s="8">
        <v>60.0</v>
      </c>
      <c r="AJ105" s="8">
        <v>2.0</v>
      </c>
      <c r="AK105" s="8">
        <v>70.0</v>
      </c>
      <c r="AL105" s="8" t="s">
        <v>1260</v>
      </c>
      <c r="AM105" s="8" t="s">
        <v>1261</v>
      </c>
      <c r="AN105" s="8" t="s">
        <v>1262</v>
      </c>
      <c r="AO105" s="8" t="s">
        <v>1263</v>
      </c>
      <c r="AP105" s="8" t="s">
        <v>969</v>
      </c>
      <c r="AQ105" s="8" t="s">
        <v>969</v>
      </c>
      <c r="AR105" s="8" t="s">
        <v>1264</v>
      </c>
      <c r="AS105" s="8" t="s">
        <v>1265</v>
      </c>
      <c r="AT105" s="8" t="s">
        <v>1266</v>
      </c>
      <c r="AU105" s="8">
        <v>2004.0</v>
      </c>
      <c r="AV105" s="8">
        <v>174.0</v>
      </c>
      <c r="AW105" s="8">
        <v>4.0</v>
      </c>
      <c r="AX105" s="8" t="s">
        <v>969</v>
      </c>
      <c r="AY105" s="8" t="s">
        <v>969</v>
      </c>
      <c r="AZ105" s="8" t="s">
        <v>969</v>
      </c>
      <c r="BA105" s="8" t="s">
        <v>969</v>
      </c>
      <c r="BB105" s="8">
        <v>347.0</v>
      </c>
      <c r="BC105" s="8">
        <v>357.0</v>
      </c>
      <c r="BD105" s="8" t="s">
        <v>969</v>
      </c>
      <c r="BE105" s="8" t="s">
        <v>557</v>
      </c>
      <c r="BF105" s="13" t="str">
        <f>HYPERLINK("http://dx.doi.org/10.1016/j.ecolmodel.2003.07.012","http://dx.doi.org/10.1016/j.ecolmodel.2003.07.012")</f>
        <v>http://dx.doi.org/10.1016/j.ecolmodel.2003.07.012</v>
      </c>
      <c r="BG105" s="8" t="s">
        <v>969</v>
      </c>
      <c r="BH105" s="8" t="s">
        <v>969</v>
      </c>
      <c r="BI105" s="8">
        <v>11.0</v>
      </c>
      <c r="BJ105" s="8" t="s">
        <v>1267</v>
      </c>
      <c r="BK105" s="8" t="s">
        <v>988</v>
      </c>
      <c r="BL105" s="8" t="s">
        <v>1268</v>
      </c>
      <c r="BM105" s="8" t="s">
        <v>1269</v>
      </c>
      <c r="BN105" s="8" t="s">
        <v>969</v>
      </c>
      <c r="BO105" s="8" t="s">
        <v>969</v>
      </c>
      <c r="BP105" s="8" t="s">
        <v>969</v>
      </c>
      <c r="BQ105" s="8" t="s">
        <v>969</v>
      </c>
      <c r="BR105" s="8" t="s">
        <v>3231</v>
      </c>
      <c r="BS105" s="8" t="s">
        <v>1270</v>
      </c>
      <c r="BT105" s="3" t="s">
        <v>3232</v>
      </c>
      <c r="BU105" s="8" t="str">
        <f>HYPERLINK("https%3A%2F%2Fwww.webofscience.com%2Fwos%2Fwoscc%2Ffull-record%2FWOS:000221284100002","View Full Record in Web of Science")</f>
        <v>View Full Record in Web of Science</v>
      </c>
    </row>
    <row r="106" ht="12.75" customHeight="1">
      <c r="A106" s="8" t="s">
        <v>967</v>
      </c>
      <c r="B106" s="8" t="s">
        <v>2867</v>
      </c>
      <c r="C106" s="8" t="s">
        <v>969</v>
      </c>
      <c r="D106" s="8" t="s">
        <v>969</v>
      </c>
      <c r="E106" s="8" t="s">
        <v>969</v>
      </c>
      <c r="F106" s="8" t="s">
        <v>2867</v>
      </c>
      <c r="G106" s="8" t="s">
        <v>969</v>
      </c>
      <c r="H106" s="8" t="s">
        <v>969</v>
      </c>
      <c r="I106" s="8" t="s">
        <v>2868</v>
      </c>
      <c r="J106" s="8" t="s">
        <v>2869</v>
      </c>
      <c r="K106" s="8" t="s">
        <v>969</v>
      </c>
      <c r="L106" s="8" t="s">
        <v>969</v>
      </c>
      <c r="M106" s="8" t="s">
        <v>972</v>
      </c>
      <c r="N106" s="8" t="s">
        <v>1145</v>
      </c>
      <c r="O106" s="8" t="s">
        <v>2870</v>
      </c>
      <c r="P106" s="8" t="s">
        <v>2871</v>
      </c>
      <c r="Q106" s="8" t="s">
        <v>2872</v>
      </c>
      <c r="R106" s="8" t="s">
        <v>2873</v>
      </c>
      <c r="S106" s="8" t="s">
        <v>969</v>
      </c>
      <c r="T106" s="8" t="s">
        <v>969</v>
      </c>
      <c r="U106" s="8" t="s">
        <v>2874</v>
      </c>
      <c r="V106" s="8" t="s">
        <v>2875</v>
      </c>
      <c r="W106" s="8" t="s">
        <v>2876</v>
      </c>
      <c r="X106" s="8" t="s">
        <v>969</v>
      </c>
      <c r="Y106" s="8" t="s">
        <v>2877</v>
      </c>
      <c r="Z106" s="8" t="s">
        <v>969</v>
      </c>
      <c r="AA106" s="8" t="s">
        <v>2878</v>
      </c>
      <c r="AB106" s="8" t="s">
        <v>2879</v>
      </c>
      <c r="AC106" s="8" t="s">
        <v>969</v>
      </c>
      <c r="AD106" s="8" t="s">
        <v>969</v>
      </c>
      <c r="AE106" s="8" t="s">
        <v>969</v>
      </c>
      <c r="AF106" s="8" t="s">
        <v>969</v>
      </c>
      <c r="AG106" s="8">
        <v>27.0</v>
      </c>
      <c r="AH106" s="8">
        <v>386.0</v>
      </c>
      <c r="AI106" s="8">
        <v>475.0</v>
      </c>
      <c r="AJ106" s="8">
        <v>0.0</v>
      </c>
      <c r="AK106" s="8">
        <v>91.0</v>
      </c>
      <c r="AL106" s="8" t="s">
        <v>2880</v>
      </c>
      <c r="AM106" s="8" t="s">
        <v>2881</v>
      </c>
      <c r="AN106" s="8" t="s">
        <v>2882</v>
      </c>
      <c r="AO106" s="8" t="s">
        <v>2883</v>
      </c>
      <c r="AP106" s="8" t="s">
        <v>969</v>
      </c>
      <c r="AQ106" s="8" t="s">
        <v>969</v>
      </c>
      <c r="AR106" s="8" t="s">
        <v>2884</v>
      </c>
      <c r="AS106" s="8" t="s">
        <v>2885</v>
      </c>
      <c r="AT106" s="8" t="s">
        <v>1096</v>
      </c>
      <c r="AU106" s="8">
        <v>1996.0</v>
      </c>
      <c r="AV106" s="8">
        <v>41.0</v>
      </c>
      <c r="AW106" s="8">
        <v>5.0</v>
      </c>
      <c r="AX106" s="8" t="s">
        <v>969</v>
      </c>
      <c r="AY106" s="8" t="s">
        <v>969</v>
      </c>
      <c r="AZ106" s="8" t="s">
        <v>969</v>
      </c>
      <c r="BA106" s="8" t="s">
        <v>969</v>
      </c>
      <c r="BB106" s="8">
        <v>1109.0</v>
      </c>
      <c r="BC106" s="8">
        <v>1115.0</v>
      </c>
      <c r="BD106" s="8" t="s">
        <v>969</v>
      </c>
      <c r="BE106" s="8" t="s">
        <v>854</v>
      </c>
      <c r="BF106" s="13" t="str">
        <f>HYPERLINK("http://dx.doi.org/10.4319/lo.1996.41.5.1109","http://dx.doi.org/10.4319/lo.1996.41.5.1109")</f>
        <v>http://dx.doi.org/10.4319/lo.1996.41.5.1109</v>
      </c>
      <c r="BG106" s="8" t="s">
        <v>969</v>
      </c>
      <c r="BH106" s="8" t="s">
        <v>969</v>
      </c>
      <c r="BI106" s="8">
        <v>7.0</v>
      </c>
      <c r="BJ106" s="8" t="s">
        <v>2886</v>
      </c>
      <c r="BK106" s="8" t="s">
        <v>2887</v>
      </c>
      <c r="BL106" s="8" t="s">
        <v>2888</v>
      </c>
      <c r="BM106" s="8" t="s">
        <v>2889</v>
      </c>
      <c r="BN106" s="8" t="s">
        <v>969</v>
      </c>
      <c r="BO106" s="8" t="s">
        <v>1247</v>
      </c>
      <c r="BP106" s="8" t="s">
        <v>969</v>
      </c>
      <c r="BQ106" s="8" t="s">
        <v>969</v>
      </c>
      <c r="BR106" s="8" t="s">
        <v>3231</v>
      </c>
      <c r="BS106" s="8" t="s">
        <v>2890</v>
      </c>
      <c r="BT106" s="3" t="s">
        <v>3232</v>
      </c>
      <c r="BU106" s="8" t="str">
        <f>HYPERLINK("https%3A%2F%2Fwww.webofscience.com%2Fwos%2Fwoscc%2Ffull-record%2FWOS:A1996VN45800034","View Full Record in Web of Science")</f>
        <v>View Full Record in Web of Science</v>
      </c>
    </row>
    <row r="107" ht="12.75" customHeight="1">
      <c r="A107" s="8" t="s">
        <v>967</v>
      </c>
      <c r="B107" s="8" t="s">
        <v>1411</v>
      </c>
      <c r="C107" s="8" t="s">
        <v>969</v>
      </c>
      <c r="D107" s="8" t="s">
        <v>969</v>
      </c>
      <c r="E107" s="8" t="s">
        <v>969</v>
      </c>
      <c r="F107" s="8" t="s">
        <v>1411</v>
      </c>
      <c r="G107" s="8" t="s">
        <v>969</v>
      </c>
      <c r="H107" s="8" t="s">
        <v>969</v>
      </c>
      <c r="I107" s="8" t="s">
        <v>1412</v>
      </c>
      <c r="J107" s="8" t="s">
        <v>1252</v>
      </c>
      <c r="K107" s="8" t="s">
        <v>969</v>
      </c>
      <c r="L107" s="8" t="s">
        <v>969</v>
      </c>
      <c r="M107" s="8" t="s">
        <v>972</v>
      </c>
      <c r="N107" s="8" t="s">
        <v>973</v>
      </c>
      <c r="O107" s="8" t="s">
        <v>969</v>
      </c>
      <c r="P107" s="8" t="s">
        <v>969</v>
      </c>
      <c r="Q107" s="8" t="s">
        <v>969</v>
      </c>
      <c r="R107" s="8" t="s">
        <v>969</v>
      </c>
      <c r="S107" s="8" t="s">
        <v>969</v>
      </c>
      <c r="T107" s="8" t="s">
        <v>1413</v>
      </c>
      <c r="U107" s="8" t="s">
        <v>1414</v>
      </c>
      <c r="V107" s="8" t="s">
        <v>1415</v>
      </c>
      <c r="W107" s="8" t="s">
        <v>1416</v>
      </c>
      <c r="X107" s="8" t="s">
        <v>1417</v>
      </c>
      <c r="Y107" s="8" t="s">
        <v>1418</v>
      </c>
      <c r="Z107" s="8" t="s">
        <v>1419</v>
      </c>
      <c r="AA107" s="8" t="s">
        <v>1108</v>
      </c>
      <c r="AB107" s="8" t="s">
        <v>1421</v>
      </c>
      <c r="AC107" s="8" t="s">
        <v>969</v>
      </c>
      <c r="AD107" s="8" t="s">
        <v>969</v>
      </c>
      <c r="AE107" s="8" t="s">
        <v>969</v>
      </c>
      <c r="AF107" s="8" t="s">
        <v>969</v>
      </c>
      <c r="AG107" s="8">
        <v>77.0</v>
      </c>
      <c r="AH107" s="8">
        <v>419.0</v>
      </c>
      <c r="AI107" s="8">
        <v>459.0</v>
      </c>
      <c r="AJ107" s="8">
        <v>2.0</v>
      </c>
      <c r="AK107" s="8">
        <v>177.0</v>
      </c>
      <c r="AL107" s="8" t="s">
        <v>1260</v>
      </c>
      <c r="AM107" s="8" t="s">
        <v>1261</v>
      </c>
      <c r="AN107" s="8" t="s">
        <v>1262</v>
      </c>
      <c r="AO107" s="8" t="s">
        <v>1263</v>
      </c>
      <c r="AP107" s="8" t="s">
        <v>969</v>
      </c>
      <c r="AQ107" s="8" t="s">
        <v>969</v>
      </c>
      <c r="AR107" s="8" t="s">
        <v>1264</v>
      </c>
      <c r="AS107" s="8" t="s">
        <v>1265</v>
      </c>
      <c r="AT107" s="8" t="s">
        <v>1422</v>
      </c>
      <c r="AU107" s="8">
        <v>2005.0</v>
      </c>
      <c r="AV107" s="8">
        <v>186.0</v>
      </c>
      <c r="AW107" s="8">
        <v>2.0</v>
      </c>
      <c r="AX107" s="8" t="s">
        <v>969</v>
      </c>
      <c r="AY107" s="8" t="s">
        <v>969</v>
      </c>
      <c r="AZ107" s="8" t="s">
        <v>969</v>
      </c>
      <c r="BA107" s="8" t="s">
        <v>969</v>
      </c>
      <c r="BB107" s="8">
        <v>250.0</v>
      </c>
      <c r="BC107" s="8">
        <v>269.0</v>
      </c>
      <c r="BD107" s="8" t="s">
        <v>969</v>
      </c>
      <c r="BE107" s="8" t="s">
        <v>560</v>
      </c>
      <c r="BF107" s="13" t="str">
        <f>HYPERLINK("http://dx.doi.org/10.1016/j.ecolmodel.2005.01.030","http://dx.doi.org/10.1016/j.ecolmodel.2005.01.030")</f>
        <v>http://dx.doi.org/10.1016/j.ecolmodel.2005.01.030</v>
      </c>
      <c r="BG107" s="8" t="s">
        <v>969</v>
      </c>
      <c r="BH107" s="8" t="s">
        <v>969</v>
      </c>
      <c r="BI107" s="8">
        <v>20.0</v>
      </c>
      <c r="BJ107" s="8" t="s">
        <v>1267</v>
      </c>
      <c r="BK107" s="8" t="s">
        <v>988</v>
      </c>
      <c r="BL107" s="8" t="s">
        <v>1268</v>
      </c>
      <c r="BM107" s="8" t="s">
        <v>1423</v>
      </c>
      <c r="BN107" s="8" t="s">
        <v>969</v>
      </c>
      <c r="BO107" s="8" t="s">
        <v>969</v>
      </c>
      <c r="BP107" s="8" t="s">
        <v>969</v>
      </c>
      <c r="BQ107" s="8" t="s">
        <v>969</v>
      </c>
      <c r="BR107" s="8" t="s">
        <v>3231</v>
      </c>
      <c r="BS107" s="8" t="s">
        <v>1424</v>
      </c>
      <c r="BT107" s="3" t="s">
        <v>3232</v>
      </c>
      <c r="BU107" s="8" t="str">
        <f>HYPERLINK("https%3A%2F%2Fwww.webofscience.com%2Fwos%2Fwoscc%2Ffull-record%2FWOS:000230636400008","View Full Record in Web of Science")</f>
        <v>View Full Record in Web of Science</v>
      </c>
    </row>
    <row r="108" ht="12.75" customHeight="1">
      <c r="A108" s="8" t="s">
        <v>967</v>
      </c>
      <c r="B108" s="8" t="s">
        <v>3143</v>
      </c>
      <c r="C108" s="8" t="s">
        <v>969</v>
      </c>
      <c r="D108" s="8" t="s">
        <v>969</v>
      </c>
      <c r="E108" s="8" t="s">
        <v>969</v>
      </c>
      <c r="F108" s="8" t="s">
        <v>3144</v>
      </c>
      <c r="G108" s="8" t="s">
        <v>969</v>
      </c>
      <c r="H108" s="8" t="s">
        <v>969</v>
      </c>
      <c r="I108" s="8" t="s">
        <v>3145</v>
      </c>
      <c r="J108" s="8" t="s">
        <v>2380</v>
      </c>
      <c r="K108" s="8" t="s">
        <v>969</v>
      </c>
      <c r="L108" s="8" t="s">
        <v>969</v>
      </c>
      <c r="M108" s="8" t="s">
        <v>972</v>
      </c>
      <c r="N108" s="8" t="s">
        <v>2924</v>
      </c>
      <c r="O108" s="8" t="s">
        <v>969</v>
      </c>
      <c r="P108" s="8" t="s">
        <v>969</v>
      </c>
      <c r="Q108" s="8" t="s">
        <v>969</v>
      </c>
      <c r="R108" s="8" t="s">
        <v>969</v>
      </c>
      <c r="S108" s="8" t="s">
        <v>969</v>
      </c>
      <c r="T108" s="8" t="s">
        <v>3146</v>
      </c>
      <c r="U108" s="8" t="s">
        <v>3147</v>
      </c>
      <c r="V108" s="8" t="s">
        <v>3148</v>
      </c>
      <c r="W108" s="8" t="s">
        <v>3149</v>
      </c>
      <c r="X108" s="8" t="s">
        <v>3150</v>
      </c>
      <c r="Y108" s="8" t="s">
        <v>3151</v>
      </c>
      <c r="Z108" s="8" t="s">
        <v>3152</v>
      </c>
      <c r="AA108" s="8" t="s">
        <v>3339</v>
      </c>
      <c r="AB108" s="8" t="s">
        <v>3340</v>
      </c>
      <c r="AC108" s="8" t="s">
        <v>3155</v>
      </c>
      <c r="AD108" s="8" t="s">
        <v>3156</v>
      </c>
      <c r="AE108" s="8" t="s">
        <v>3157</v>
      </c>
      <c r="AF108" s="8" t="s">
        <v>969</v>
      </c>
      <c r="AG108" s="8">
        <v>75.0</v>
      </c>
      <c r="AH108" s="8">
        <v>471.0</v>
      </c>
      <c r="AI108" s="8">
        <v>555.0</v>
      </c>
      <c r="AJ108" s="8">
        <v>1.0</v>
      </c>
      <c r="AK108" s="8">
        <v>294.0</v>
      </c>
      <c r="AL108" s="8" t="s">
        <v>1091</v>
      </c>
      <c r="AM108" s="8" t="s">
        <v>1092</v>
      </c>
      <c r="AN108" s="8" t="s">
        <v>1093</v>
      </c>
      <c r="AO108" s="8" t="s">
        <v>2393</v>
      </c>
      <c r="AP108" s="8" t="s">
        <v>2394</v>
      </c>
      <c r="AQ108" s="8" t="s">
        <v>969</v>
      </c>
      <c r="AR108" s="8" t="s">
        <v>2395</v>
      </c>
      <c r="AS108" s="8" t="s">
        <v>2396</v>
      </c>
      <c r="AT108" s="8" t="s">
        <v>1211</v>
      </c>
      <c r="AU108" s="8">
        <v>2010.0</v>
      </c>
      <c r="AV108" s="8">
        <v>13.0</v>
      </c>
      <c r="AW108" s="8">
        <v>8.0</v>
      </c>
      <c r="AX108" s="8" t="s">
        <v>969</v>
      </c>
      <c r="AY108" s="8" t="s">
        <v>969</v>
      </c>
      <c r="AZ108" s="8" t="s">
        <v>969</v>
      </c>
      <c r="BA108" s="8" t="s">
        <v>969</v>
      </c>
      <c r="BB108" s="8">
        <v>1041.0</v>
      </c>
      <c r="BC108" s="8">
        <v>1054.0</v>
      </c>
      <c r="BD108" s="8" t="s">
        <v>969</v>
      </c>
      <c r="BE108" s="8" t="s">
        <v>746</v>
      </c>
      <c r="BF108" s="13" t="str">
        <f>HYPERLINK("http://dx.doi.org/10.1111/j.1461-0248.2010.01479.x","http://dx.doi.org/10.1111/j.1461-0248.2010.01479.x")</f>
        <v>http://dx.doi.org/10.1111/j.1461-0248.2010.01479.x</v>
      </c>
      <c r="BG108" s="8" t="s">
        <v>969</v>
      </c>
      <c r="BH108" s="8" t="s">
        <v>969</v>
      </c>
      <c r="BI108" s="8">
        <v>14.0</v>
      </c>
      <c r="BJ108" s="8" t="s">
        <v>1267</v>
      </c>
      <c r="BK108" s="8" t="s">
        <v>988</v>
      </c>
      <c r="BL108" s="8" t="s">
        <v>1268</v>
      </c>
      <c r="BM108" s="8" t="s">
        <v>3158</v>
      </c>
      <c r="BN108" s="8">
        <v>2.0482574E7</v>
      </c>
      <c r="BO108" s="8" t="s">
        <v>969</v>
      </c>
      <c r="BP108" s="8" t="s">
        <v>969</v>
      </c>
      <c r="BQ108" s="8" t="s">
        <v>969</v>
      </c>
      <c r="BR108" s="8" t="s">
        <v>3231</v>
      </c>
      <c r="BS108" s="8" t="s">
        <v>3159</v>
      </c>
      <c r="BT108" s="3" t="s">
        <v>3232</v>
      </c>
      <c r="BU108" s="8" t="str">
        <f>HYPERLINK("https%3A%2F%2Fwww.webofscience.com%2Fwos%2Fwoscc%2Ffull-record%2FWOS:000279934400011","View Full Record in Web of Science")</f>
        <v>View Full Record in Web of Science</v>
      </c>
    </row>
    <row r="109" ht="12.75" customHeight="1">
      <c r="A109" s="8" t="s">
        <v>967</v>
      </c>
      <c r="B109" s="8" t="s">
        <v>2271</v>
      </c>
      <c r="C109" s="8" t="s">
        <v>969</v>
      </c>
      <c r="D109" s="8" t="s">
        <v>969</v>
      </c>
      <c r="E109" s="8" t="s">
        <v>969</v>
      </c>
      <c r="F109" s="8" t="s">
        <v>2272</v>
      </c>
      <c r="G109" s="8" t="s">
        <v>969</v>
      </c>
      <c r="H109" s="8" t="s">
        <v>969</v>
      </c>
      <c r="I109" s="8" t="s">
        <v>2273</v>
      </c>
      <c r="J109" s="8" t="s">
        <v>1144</v>
      </c>
      <c r="K109" s="8" t="s">
        <v>969</v>
      </c>
      <c r="L109" s="8" t="s">
        <v>969</v>
      </c>
      <c r="M109" s="8" t="s">
        <v>972</v>
      </c>
      <c r="N109" s="8" t="s">
        <v>973</v>
      </c>
      <c r="O109" s="8" t="s">
        <v>969</v>
      </c>
      <c r="P109" s="8" t="s">
        <v>969</v>
      </c>
      <c r="Q109" s="8" t="s">
        <v>969</v>
      </c>
      <c r="R109" s="8" t="s">
        <v>969</v>
      </c>
      <c r="S109" s="8" t="s">
        <v>969</v>
      </c>
      <c r="T109" s="8" t="s">
        <v>2274</v>
      </c>
      <c r="U109" s="8" t="s">
        <v>2275</v>
      </c>
      <c r="V109" s="8" t="s">
        <v>2276</v>
      </c>
      <c r="W109" s="8" t="s">
        <v>2277</v>
      </c>
      <c r="X109" s="8" t="s">
        <v>2278</v>
      </c>
      <c r="Y109" s="8" t="s">
        <v>2279</v>
      </c>
      <c r="Z109" s="8" t="s">
        <v>2280</v>
      </c>
      <c r="AA109" s="8" t="s">
        <v>3341</v>
      </c>
      <c r="AB109" s="8" t="s">
        <v>3342</v>
      </c>
      <c r="AC109" s="8" t="s">
        <v>2283</v>
      </c>
      <c r="AD109" s="8" t="s">
        <v>2284</v>
      </c>
      <c r="AE109" s="8" t="s">
        <v>2285</v>
      </c>
      <c r="AF109" s="8" t="s">
        <v>969</v>
      </c>
      <c r="AG109" s="8">
        <v>64.0</v>
      </c>
      <c r="AH109" s="8">
        <v>270.0</v>
      </c>
      <c r="AI109" s="8">
        <v>296.0</v>
      </c>
      <c r="AJ109" s="8">
        <v>1.0</v>
      </c>
      <c r="AK109" s="8">
        <v>124.0</v>
      </c>
      <c r="AL109" s="8" t="s">
        <v>1091</v>
      </c>
      <c r="AM109" s="8" t="s">
        <v>1092</v>
      </c>
      <c r="AN109" s="8" t="s">
        <v>1093</v>
      </c>
      <c r="AO109" s="8" t="s">
        <v>1159</v>
      </c>
      <c r="AP109" s="8" t="s">
        <v>1160</v>
      </c>
      <c r="AQ109" s="8" t="s">
        <v>969</v>
      </c>
      <c r="AR109" s="8" t="s">
        <v>1161</v>
      </c>
      <c r="AS109" s="8" t="s">
        <v>1162</v>
      </c>
      <c r="AT109" s="8" t="s">
        <v>1300</v>
      </c>
      <c r="AU109" s="8">
        <v>2011.0</v>
      </c>
      <c r="AV109" s="8">
        <v>20.0</v>
      </c>
      <c r="AW109" s="8">
        <v>5.0</v>
      </c>
      <c r="AX109" s="8" t="s">
        <v>969</v>
      </c>
      <c r="AY109" s="8" t="s">
        <v>969</v>
      </c>
      <c r="AZ109" s="8" t="s">
        <v>969</v>
      </c>
      <c r="BA109" s="8" t="s">
        <v>969</v>
      </c>
      <c r="BB109" s="8">
        <v>766.0</v>
      </c>
      <c r="BC109" s="8">
        <v>778.0</v>
      </c>
      <c r="BD109" s="8" t="s">
        <v>969</v>
      </c>
      <c r="BE109" s="8" t="s">
        <v>758</v>
      </c>
      <c r="BF109" s="13" t="str">
        <f>HYPERLINK("http://dx.doi.org/10.1111/j.1466-8238.2010.00646.x","http://dx.doi.org/10.1111/j.1466-8238.2010.00646.x")</f>
        <v>http://dx.doi.org/10.1111/j.1466-8238.2010.00646.x</v>
      </c>
      <c r="BG109" s="8" t="s">
        <v>969</v>
      </c>
      <c r="BH109" s="8" t="s">
        <v>969</v>
      </c>
      <c r="BI109" s="8">
        <v>13.0</v>
      </c>
      <c r="BJ109" s="8" t="s">
        <v>1017</v>
      </c>
      <c r="BK109" s="8" t="s">
        <v>988</v>
      </c>
      <c r="BL109" s="8" t="s">
        <v>1018</v>
      </c>
      <c r="BM109" s="8" t="s">
        <v>2286</v>
      </c>
      <c r="BN109" s="8" t="s">
        <v>969</v>
      </c>
      <c r="BO109" s="8" t="s">
        <v>1247</v>
      </c>
      <c r="BP109" s="8" t="s">
        <v>969</v>
      </c>
      <c r="BQ109" s="8" t="s">
        <v>969</v>
      </c>
      <c r="BR109" s="8" t="s">
        <v>3231</v>
      </c>
      <c r="BS109" s="8" t="s">
        <v>2287</v>
      </c>
      <c r="BT109" s="3" t="s">
        <v>3232</v>
      </c>
      <c r="BU109" s="8" t="str">
        <f>HYPERLINK("https%3A%2F%2Fwww.webofscience.com%2Fwos%2Fwoscc%2Ffull-record%2FWOS:000293701300011","View Full Record in Web of Science")</f>
        <v>View Full Record in Web of Science</v>
      </c>
    </row>
    <row r="110" ht="12.75" customHeight="1">
      <c r="A110" s="8" t="s">
        <v>967</v>
      </c>
      <c r="B110" s="8" t="s">
        <v>2506</v>
      </c>
      <c r="C110" s="8" t="s">
        <v>969</v>
      </c>
      <c r="D110" s="8" t="s">
        <v>969</v>
      </c>
      <c r="E110" s="8" t="s">
        <v>969</v>
      </c>
      <c r="F110" s="8" t="s">
        <v>2507</v>
      </c>
      <c r="G110" s="8" t="s">
        <v>969</v>
      </c>
      <c r="H110" s="8" t="s">
        <v>969</v>
      </c>
      <c r="I110" s="8" t="s">
        <v>2508</v>
      </c>
      <c r="J110" s="8" t="s">
        <v>1377</v>
      </c>
      <c r="K110" s="8" t="s">
        <v>969</v>
      </c>
      <c r="L110" s="8" t="s">
        <v>969</v>
      </c>
      <c r="M110" s="8" t="s">
        <v>972</v>
      </c>
      <c r="N110" s="8" t="s">
        <v>973</v>
      </c>
      <c r="O110" s="8" t="s">
        <v>969</v>
      </c>
      <c r="P110" s="8" t="s">
        <v>969</v>
      </c>
      <c r="Q110" s="8" t="s">
        <v>969</v>
      </c>
      <c r="R110" s="8" t="s">
        <v>969</v>
      </c>
      <c r="S110" s="8" t="s">
        <v>969</v>
      </c>
      <c r="T110" s="8" t="s">
        <v>969</v>
      </c>
      <c r="U110" s="8" t="s">
        <v>2509</v>
      </c>
      <c r="V110" s="8" t="s">
        <v>2510</v>
      </c>
      <c r="W110" s="8" t="s">
        <v>2511</v>
      </c>
      <c r="X110" s="8" t="s">
        <v>2406</v>
      </c>
      <c r="Y110" s="8" t="s">
        <v>2512</v>
      </c>
      <c r="Z110" s="8" t="s">
        <v>2513</v>
      </c>
      <c r="AA110" s="8" t="s">
        <v>969</v>
      </c>
      <c r="AB110" s="8" t="s">
        <v>2514</v>
      </c>
      <c r="AC110" s="8" t="s">
        <v>969</v>
      </c>
      <c r="AD110" s="8" t="s">
        <v>969</v>
      </c>
      <c r="AE110" s="8" t="s">
        <v>969</v>
      </c>
      <c r="AF110" s="8" t="s">
        <v>969</v>
      </c>
      <c r="AG110" s="8">
        <v>35.0</v>
      </c>
      <c r="AH110" s="8">
        <v>464.0</v>
      </c>
      <c r="AI110" s="8">
        <v>531.0</v>
      </c>
      <c r="AJ110" s="8">
        <v>3.0</v>
      </c>
      <c r="AK110" s="8">
        <v>225.0</v>
      </c>
      <c r="AL110" s="8" t="s">
        <v>1387</v>
      </c>
      <c r="AM110" s="8" t="s">
        <v>1388</v>
      </c>
      <c r="AN110" s="8" t="s">
        <v>1389</v>
      </c>
      <c r="AO110" s="8" t="s">
        <v>1390</v>
      </c>
      <c r="AP110" s="8" t="s">
        <v>1391</v>
      </c>
      <c r="AQ110" s="8" t="s">
        <v>969</v>
      </c>
      <c r="AR110" s="8" t="s">
        <v>1392</v>
      </c>
      <c r="AS110" s="8" t="s">
        <v>1393</v>
      </c>
      <c r="AT110" s="8" t="s">
        <v>2515</v>
      </c>
      <c r="AU110" s="8">
        <v>2012.0</v>
      </c>
      <c r="AV110" s="8">
        <v>109.0</v>
      </c>
      <c r="AW110" s="8">
        <v>22.0</v>
      </c>
      <c r="AX110" s="8" t="s">
        <v>969</v>
      </c>
      <c r="AY110" s="8" t="s">
        <v>969</v>
      </c>
      <c r="AZ110" s="8" t="s">
        <v>969</v>
      </c>
      <c r="BA110" s="8" t="s">
        <v>969</v>
      </c>
      <c r="BB110" s="8">
        <v>8606.0</v>
      </c>
      <c r="BC110" s="8">
        <v>8611.0</v>
      </c>
      <c r="BD110" s="8" t="s">
        <v>969</v>
      </c>
      <c r="BE110" s="8" t="s">
        <v>644</v>
      </c>
      <c r="BF110" s="13" t="str">
        <f>HYPERLINK("http://dx.doi.org/10.1073/pnas.1116791109","http://dx.doi.org/10.1073/pnas.1116791109")</f>
        <v>http://dx.doi.org/10.1073/pnas.1116791109</v>
      </c>
      <c r="BG110" s="8" t="s">
        <v>969</v>
      </c>
      <c r="BH110" s="8" t="s">
        <v>969</v>
      </c>
      <c r="BI110" s="8">
        <v>6.0</v>
      </c>
      <c r="BJ110" s="8" t="s">
        <v>1076</v>
      </c>
      <c r="BK110" s="8" t="s">
        <v>988</v>
      </c>
      <c r="BL110" s="8" t="s">
        <v>1077</v>
      </c>
      <c r="BM110" s="8" t="s">
        <v>2516</v>
      </c>
      <c r="BN110" s="8">
        <v>2.2586104E7</v>
      </c>
      <c r="BO110" s="8" t="s">
        <v>2517</v>
      </c>
      <c r="BP110" s="8" t="s">
        <v>969</v>
      </c>
      <c r="BQ110" s="8" t="s">
        <v>969</v>
      </c>
      <c r="BR110" s="8" t="s">
        <v>3231</v>
      </c>
      <c r="BS110" s="8" t="s">
        <v>2518</v>
      </c>
      <c r="BT110" s="3" t="s">
        <v>3232</v>
      </c>
      <c r="BU110" s="8" t="str">
        <f>HYPERLINK("https%3A%2F%2Fwww.webofscience.com%2Fwos%2Fwoscc%2Ffull-record%2FWOS:000304881700053","View Full Record in Web of Science")</f>
        <v>View Full Record in Web of Science</v>
      </c>
    </row>
    <row r="111" ht="12.75" customHeight="1">
      <c r="A111" s="8" t="s">
        <v>967</v>
      </c>
      <c r="B111" s="8" t="s">
        <v>2215</v>
      </c>
      <c r="C111" s="8" t="s">
        <v>969</v>
      </c>
      <c r="D111" s="8" t="s">
        <v>969</v>
      </c>
      <c r="E111" s="8" t="s">
        <v>969</v>
      </c>
      <c r="F111" s="8" t="s">
        <v>2216</v>
      </c>
      <c r="G111" s="8" t="s">
        <v>969</v>
      </c>
      <c r="H111" s="8" t="s">
        <v>969</v>
      </c>
      <c r="I111" s="8" t="s">
        <v>2217</v>
      </c>
      <c r="J111" s="8" t="s">
        <v>2218</v>
      </c>
      <c r="K111" s="8" t="s">
        <v>969</v>
      </c>
      <c r="L111" s="8" t="s">
        <v>969</v>
      </c>
      <c r="M111" s="8" t="s">
        <v>972</v>
      </c>
      <c r="N111" s="8" t="s">
        <v>973</v>
      </c>
      <c r="O111" s="8" t="s">
        <v>969</v>
      </c>
      <c r="P111" s="8" t="s">
        <v>969</v>
      </c>
      <c r="Q111" s="8" t="s">
        <v>969</v>
      </c>
      <c r="R111" s="8" t="s">
        <v>969</v>
      </c>
      <c r="S111" s="8" t="s">
        <v>969</v>
      </c>
      <c r="T111" s="8" t="s">
        <v>2219</v>
      </c>
      <c r="U111" s="8" t="s">
        <v>2220</v>
      </c>
      <c r="V111" s="8" t="s">
        <v>2221</v>
      </c>
      <c r="W111" s="8" t="s">
        <v>2222</v>
      </c>
      <c r="X111" s="8" t="s">
        <v>2223</v>
      </c>
      <c r="Y111" s="8" t="s">
        <v>2224</v>
      </c>
      <c r="Z111" s="8" t="s">
        <v>2225</v>
      </c>
      <c r="AA111" s="8" t="s">
        <v>3005</v>
      </c>
      <c r="AB111" s="8" t="s">
        <v>2227</v>
      </c>
      <c r="AC111" s="8" t="s">
        <v>2228</v>
      </c>
      <c r="AD111" s="8" t="s">
        <v>2229</v>
      </c>
      <c r="AE111" s="8" t="s">
        <v>2230</v>
      </c>
      <c r="AF111" s="8" t="s">
        <v>969</v>
      </c>
      <c r="AG111" s="8">
        <v>41.0</v>
      </c>
      <c r="AH111" s="8">
        <v>26.0</v>
      </c>
      <c r="AI111" s="8">
        <v>36.0</v>
      </c>
      <c r="AJ111" s="8">
        <v>1.0</v>
      </c>
      <c r="AK111" s="8">
        <v>57.0</v>
      </c>
      <c r="AL111" s="8" t="s">
        <v>1091</v>
      </c>
      <c r="AM111" s="8" t="s">
        <v>1092</v>
      </c>
      <c r="AN111" s="8" t="s">
        <v>1093</v>
      </c>
      <c r="AO111" s="8" t="s">
        <v>2231</v>
      </c>
      <c r="AP111" s="8" t="s">
        <v>2232</v>
      </c>
      <c r="AQ111" s="8" t="s">
        <v>969</v>
      </c>
      <c r="AR111" s="8" t="s">
        <v>2233</v>
      </c>
      <c r="AS111" s="8" t="s">
        <v>2234</v>
      </c>
      <c r="AT111" s="8" t="s">
        <v>1285</v>
      </c>
      <c r="AU111" s="8">
        <v>2010.0</v>
      </c>
      <c r="AV111" s="8">
        <v>5.0</v>
      </c>
      <c r="AW111" s="8">
        <v>2.0</v>
      </c>
      <c r="AX111" s="8" t="s">
        <v>969</v>
      </c>
      <c r="AY111" s="8" t="s">
        <v>969</v>
      </c>
      <c r="AZ111" s="8" t="s">
        <v>969</v>
      </c>
      <c r="BA111" s="8" t="s">
        <v>969</v>
      </c>
      <c r="BB111" s="8">
        <v>154.0</v>
      </c>
      <c r="BC111" s="8">
        <v>163.0</v>
      </c>
      <c r="BD111" s="8" t="s">
        <v>969</v>
      </c>
      <c r="BE111" s="8" t="s">
        <v>788</v>
      </c>
      <c r="BF111" s="13" t="str">
        <f>HYPERLINK("http://dx.doi.org/10.1111/j.1749-4877.2010.00198.x","http://dx.doi.org/10.1111/j.1749-4877.2010.00198.x")</f>
        <v>http://dx.doi.org/10.1111/j.1749-4877.2010.00198.x</v>
      </c>
      <c r="BG111" s="8" t="s">
        <v>969</v>
      </c>
      <c r="BH111" s="8" t="s">
        <v>969</v>
      </c>
      <c r="BI111" s="8">
        <v>10.0</v>
      </c>
      <c r="BJ111" s="8" t="s">
        <v>1321</v>
      </c>
      <c r="BK111" s="8" t="s">
        <v>988</v>
      </c>
      <c r="BL111" s="8" t="s">
        <v>1321</v>
      </c>
      <c r="BM111" s="8" t="s">
        <v>2235</v>
      </c>
      <c r="BN111" s="8">
        <v>2.1392333E7</v>
      </c>
      <c r="BO111" s="8" t="s">
        <v>969</v>
      </c>
      <c r="BP111" s="8" t="s">
        <v>969</v>
      </c>
      <c r="BQ111" s="8" t="s">
        <v>969</v>
      </c>
      <c r="BR111" s="8" t="s">
        <v>3231</v>
      </c>
      <c r="BS111" s="8" t="s">
        <v>2236</v>
      </c>
      <c r="BT111" s="3" t="s">
        <v>3232</v>
      </c>
      <c r="BU111" s="8" t="str">
        <f>HYPERLINK("https%3A%2F%2Fwww.webofscience.com%2Fwos%2Fwoscc%2Ffull-record%2FWOS:000278345400009","View Full Record in Web of Science")</f>
        <v>View Full Record in Web of Science</v>
      </c>
    </row>
    <row r="112" ht="12.75" customHeight="1">
      <c r="A112" s="8" t="s">
        <v>967</v>
      </c>
      <c r="B112" s="8" t="s">
        <v>1742</v>
      </c>
      <c r="C112" s="8" t="s">
        <v>969</v>
      </c>
      <c r="D112" s="8" t="s">
        <v>969</v>
      </c>
      <c r="E112" s="8" t="s">
        <v>969</v>
      </c>
      <c r="F112" s="8" t="s">
        <v>1743</v>
      </c>
      <c r="G112" s="8" t="s">
        <v>969</v>
      </c>
      <c r="H112" s="8" t="s">
        <v>969</v>
      </c>
      <c r="I112" s="8" t="s">
        <v>1744</v>
      </c>
      <c r="J112" s="8" t="s">
        <v>1745</v>
      </c>
      <c r="K112" s="8" t="s">
        <v>969</v>
      </c>
      <c r="L112" s="8" t="s">
        <v>969</v>
      </c>
      <c r="M112" s="8" t="s">
        <v>972</v>
      </c>
      <c r="N112" s="8" t="s">
        <v>973</v>
      </c>
      <c r="O112" s="8" t="s">
        <v>969</v>
      </c>
      <c r="P112" s="8" t="s">
        <v>969</v>
      </c>
      <c r="Q112" s="8" t="s">
        <v>969</v>
      </c>
      <c r="R112" s="8" t="s">
        <v>969</v>
      </c>
      <c r="S112" s="8" t="s">
        <v>969</v>
      </c>
      <c r="T112" s="8" t="s">
        <v>1746</v>
      </c>
      <c r="U112" s="8" t="s">
        <v>1747</v>
      </c>
      <c r="V112" s="8" t="s">
        <v>1748</v>
      </c>
      <c r="W112" s="8" t="s">
        <v>1749</v>
      </c>
      <c r="X112" s="8" t="s">
        <v>1750</v>
      </c>
      <c r="Y112" s="8" t="s">
        <v>1751</v>
      </c>
      <c r="Z112" s="8" t="s">
        <v>1752</v>
      </c>
      <c r="AA112" s="8" t="s">
        <v>3168</v>
      </c>
      <c r="AB112" s="8" t="s">
        <v>3169</v>
      </c>
      <c r="AC112" s="8" t="s">
        <v>969</v>
      </c>
      <c r="AD112" s="8" t="s">
        <v>969</v>
      </c>
      <c r="AE112" s="8" t="s">
        <v>969</v>
      </c>
      <c r="AF112" s="8" t="s">
        <v>969</v>
      </c>
      <c r="AG112" s="8">
        <v>94.0</v>
      </c>
      <c r="AH112" s="8">
        <v>229.0</v>
      </c>
      <c r="AI112" s="8">
        <v>266.0</v>
      </c>
      <c r="AJ112" s="8">
        <v>1.0</v>
      </c>
      <c r="AK112" s="8">
        <v>120.0</v>
      </c>
      <c r="AL112" s="8" t="s">
        <v>1755</v>
      </c>
      <c r="AM112" s="8" t="s">
        <v>1756</v>
      </c>
      <c r="AN112" s="8" t="s">
        <v>1757</v>
      </c>
      <c r="AO112" s="8" t="s">
        <v>1758</v>
      </c>
      <c r="AP112" s="8" t="s">
        <v>1759</v>
      </c>
      <c r="AQ112" s="8" t="s">
        <v>969</v>
      </c>
      <c r="AR112" s="8" t="s">
        <v>1760</v>
      </c>
      <c r="AS112" s="8" t="s">
        <v>1761</v>
      </c>
      <c r="AT112" s="8" t="s">
        <v>1016</v>
      </c>
      <c r="AU112" s="8">
        <v>2008.0</v>
      </c>
      <c r="AV112" s="8">
        <v>171.0</v>
      </c>
      <c r="AW112" s="8">
        <v>1.0</v>
      </c>
      <c r="AX112" s="8" t="s">
        <v>969</v>
      </c>
      <c r="AY112" s="8" t="s">
        <v>969</v>
      </c>
      <c r="AZ112" s="8" t="s">
        <v>969</v>
      </c>
      <c r="BA112" s="8" t="s">
        <v>969</v>
      </c>
      <c r="BB112" s="8" t="s">
        <v>1762</v>
      </c>
      <c r="BC112" s="8" t="s">
        <v>1763</v>
      </c>
      <c r="BD112" s="8" t="s">
        <v>969</v>
      </c>
      <c r="BE112" s="8" t="s">
        <v>647</v>
      </c>
      <c r="BF112" s="13" t="str">
        <f>HYPERLINK("http://dx.doi.org/10.1086/523949","http://dx.doi.org/10.1086/523949")</f>
        <v>http://dx.doi.org/10.1086/523949</v>
      </c>
      <c r="BG112" s="8" t="s">
        <v>969</v>
      </c>
      <c r="BH112" s="8" t="s">
        <v>969</v>
      </c>
      <c r="BI112" s="8">
        <v>19.0</v>
      </c>
      <c r="BJ112" s="8" t="s">
        <v>1764</v>
      </c>
      <c r="BK112" s="8" t="s">
        <v>988</v>
      </c>
      <c r="BL112" s="8" t="s">
        <v>1765</v>
      </c>
      <c r="BM112" s="8" t="s">
        <v>1766</v>
      </c>
      <c r="BN112" s="8">
        <v>1.817114E7</v>
      </c>
      <c r="BO112" s="8" t="s">
        <v>969</v>
      </c>
      <c r="BP112" s="8" t="s">
        <v>969</v>
      </c>
      <c r="BQ112" s="8" t="s">
        <v>969</v>
      </c>
      <c r="BR112" s="8" t="s">
        <v>3231</v>
      </c>
      <c r="BS112" s="8" t="s">
        <v>1767</v>
      </c>
      <c r="BT112" s="3" t="s">
        <v>3232</v>
      </c>
      <c r="BU112" s="8" t="str">
        <f>HYPERLINK("https%3A%2F%2Fwww.webofscience.com%2Fwos%2Fwoscc%2Ffull-record%2FWOS:000252191700017","View Full Record in Web of Science")</f>
        <v>View Full Record in Web of Science</v>
      </c>
    </row>
    <row r="113" ht="12.75" customHeight="1">
      <c r="A113" s="8" t="s">
        <v>967</v>
      </c>
      <c r="B113" s="8" t="s">
        <v>1476</v>
      </c>
      <c r="C113" s="8" t="s">
        <v>969</v>
      </c>
      <c r="D113" s="8" t="s">
        <v>969</v>
      </c>
      <c r="E113" s="8" t="s">
        <v>969</v>
      </c>
      <c r="F113" s="8" t="s">
        <v>1476</v>
      </c>
      <c r="G113" s="8" t="s">
        <v>969</v>
      </c>
      <c r="H113" s="8" t="s">
        <v>969</v>
      </c>
      <c r="I113" s="8" t="s">
        <v>1477</v>
      </c>
      <c r="J113" s="8" t="s">
        <v>1377</v>
      </c>
      <c r="K113" s="8" t="s">
        <v>969</v>
      </c>
      <c r="L113" s="8" t="s">
        <v>969</v>
      </c>
      <c r="M113" s="8" t="s">
        <v>972</v>
      </c>
      <c r="N113" s="8" t="s">
        <v>973</v>
      </c>
      <c r="O113" s="8" t="s">
        <v>969</v>
      </c>
      <c r="P113" s="8" t="s">
        <v>969</v>
      </c>
      <c r="Q113" s="8" t="s">
        <v>969</v>
      </c>
      <c r="R113" s="8" t="s">
        <v>969</v>
      </c>
      <c r="S113" s="8" t="s">
        <v>969</v>
      </c>
      <c r="T113" s="8" t="s">
        <v>1478</v>
      </c>
      <c r="U113" s="8" t="s">
        <v>1479</v>
      </c>
      <c r="V113" s="8" t="s">
        <v>1480</v>
      </c>
      <c r="W113" s="8" t="s">
        <v>1481</v>
      </c>
      <c r="X113" s="8" t="s">
        <v>1482</v>
      </c>
      <c r="Y113" s="8" t="s">
        <v>1483</v>
      </c>
      <c r="Z113" s="8" t="s">
        <v>1484</v>
      </c>
      <c r="AA113" s="8" t="s">
        <v>1485</v>
      </c>
      <c r="AB113" s="8" t="s">
        <v>1486</v>
      </c>
      <c r="AC113" s="8" t="s">
        <v>969</v>
      </c>
      <c r="AD113" s="8" t="s">
        <v>969</v>
      </c>
      <c r="AE113" s="8" t="s">
        <v>969</v>
      </c>
      <c r="AF113" s="8" t="s">
        <v>969</v>
      </c>
      <c r="AG113" s="8">
        <v>40.0</v>
      </c>
      <c r="AH113" s="8">
        <v>128.0</v>
      </c>
      <c r="AI113" s="8">
        <v>157.0</v>
      </c>
      <c r="AJ113" s="8">
        <v>1.0</v>
      </c>
      <c r="AK113" s="8">
        <v>48.0</v>
      </c>
      <c r="AL113" s="8" t="s">
        <v>1387</v>
      </c>
      <c r="AM113" s="8" t="s">
        <v>1388</v>
      </c>
      <c r="AN113" s="8" t="s">
        <v>1389</v>
      </c>
      <c r="AO113" s="8" t="s">
        <v>1390</v>
      </c>
      <c r="AP113" s="8" t="s">
        <v>1391</v>
      </c>
      <c r="AQ113" s="8" t="s">
        <v>969</v>
      </c>
      <c r="AR113" s="8" t="s">
        <v>1392</v>
      </c>
      <c r="AS113" s="8" t="s">
        <v>1393</v>
      </c>
      <c r="AT113" s="8" t="s">
        <v>1487</v>
      </c>
      <c r="AU113" s="8">
        <v>2005.0</v>
      </c>
      <c r="AV113" s="8">
        <v>102.0</v>
      </c>
      <c r="AW113" s="8">
        <v>45.0</v>
      </c>
      <c r="AX113" s="8" t="s">
        <v>969</v>
      </c>
      <c r="AY113" s="8" t="s">
        <v>969</v>
      </c>
      <c r="AZ113" s="8" t="s">
        <v>969</v>
      </c>
      <c r="BA113" s="8" t="s">
        <v>969</v>
      </c>
      <c r="BB113" s="8">
        <v>16281.0</v>
      </c>
      <c r="BC113" s="8">
        <v>16286.0</v>
      </c>
      <c r="BD113" s="8" t="s">
        <v>969</v>
      </c>
      <c r="BE113" s="8" t="s">
        <v>638</v>
      </c>
      <c r="BF113" s="13" t="str">
        <f>HYPERLINK("http://dx.doi.org/10.1073/pnas.0501427102","http://dx.doi.org/10.1073/pnas.0501427102")</f>
        <v>http://dx.doi.org/10.1073/pnas.0501427102</v>
      </c>
      <c r="BG113" s="8" t="s">
        <v>969</v>
      </c>
      <c r="BH113" s="8" t="s">
        <v>969</v>
      </c>
      <c r="BI113" s="8">
        <v>6.0</v>
      </c>
      <c r="BJ113" s="8" t="s">
        <v>1076</v>
      </c>
      <c r="BK113" s="8" t="s">
        <v>988</v>
      </c>
      <c r="BL113" s="8" t="s">
        <v>1077</v>
      </c>
      <c r="BM113" s="8" t="s">
        <v>1488</v>
      </c>
      <c r="BN113" s="8">
        <v>1.626075E7</v>
      </c>
      <c r="BO113" s="8" t="s">
        <v>1227</v>
      </c>
      <c r="BP113" s="8" t="s">
        <v>969</v>
      </c>
      <c r="BQ113" s="8" t="s">
        <v>969</v>
      </c>
      <c r="BR113" s="8" t="s">
        <v>3231</v>
      </c>
      <c r="BS113" s="8" t="s">
        <v>1489</v>
      </c>
      <c r="BT113" s="3" t="s">
        <v>3232</v>
      </c>
      <c r="BU113" s="8" t="str">
        <f>HYPERLINK("https%3A%2F%2Fwww.webofscience.com%2Fwos%2Fwoscc%2Ffull-record%2FWOS:000233283700029","View Full Record in Web of Science")</f>
        <v>View Full Record in Web of Science</v>
      </c>
    </row>
    <row r="114" ht="12.75" customHeight="1">
      <c r="A114" s="8" t="s">
        <v>967</v>
      </c>
      <c r="B114" s="8" t="s">
        <v>1118</v>
      </c>
      <c r="C114" s="8" t="s">
        <v>969</v>
      </c>
      <c r="D114" s="8" t="s">
        <v>969</v>
      </c>
      <c r="E114" s="8" t="s">
        <v>969</v>
      </c>
      <c r="F114" s="8" t="s">
        <v>1118</v>
      </c>
      <c r="G114" s="8" t="s">
        <v>969</v>
      </c>
      <c r="H114" s="8" t="s">
        <v>969</v>
      </c>
      <c r="I114" s="8" t="s">
        <v>1119</v>
      </c>
      <c r="J114" s="8" t="s">
        <v>1120</v>
      </c>
      <c r="K114" s="8" t="s">
        <v>969</v>
      </c>
      <c r="L114" s="8" t="s">
        <v>969</v>
      </c>
      <c r="M114" s="8" t="s">
        <v>972</v>
      </c>
      <c r="N114" s="8" t="s">
        <v>973</v>
      </c>
      <c r="O114" s="8" t="s">
        <v>969</v>
      </c>
      <c r="P114" s="8" t="s">
        <v>969</v>
      </c>
      <c r="Q114" s="8" t="s">
        <v>969</v>
      </c>
      <c r="R114" s="8" t="s">
        <v>969</v>
      </c>
      <c r="S114" s="8" t="s">
        <v>969</v>
      </c>
      <c r="T114" s="8" t="s">
        <v>1121</v>
      </c>
      <c r="U114" s="8" t="s">
        <v>1122</v>
      </c>
      <c r="V114" s="8" t="s">
        <v>1123</v>
      </c>
      <c r="W114" s="8" t="s">
        <v>1124</v>
      </c>
      <c r="X114" s="8" t="s">
        <v>1125</v>
      </c>
      <c r="Y114" s="8" t="s">
        <v>1126</v>
      </c>
      <c r="Z114" s="8" t="s">
        <v>1127</v>
      </c>
      <c r="AA114" s="8" t="s">
        <v>3343</v>
      </c>
      <c r="AB114" s="8" t="s">
        <v>1129</v>
      </c>
      <c r="AC114" s="8" t="s">
        <v>969</v>
      </c>
      <c r="AD114" s="8" t="s">
        <v>969</v>
      </c>
      <c r="AE114" s="8" t="s">
        <v>969</v>
      </c>
      <c r="AF114" s="8" t="s">
        <v>969</v>
      </c>
      <c r="AG114" s="8">
        <v>33.0</v>
      </c>
      <c r="AH114" s="8">
        <v>325.0</v>
      </c>
      <c r="AI114" s="8">
        <v>372.0</v>
      </c>
      <c r="AJ114" s="8">
        <v>2.0</v>
      </c>
      <c r="AK114" s="8">
        <v>156.0</v>
      </c>
      <c r="AL114" s="8" t="s">
        <v>1130</v>
      </c>
      <c r="AM114" s="8" t="s">
        <v>1071</v>
      </c>
      <c r="AN114" s="8" t="s">
        <v>1131</v>
      </c>
      <c r="AO114" s="8" t="s">
        <v>1132</v>
      </c>
      <c r="AP114" s="8" t="s">
        <v>1133</v>
      </c>
      <c r="AQ114" s="8" t="s">
        <v>969</v>
      </c>
      <c r="AR114" s="8" t="s">
        <v>1134</v>
      </c>
      <c r="AS114" s="8" t="s">
        <v>1135</v>
      </c>
      <c r="AT114" s="8" t="s">
        <v>1136</v>
      </c>
      <c r="AU114" s="8">
        <v>2002.0</v>
      </c>
      <c r="AV114" s="8">
        <v>269.0</v>
      </c>
      <c r="AW114" s="8">
        <v>1505.0</v>
      </c>
      <c r="AX114" s="8" t="s">
        <v>969</v>
      </c>
      <c r="AY114" s="8" t="s">
        <v>969</v>
      </c>
      <c r="AZ114" s="8" t="s">
        <v>969</v>
      </c>
      <c r="BA114" s="8" t="s">
        <v>969</v>
      </c>
      <c r="BB114" s="8">
        <v>2163.0</v>
      </c>
      <c r="BC114" s="8">
        <v>2171.0</v>
      </c>
      <c r="BD114" s="8" t="s">
        <v>969</v>
      </c>
      <c r="BE114" s="8" t="s">
        <v>656</v>
      </c>
      <c r="BF114" s="13" t="str">
        <f>HYPERLINK("http://dx.doi.org/10.1098/rspb.2002.2134","http://dx.doi.org/10.1098/rspb.2002.2134")</f>
        <v>http://dx.doi.org/10.1098/rspb.2002.2134</v>
      </c>
      <c r="BG114" s="8" t="s">
        <v>969</v>
      </c>
      <c r="BH114" s="8" t="s">
        <v>969</v>
      </c>
      <c r="BI114" s="8">
        <v>9.0</v>
      </c>
      <c r="BJ114" s="8" t="s">
        <v>1137</v>
      </c>
      <c r="BK114" s="8" t="s">
        <v>988</v>
      </c>
      <c r="BL114" s="8" t="s">
        <v>1138</v>
      </c>
      <c r="BM114" s="8" t="s">
        <v>1139</v>
      </c>
      <c r="BN114" s="8">
        <v>1.2396492E7</v>
      </c>
      <c r="BO114" s="8" t="s">
        <v>1140</v>
      </c>
      <c r="BP114" s="8" t="s">
        <v>969</v>
      </c>
      <c r="BQ114" s="8" t="s">
        <v>969</v>
      </c>
      <c r="BR114" s="8" t="s">
        <v>3231</v>
      </c>
      <c r="BS114" s="8" t="s">
        <v>1141</v>
      </c>
      <c r="BT114" s="3" t="s">
        <v>3232</v>
      </c>
      <c r="BU114" s="8" t="str">
        <f>HYPERLINK("https%3A%2F%2Fwww.webofscience.com%2Fwos%2Fwoscc%2Ffull-record%2FWOS:000178814700013","View Full Record in Web of Science")</f>
        <v>View Full Record in Web of Science</v>
      </c>
    </row>
    <row r="115" ht="12.75" customHeight="1">
      <c r="A115" s="8" t="s">
        <v>967</v>
      </c>
      <c r="B115" s="8" t="s">
        <v>2852</v>
      </c>
      <c r="C115" s="8" t="s">
        <v>969</v>
      </c>
      <c r="D115" s="8" t="s">
        <v>969</v>
      </c>
      <c r="E115" s="8" t="s">
        <v>969</v>
      </c>
      <c r="F115" s="8" t="s">
        <v>2852</v>
      </c>
      <c r="G115" s="8" t="s">
        <v>969</v>
      </c>
      <c r="H115" s="8" t="s">
        <v>969</v>
      </c>
      <c r="I115" s="8" t="s">
        <v>2853</v>
      </c>
      <c r="J115" s="8" t="s">
        <v>2854</v>
      </c>
      <c r="K115" s="8" t="s">
        <v>969</v>
      </c>
      <c r="L115" s="8" t="s">
        <v>969</v>
      </c>
      <c r="M115" s="8" t="s">
        <v>972</v>
      </c>
      <c r="N115" s="8" t="s">
        <v>973</v>
      </c>
      <c r="O115" s="8" t="s">
        <v>969</v>
      </c>
      <c r="P115" s="8" t="s">
        <v>969</v>
      </c>
      <c r="Q115" s="8" t="s">
        <v>969</v>
      </c>
      <c r="R115" s="8" t="s">
        <v>969</v>
      </c>
      <c r="S115" s="8" t="s">
        <v>969</v>
      </c>
      <c r="T115" s="8" t="s">
        <v>2855</v>
      </c>
      <c r="U115" s="8" t="s">
        <v>2856</v>
      </c>
      <c r="V115" s="8" t="s">
        <v>2857</v>
      </c>
      <c r="W115" s="8" t="s">
        <v>2858</v>
      </c>
      <c r="X115" s="8" t="s">
        <v>2859</v>
      </c>
      <c r="Y115" s="8" t="s">
        <v>969</v>
      </c>
      <c r="Z115" s="8" t="s">
        <v>969</v>
      </c>
      <c r="AA115" s="8" t="s">
        <v>2860</v>
      </c>
      <c r="AB115" s="8" t="s">
        <v>3027</v>
      </c>
      <c r="AC115" s="8" t="s">
        <v>969</v>
      </c>
      <c r="AD115" s="8" t="s">
        <v>969</v>
      </c>
      <c r="AE115" s="8" t="s">
        <v>969</v>
      </c>
      <c r="AF115" s="8" t="s">
        <v>969</v>
      </c>
      <c r="AG115" s="8">
        <v>29.0</v>
      </c>
      <c r="AH115" s="8">
        <v>118.0</v>
      </c>
      <c r="AI115" s="8">
        <v>128.0</v>
      </c>
      <c r="AJ115" s="8">
        <v>0.0</v>
      </c>
      <c r="AK115" s="8">
        <v>46.0</v>
      </c>
      <c r="AL115" s="8" t="s">
        <v>980</v>
      </c>
      <c r="AM115" s="8" t="s">
        <v>981</v>
      </c>
      <c r="AN115" s="8" t="s">
        <v>2862</v>
      </c>
      <c r="AO115" s="8" t="s">
        <v>2863</v>
      </c>
      <c r="AP115" s="8" t="s">
        <v>969</v>
      </c>
      <c r="AQ115" s="8" t="s">
        <v>969</v>
      </c>
      <c r="AR115" s="8" t="s">
        <v>1161</v>
      </c>
      <c r="AS115" s="8" t="s">
        <v>2864</v>
      </c>
      <c r="AT115" s="8" t="s">
        <v>1016</v>
      </c>
      <c r="AU115" s="8">
        <v>1996.0</v>
      </c>
      <c r="AV115" s="8">
        <v>5.0</v>
      </c>
      <c r="AW115" s="8">
        <v>1.0</v>
      </c>
      <c r="AX115" s="8" t="s">
        <v>969</v>
      </c>
      <c r="AY115" s="8" t="s">
        <v>969</v>
      </c>
      <c r="AZ115" s="8" t="s">
        <v>969</v>
      </c>
      <c r="BA115" s="8" t="s">
        <v>969</v>
      </c>
      <c r="BB115" s="8">
        <v>23.0</v>
      </c>
      <c r="BC115" s="8">
        <v>29.0</v>
      </c>
      <c r="BD115" s="8" t="s">
        <v>969</v>
      </c>
      <c r="BE115" s="8" t="s">
        <v>845</v>
      </c>
      <c r="BF115" s="13" t="str">
        <f>HYPERLINK("http://dx.doi.org/10.2307/2997467","http://dx.doi.org/10.2307/2997467")</f>
        <v>http://dx.doi.org/10.2307/2997467</v>
      </c>
      <c r="BG115" s="8" t="s">
        <v>969</v>
      </c>
      <c r="BH115" s="8" t="s">
        <v>969</v>
      </c>
      <c r="BI115" s="8">
        <v>7.0</v>
      </c>
      <c r="BJ115" s="8" t="s">
        <v>1017</v>
      </c>
      <c r="BK115" s="8" t="s">
        <v>988</v>
      </c>
      <c r="BL115" s="8" t="s">
        <v>1018</v>
      </c>
      <c r="BM115" s="8" t="s">
        <v>2865</v>
      </c>
      <c r="BN115" s="8" t="s">
        <v>969</v>
      </c>
      <c r="BO115" s="8" t="s">
        <v>969</v>
      </c>
      <c r="BP115" s="8" t="s">
        <v>969</v>
      </c>
      <c r="BQ115" s="8" t="s">
        <v>969</v>
      </c>
      <c r="BR115" s="8" t="s">
        <v>3231</v>
      </c>
      <c r="BS115" s="8" t="s">
        <v>2866</v>
      </c>
      <c r="BT115" s="3" t="s">
        <v>3232</v>
      </c>
      <c r="BU115" s="8" t="str">
        <f>HYPERLINK("https%3A%2F%2Fwww.webofscience.com%2Fwos%2Fwoscc%2Ffull-record%2FWOS:A1996UF43500005","View Full Record in Web of Science")</f>
        <v>View Full Record in Web of Science</v>
      </c>
    </row>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2" width="8.0"/>
  </cols>
  <sheetData>
    <row r="1" ht="12.75" customHeight="1">
      <c r="A1" s="8" t="s">
        <v>891</v>
      </c>
      <c r="B1" s="8" t="s">
        <v>23</v>
      </c>
      <c r="C1" s="8" t="s">
        <v>892</v>
      </c>
      <c r="D1" s="8" t="s">
        <v>893</v>
      </c>
      <c r="E1" s="8" t="s">
        <v>894</v>
      </c>
      <c r="F1" s="8" t="s">
        <v>895</v>
      </c>
      <c r="G1" s="8" t="s">
        <v>896</v>
      </c>
      <c r="H1" s="8" t="s">
        <v>897</v>
      </c>
      <c r="I1" s="8" t="s">
        <v>898</v>
      </c>
      <c r="J1" s="8" t="s">
        <v>899</v>
      </c>
      <c r="K1" s="8" t="s">
        <v>900</v>
      </c>
      <c r="L1" s="8" t="s">
        <v>901</v>
      </c>
      <c r="M1" s="8" t="s">
        <v>902</v>
      </c>
      <c r="N1" s="8" t="s">
        <v>903</v>
      </c>
      <c r="O1" s="8" t="s">
        <v>904</v>
      </c>
      <c r="P1" s="8" t="s">
        <v>905</v>
      </c>
      <c r="Q1" s="8" t="s">
        <v>906</v>
      </c>
      <c r="R1" s="8" t="s">
        <v>907</v>
      </c>
      <c r="S1" s="8" t="s">
        <v>908</v>
      </c>
      <c r="T1" s="8" t="s">
        <v>909</v>
      </c>
      <c r="U1" s="8" t="s">
        <v>910</v>
      </c>
      <c r="V1" s="8" t="s">
        <v>911</v>
      </c>
      <c r="W1" s="8" t="s">
        <v>912</v>
      </c>
      <c r="X1" s="8" t="s">
        <v>913</v>
      </c>
      <c r="Y1" s="8" t="s">
        <v>914</v>
      </c>
      <c r="Z1" s="8" t="s">
        <v>915</v>
      </c>
      <c r="AA1" s="8" t="s">
        <v>916</v>
      </c>
      <c r="AB1" s="8" t="s">
        <v>917</v>
      </c>
      <c r="AC1" s="8" t="s">
        <v>918</v>
      </c>
      <c r="AD1" s="8" t="s">
        <v>919</v>
      </c>
      <c r="AE1" s="8" t="s">
        <v>920</v>
      </c>
      <c r="AF1" s="8" t="s">
        <v>921</v>
      </c>
      <c r="AG1" s="8" t="s">
        <v>922</v>
      </c>
      <c r="AH1" s="8" t="s">
        <v>923</v>
      </c>
      <c r="AI1" s="8" t="s">
        <v>924</v>
      </c>
      <c r="AJ1" s="8" t="s">
        <v>925</v>
      </c>
      <c r="AK1" s="8" t="s">
        <v>926</v>
      </c>
      <c r="AL1" s="8" t="s">
        <v>927</v>
      </c>
      <c r="AM1" s="8" t="s">
        <v>928</v>
      </c>
      <c r="AN1" s="8" t="s">
        <v>929</v>
      </c>
      <c r="AO1" s="8" t="s">
        <v>930</v>
      </c>
      <c r="AP1" s="8" t="s">
        <v>931</v>
      </c>
      <c r="AQ1" s="8" t="s">
        <v>932</v>
      </c>
      <c r="AR1" s="8" t="s">
        <v>933</v>
      </c>
      <c r="AS1" s="8" t="s">
        <v>934</v>
      </c>
      <c r="AT1" s="8" t="s">
        <v>935</v>
      </c>
      <c r="AU1" s="8" t="s">
        <v>936</v>
      </c>
      <c r="AV1" s="8" t="s">
        <v>937</v>
      </c>
      <c r="AW1" s="8" t="s">
        <v>938</v>
      </c>
      <c r="AX1" s="8" t="s">
        <v>939</v>
      </c>
      <c r="AY1" s="8" t="s">
        <v>940</v>
      </c>
      <c r="AZ1" s="8" t="s">
        <v>941</v>
      </c>
      <c r="BA1" s="8" t="s">
        <v>942</v>
      </c>
      <c r="BB1" s="8" t="s">
        <v>943</v>
      </c>
      <c r="BC1" s="8" t="s">
        <v>944</v>
      </c>
      <c r="BD1" s="8" t="s">
        <v>945</v>
      </c>
      <c r="BE1" s="8" t="s">
        <v>503</v>
      </c>
      <c r="BF1" s="8" t="s">
        <v>946</v>
      </c>
      <c r="BG1" s="8" t="s">
        <v>947</v>
      </c>
      <c r="BH1" s="8" t="s">
        <v>948</v>
      </c>
      <c r="BI1" s="8" t="s">
        <v>949</v>
      </c>
      <c r="BJ1" s="8" t="s">
        <v>950</v>
      </c>
      <c r="BK1" s="8" t="s">
        <v>951</v>
      </c>
      <c r="BL1" s="8" t="s">
        <v>952</v>
      </c>
      <c r="BM1" s="8" t="s">
        <v>953</v>
      </c>
      <c r="BN1" s="8" t="s">
        <v>954</v>
      </c>
      <c r="BO1" s="8" t="s">
        <v>955</v>
      </c>
      <c r="BP1" s="8" t="s">
        <v>956</v>
      </c>
      <c r="BQ1" s="8" t="s">
        <v>957</v>
      </c>
      <c r="BR1" s="8" t="s">
        <v>958</v>
      </c>
      <c r="BS1" s="8" t="s">
        <v>959</v>
      </c>
      <c r="BT1" s="8" t="s">
        <v>966</v>
      </c>
    </row>
    <row r="2" ht="12.75" customHeight="1">
      <c r="A2" s="8" t="s">
        <v>967</v>
      </c>
      <c r="B2" s="8" t="s">
        <v>1443</v>
      </c>
      <c r="C2" s="8" t="s">
        <v>969</v>
      </c>
      <c r="D2" s="8" t="s">
        <v>969</v>
      </c>
      <c r="E2" s="8" t="s">
        <v>969</v>
      </c>
      <c r="F2" s="8" t="s">
        <v>1443</v>
      </c>
      <c r="G2" s="8" t="s">
        <v>969</v>
      </c>
      <c r="H2" s="8" t="s">
        <v>969</v>
      </c>
      <c r="I2" s="8" t="s">
        <v>1444</v>
      </c>
      <c r="J2" s="8" t="s">
        <v>1445</v>
      </c>
      <c r="K2" s="8" t="s">
        <v>969</v>
      </c>
      <c r="L2" s="8" t="s">
        <v>969</v>
      </c>
      <c r="M2" s="8" t="s">
        <v>972</v>
      </c>
      <c r="N2" s="8" t="s">
        <v>973</v>
      </c>
      <c r="O2" s="8" t="s">
        <v>969</v>
      </c>
      <c r="P2" s="8" t="s">
        <v>969</v>
      </c>
      <c r="Q2" s="8" t="s">
        <v>969</v>
      </c>
      <c r="R2" s="8" t="s">
        <v>969</v>
      </c>
      <c r="S2" s="8" t="s">
        <v>969</v>
      </c>
      <c r="T2" s="8" t="s">
        <v>1446</v>
      </c>
      <c r="U2" s="8" t="s">
        <v>1447</v>
      </c>
      <c r="V2" s="8" t="s">
        <v>1448</v>
      </c>
      <c r="W2" s="8" t="s">
        <v>1449</v>
      </c>
      <c r="X2" s="8" t="s">
        <v>1450</v>
      </c>
      <c r="Y2" s="8" t="s">
        <v>1451</v>
      </c>
      <c r="Z2" s="8" t="s">
        <v>969</v>
      </c>
      <c r="AA2" s="8" t="s">
        <v>969</v>
      </c>
      <c r="AB2" s="8" t="s">
        <v>1452</v>
      </c>
      <c r="AC2" s="8" t="s">
        <v>969</v>
      </c>
      <c r="AD2" s="8" t="s">
        <v>969</v>
      </c>
      <c r="AE2" s="8" t="s">
        <v>969</v>
      </c>
      <c r="AF2" s="8" t="s">
        <v>969</v>
      </c>
      <c r="AG2" s="8">
        <v>66.0</v>
      </c>
      <c r="AH2" s="8">
        <v>95.0</v>
      </c>
      <c r="AI2" s="8">
        <v>118.0</v>
      </c>
      <c r="AJ2" s="8">
        <v>2.0</v>
      </c>
      <c r="AK2" s="8">
        <v>45.0</v>
      </c>
      <c r="AL2" s="8" t="s">
        <v>1453</v>
      </c>
      <c r="AM2" s="8" t="s">
        <v>1454</v>
      </c>
      <c r="AN2" s="8" t="s">
        <v>1455</v>
      </c>
      <c r="AO2" s="8" t="s">
        <v>1456</v>
      </c>
      <c r="AP2" s="8" t="s">
        <v>1457</v>
      </c>
      <c r="AQ2" s="8" t="s">
        <v>969</v>
      </c>
      <c r="AR2" s="8" t="s">
        <v>1458</v>
      </c>
      <c r="AS2" s="8" t="s">
        <v>1459</v>
      </c>
      <c r="AT2" s="8" t="s">
        <v>969</v>
      </c>
      <c r="AU2" s="8">
        <v>2005.0</v>
      </c>
      <c r="AV2" s="8">
        <v>92.0</v>
      </c>
      <c r="AW2" s="8">
        <v>2.0</v>
      </c>
      <c r="AX2" s="8" t="s">
        <v>969</v>
      </c>
      <c r="AY2" s="8" t="s">
        <v>969</v>
      </c>
      <c r="AZ2" s="8" t="s">
        <v>969</v>
      </c>
      <c r="BA2" s="8" t="s">
        <v>969</v>
      </c>
      <c r="BB2" s="8">
        <v>139.0</v>
      </c>
      <c r="BC2" s="8">
        <v>152.0</v>
      </c>
      <c r="BD2" s="8" t="s">
        <v>969</v>
      </c>
      <c r="BE2" s="8" t="s">
        <v>969</v>
      </c>
      <c r="BF2" s="8" t="s">
        <v>969</v>
      </c>
      <c r="BG2" s="8" t="s">
        <v>969</v>
      </c>
      <c r="BH2" s="8" t="s">
        <v>969</v>
      </c>
      <c r="BI2" s="8">
        <v>14.0</v>
      </c>
      <c r="BJ2" s="8" t="s">
        <v>1460</v>
      </c>
      <c r="BK2" s="8" t="s">
        <v>988</v>
      </c>
      <c r="BL2" s="8" t="s">
        <v>1460</v>
      </c>
      <c r="BM2" s="8" t="s">
        <v>1461</v>
      </c>
      <c r="BN2" s="8" t="s">
        <v>969</v>
      </c>
      <c r="BO2" s="8" t="s">
        <v>969</v>
      </c>
      <c r="BP2" s="8" t="s">
        <v>969</v>
      </c>
      <c r="BQ2" s="8" t="s">
        <v>969</v>
      </c>
      <c r="BR2" s="8" t="s">
        <v>3344</v>
      </c>
      <c r="BS2" s="8" t="s">
        <v>1462</v>
      </c>
      <c r="BT2" s="8" t="str">
        <f>HYPERLINK("https%3A%2F%2Fwww.webofscience.com%2Fwos%2Fwoscc%2Ffull-record%2FWOS:000230948700001","View Full Record in Web of Science")</f>
        <v>View Full Record in Web of Science</v>
      </c>
    </row>
    <row r="3" ht="12.75" customHeight="1">
      <c r="A3" s="8" t="s">
        <v>967</v>
      </c>
      <c r="B3" s="8" t="s">
        <v>2737</v>
      </c>
      <c r="C3" s="8" t="s">
        <v>969</v>
      </c>
      <c r="D3" s="8" t="s">
        <v>969</v>
      </c>
      <c r="E3" s="8" t="s">
        <v>969</v>
      </c>
      <c r="F3" s="8" t="s">
        <v>2738</v>
      </c>
      <c r="G3" s="8" t="s">
        <v>969</v>
      </c>
      <c r="H3" s="8" t="s">
        <v>969</v>
      </c>
      <c r="I3" s="8" t="s">
        <v>2739</v>
      </c>
      <c r="J3" s="8" t="s">
        <v>971</v>
      </c>
      <c r="K3" s="8" t="s">
        <v>969</v>
      </c>
      <c r="L3" s="8" t="s">
        <v>969</v>
      </c>
      <c r="M3" s="8" t="s">
        <v>972</v>
      </c>
      <c r="N3" s="8" t="s">
        <v>973</v>
      </c>
      <c r="O3" s="8" t="s">
        <v>969</v>
      </c>
      <c r="P3" s="8" t="s">
        <v>969</v>
      </c>
      <c r="Q3" s="8" t="s">
        <v>969</v>
      </c>
      <c r="R3" s="8" t="s">
        <v>969</v>
      </c>
      <c r="S3" s="8" t="s">
        <v>969</v>
      </c>
      <c r="T3" s="8" t="s">
        <v>2740</v>
      </c>
      <c r="U3" s="8" t="s">
        <v>2741</v>
      </c>
      <c r="V3" s="8" t="s">
        <v>2742</v>
      </c>
      <c r="W3" s="8" t="s">
        <v>2743</v>
      </c>
      <c r="X3" s="8" t="s">
        <v>2744</v>
      </c>
      <c r="Y3" s="8" t="s">
        <v>2745</v>
      </c>
      <c r="Z3" s="8" t="s">
        <v>2455</v>
      </c>
      <c r="AA3" s="8" t="s">
        <v>3250</v>
      </c>
      <c r="AB3" s="8" t="s">
        <v>3251</v>
      </c>
      <c r="AC3" s="8" t="s">
        <v>3252</v>
      </c>
      <c r="AD3" s="8" t="s">
        <v>3253</v>
      </c>
      <c r="AE3" s="8" t="s">
        <v>2750</v>
      </c>
      <c r="AF3" s="8" t="s">
        <v>969</v>
      </c>
      <c r="AG3" s="8">
        <v>76.0</v>
      </c>
      <c r="AH3" s="8">
        <v>75.0</v>
      </c>
      <c r="AI3" s="8">
        <v>86.0</v>
      </c>
      <c r="AJ3" s="8">
        <v>0.0</v>
      </c>
      <c r="AK3" s="8">
        <v>259.0</v>
      </c>
      <c r="AL3" s="8" t="s">
        <v>1091</v>
      </c>
      <c r="AM3" s="8" t="s">
        <v>1092</v>
      </c>
      <c r="AN3" s="8" t="s">
        <v>1093</v>
      </c>
      <c r="AO3" s="8" t="s">
        <v>983</v>
      </c>
      <c r="AP3" s="8" t="s">
        <v>1094</v>
      </c>
      <c r="AQ3" s="8" t="s">
        <v>969</v>
      </c>
      <c r="AR3" s="8" t="s">
        <v>1095</v>
      </c>
      <c r="AS3" s="8" t="s">
        <v>985</v>
      </c>
      <c r="AT3" s="8" t="s">
        <v>1112</v>
      </c>
      <c r="AU3" s="8">
        <v>2013.0</v>
      </c>
      <c r="AV3" s="8">
        <v>19.0</v>
      </c>
      <c r="AW3" s="8">
        <v>10.0</v>
      </c>
      <c r="AX3" s="8" t="s">
        <v>969</v>
      </c>
      <c r="AY3" s="8" t="s">
        <v>969</v>
      </c>
      <c r="AZ3" s="8" t="s">
        <v>969</v>
      </c>
      <c r="BA3" s="8" t="s">
        <v>969</v>
      </c>
      <c r="BB3" s="8">
        <v>3224.0</v>
      </c>
      <c r="BC3" s="8">
        <v>3237.0</v>
      </c>
      <c r="BD3" s="8" t="s">
        <v>969</v>
      </c>
      <c r="BE3" s="8" t="s">
        <v>671</v>
      </c>
      <c r="BF3" s="13" t="str">
        <f>HYPERLINK("http://dx.doi.org/10.1111/gcb.12289","http://dx.doi.org/10.1111/gcb.12289")</f>
        <v>http://dx.doi.org/10.1111/gcb.12289</v>
      </c>
      <c r="BG3" s="8" t="s">
        <v>969</v>
      </c>
      <c r="BH3" s="8" t="s">
        <v>969</v>
      </c>
      <c r="BI3" s="8">
        <v>14.0</v>
      </c>
      <c r="BJ3" s="8" t="s">
        <v>987</v>
      </c>
      <c r="BK3" s="8" t="s">
        <v>988</v>
      </c>
      <c r="BL3" s="8" t="s">
        <v>989</v>
      </c>
      <c r="BM3" s="8" t="s">
        <v>2751</v>
      </c>
      <c r="BN3" s="8">
        <v>2.3907833E7</v>
      </c>
      <c r="BO3" s="8" t="s">
        <v>1247</v>
      </c>
      <c r="BP3" s="8" t="s">
        <v>969</v>
      </c>
      <c r="BQ3" s="8" t="s">
        <v>969</v>
      </c>
      <c r="BR3" s="8" t="s">
        <v>3344</v>
      </c>
      <c r="BS3" s="8" t="s">
        <v>2752</v>
      </c>
      <c r="BT3" s="8" t="str">
        <f>HYPERLINK("https%3A%2F%2Fwww.webofscience.com%2Fwos%2Fwoscc%2Ffull-record%2FWOS:000323844200027","View Full Record in Web of Science")</f>
        <v>View Full Record in Web of Science</v>
      </c>
    </row>
    <row r="4" ht="12.75" customHeight="1">
      <c r="A4" s="8" t="s">
        <v>967</v>
      </c>
      <c r="B4" s="8" t="s">
        <v>2399</v>
      </c>
      <c r="C4" s="8" t="s">
        <v>969</v>
      </c>
      <c r="D4" s="8" t="s">
        <v>969</v>
      </c>
      <c r="E4" s="8" t="s">
        <v>969</v>
      </c>
      <c r="F4" s="8" t="s">
        <v>2400</v>
      </c>
      <c r="G4" s="8" t="s">
        <v>969</v>
      </c>
      <c r="H4" s="8" t="s">
        <v>969</v>
      </c>
      <c r="I4" s="8" t="s">
        <v>2401</v>
      </c>
      <c r="J4" s="8" t="s">
        <v>2380</v>
      </c>
      <c r="K4" s="8" t="s">
        <v>969</v>
      </c>
      <c r="L4" s="8" t="s">
        <v>969</v>
      </c>
      <c r="M4" s="8" t="s">
        <v>972</v>
      </c>
      <c r="N4" s="8" t="s">
        <v>973</v>
      </c>
      <c r="O4" s="8" t="s">
        <v>969</v>
      </c>
      <c r="P4" s="8" t="s">
        <v>969</v>
      </c>
      <c r="Q4" s="8" t="s">
        <v>969</v>
      </c>
      <c r="R4" s="8" t="s">
        <v>969</v>
      </c>
      <c r="S4" s="8" t="s">
        <v>969</v>
      </c>
      <c r="T4" s="8" t="s">
        <v>2402</v>
      </c>
      <c r="U4" s="8" t="s">
        <v>2403</v>
      </c>
      <c r="V4" s="8" t="s">
        <v>2404</v>
      </c>
      <c r="W4" s="8" t="s">
        <v>2405</v>
      </c>
      <c r="X4" s="8" t="s">
        <v>2406</v>
      </c>
      <c r="Y4" s="8" t="s">
        <v>2407</v>
      </c>
      <c r="Z4" s="8" t="s">
        <v>2408</v>
      </c>
      <c r="AA4" s="8" t="s">
        <v>3319</v>
      </c>
      <c r="AB4" s="8" t="s">
        <v>3320</v>
      </c>
      <c r="AC4" s="8" t="s">
        <v>3194</v>
      </c>
      <c r="AD4" s="8" t="s">
        <v>3195</v>
      </c>
      <c r="AE4" s="8" t="s">
        <v>2413</v>
      </c>
      <c r="AF4" s="8" t="s">
        <v>969</v>
      </c>
      <c r="AG4" s="8">
        <v>50.0</v>
      </c>
      <c r="AH4" s="8">
        <v>157.0</v>
      </c>
      <c r="AI4" s="8">
        <v>190.0</v>
      </c>
      <c r="AJ4" s="8">
        <v>0.0</v>
      </c>
      <c r="AK4" s="8">
        <v>174.0</v>
      </c>
      <c r="AL4" s="8" t="s">
        <v>1091</v>
      </c>
      <c r="AM4" s="8" t="s">
        <v>1092</v>
      </c>
      <c r="AN4" s="8" t="s">
        <v>1093</v>
      </c>
      <c r="AO4" s="8" t="s">
        <v>2393</v>
      </c>
      <c r="AP4" s="8" t="s">
        <v>2394</v>
      </c>
      <c r="AQ4" s="8" t="s">
        <v>969</v>
      </c>
      <c r="AR4" s="8" t="s">
        <v>2395</v>
      </c>
      <c r="AS4" s="8" t="s">
        <v>2396</v>
      </c>
      <c r="AT4" s="8" t="s">
        <v>986</v>
      </c>
      <c r="AU4" s="8">
        <v>2011.0</v>
      </c>
      <c r="AV4" s="8">
        <v>14.0</v>
      </c>
      <c r="AW4" s="8">
        <v>12.0</v>
      </c>
      <c r="AX4" s="8" t="s">
        <v>969</v>
      </c>
      <c r="AY4" s="8" t="s">
        <v>969</v>
      </c>
      <c r="AZ4" s="8" t="s">
        <v>969</v>
      </c>
      <c r="BA4" s="8" t="s">
        <v>969</v>
      </c>
      <c r="BB4" s="8">
        <v>1191.0</v>
      </c>
      <c r="BC4" s="8">
        <v>1200.0</v>
      </c>
      <c r="BD4" s="8" t="s">
        <v>969</v>
      </c>
      <c r="BE4" s="8" t="s">
        <v>752</v>
      </c>
      <c r="BF4" s="13" t="str">
        <f>HYPERLINK("http://dx.doi.org/10.1111/j.1461-0248.2011.01689.x","http://dx.doi.org/10.1111/j.1461-0248.2011.01689.x")</f>
        <v>http://dx.doi.org/10.1111/j.1461-0248.2011.01689.x</v>
      </c>
      <c r="BG4" s="8" t="s">
        <v>969</v>
      </c>
      <c r="BH4" s="8" t="s">
        <v>969</v>
      </c>
      <c r="BI4" s="8">
        <v>10.0</v>
      </c>
      <c r="BJ4" s="8" t="s">
        <v>1267</v>
      </c>
      <c r="BK4" s="8" t="s">
        <v>988</v>
      </c>
      <c r="BL4" s="8" t="s">
        <v>1268</v>
      </c>
      <c r="BM4" s="8" t="s">
        <v>2414</v>
      </c>
      <c r="BN4" s="8">
        <v>2.1978234E7</v>
      </c>
      <c r="BO4" s="8" t="s">
        <v>969</v>
      </c>
      <c r="BP4" s="8" t="s">
        <v>969</v>
      </c>
      <c r="BQ4" s="8" t="s">
        <v>969</v>
      </c>
      <c r="BR4" s="8" t="s">
        <v>3344</v>
      </c>
      <c r="BS4" s="8" t="s">
        <v>2415</v>
      </c>
      <c r="BT4" s="8" t="str">
        <f>HYPERLINK("https%3A%2F%2Fwww.webofscience.com%2Fwos%2Fwoscc%2Ffull-record%2FWOS:000297147500002","View Full Record in Web of Science")</f>
        <v>View Full Record in Web of Science</v>
      </c>
    </row>
    <row r="5" ht="12.75" customHeight="1">
      <c r="A5" s="8" t="s">
        <v>967</v>
      </c>
      <c r="B5" s="8" t="s">
        <v>2237</v>
      </c>
      <c r="C5" s="8" t="s">
        <v>969</v>
      </c>
      <c r="D5" s="8" t="s">
        <v>969</v>
      </c>
      <c r="E5" s="8" t="s">
        <v>969</v>
      </c>
      <c r="F5" s="8" t="s">
        <v>2238</v>
      </c>
      <c r="G5" s="8" t="s">
        <v>969</v>
      </c>
      <c r="H5" s="8" t="s">
        <v>969</v>
      </c>
      <c r="I5" s="8" t="s">
        <v>2239</v>
      </c>
      <c r="J5" s="8" t="s">
        <v>971</v>
      </c>
      <c r="K5" s="8" t="s">
        <v>969</v>
      </c>
      <c r="L5" s="8" t="s">
        <v>969</v>
      </c>
      <c r="M5" s="8" t="s">
        <v>972</v>
      </c>
      <c r="N5" s="8" t="s">
        <v>973</v>
      </c>
      <c r="O5" s="8" t="s">
        <v>969</v>
      </c>
      <c r="P5" s="8" t="s">
        <v>969</v>
      </c>
      <c r="Q5" s="8" t="s">
        <v>969</v>
      </c>
      <c r="R5" s="8" t="s">
        <v>969</v>
      </c>
      <c r="S5" s="8" t="s">
        <v>969</v>
      </c>
      <c r="T5" s="8" t="s">
        <v>2240</v>
      </c>
      <c r="U5" s="8" t="s">
        <v>2241</v>
      </c>
      <c r="V5" s="8" t="s">
        <v>2242</v>
      </c>
      <c r="W5" s="8" t="s">
        <v>2243</v>
      </c>
      <c r="X5" s="8" t="s">
        <v>2244</v>
      </c>
      <c r="Y5" s="8" t="s">
        <v>2245</v>
      </c>
      <c r="Z5" s="8" t="s">
        <v>2246</v>
      </c>
      <c r="AA5" s="8" t="s">
        <v>3345</v>
      </c>
      <c r="AB5" s="8" t="s">
        <v>3346</v>
      </c>
      <c r="AC5" s="8" t="s">
        <v>2249</v>
      </c>
      <c r="AD5" s="8" t="s">
        <v>2250</v>
      </c>
      <c r="AE5" s="8" t="s">
        <v>2251</v>
      </c>
      <c r="AF5" s="8" t="s">
        <v>969</v>
      </c>
      <c r="AG5" s="8">
        <v>67.0</v>
      </c>
      <c r="AH5" s="8">
        <v>525.0</v>
      </c>
      <c r="AI5" s="8">
        <v>583.0</v>
      </c>
      <c r="AJ5" s="8">
        <v>4.0</v>
      </c>
      <c r="AK5" s="8">
        <v>451.0</v>
      </c>
      <c r="AL5" s="8" t="s">
        <v>1091</v>
      </c>
      <c r="AM5" s="8" t="s">
        <v>1092</v>
      </c>
      <c r="AN5" s="8" t="s">
        <v>1093</v>
      </c>
      <c r="AO5" s="8" t="s">
        <v>983</v>
      </c>
      <c r="AP5" s="8" t="s">
        <v>1094</v>
      </c>
      <c r="AQ5" s="8" t="s">
        <v>969</v>
      </c>
      <c r="AR5" s="8" t="s">
        <v>1095</v>
      </c>
      <c r="AS5" s="8" t="s">
        <v>985</v>
      </c>
      <c r="AT5" s="8" t="s">
        <v>1096</v>
      </c>
      <c r="AU5" s="8">
        <v>2011.0</v>
      </c>
      <c r="AV5" s="8">
        <v>17.0</v>
      </c>
      <c r="AW5" s="8">
        <v>7.0</v>
      </c>
      <c r="AX5" s="8" t="s">
        <v>969</v>
      </c>
      <c r="AY5" s="8" t="s">
        <v>969</v>
      </c>
      <c r="AZ5" s="8" t="s">
        <v>969</v>
      </c>
      <c r="BA5" s="8" t="s">
        <v>969</v>
      </c>
      <c r="BB5" s="8">
        <v>2330.0</v>
      </c>
      <c r="BC5" s="8">
        <v>2341.0</v>
      </c>
      <c r="BD5" s="8" t="s">
        <v>969</v>
      </c>
      <c r="BE5" s="8" t="s">
        <v>722</v>
      </c>
      <c r="BF5" s="13" t="str">
        <f>HYPERLINK("http://dx.doi.org/10.1111/j.1365-2486.2010.02393.x","http://dx.doi.org/10.1111/j.1365-2486.2010.02393.x")</f>
        <v>http://dx.doi.org/10.1111/j.1365-2486.2010.02393.x</v>
      </c>
      <c r="BG5" s="8" t="s">
        <v>969</v>
      </c>
      <c r="BH5" s="8" t="s">
        <v>969</v>
      </c>
      <c r="BI5" s="8">
        <v>12.0</v>
      </c>
      <c r="BJ5" s="8" t="s">
        <v>987</v>
      </c>
      <c r="BK5" s="8" t="s">
        <v>988</v>
      </c>
      <c r="BL5" s="8" t="s">
        <v>989</v>
      </c>
      <c r="BM5" s="8" t="s">
        <v>2252</v>
      </c>
      <c r="BN5" s="8" t="s">
        <v>969</v>
      </c>
      <c r="BO5" s="8" t="s">
        <v>969</v>
      </c>
      <c r="BP5" s="8" t="s">
        <v>969</v>
      </c>
      <c r="BQ5" s="8" t="s">
        <v>969</v>
      </c>
      <c r="BR5" s="8" t="s">
        <v>3344</v>
      </c>
      <c r="BS5" s="8" t="s">
        <v>2253</v>
      </c>
      <c r="BT5" s="8" t="str">
        <f>HYPERLINK("https%3A%2F%2Fwww.webofscience.com%2Fwos%2Fwoscc%2Ffull-record%2FWOS:000291221000006","View Full Record in Web of Science")</f>
        <v>View Full Record in Web of Science</v>
      </c>
    </row>
    <row r="6" ht="12.75" customHeight="1">
      <c r="A6" s="8" t="s">
        <v>967</v>
      </c>
      <c r="B6" s="8" t="s">
        <v>2052</v>
      </c>
      <c r="C6" s="8" t="s">
        <v>969</v>
      </c>
      <c r="D6" s="8" t="s">
        <v>969</v>
      </c>
      <c r="E6" s="8" t="s">
        <v>969</v>
      </c>
      <c r="F6" s="8" t="s">
        <v>2053</v>
      </c>
      <c r="G6" s="8" t="s">
        <v>969</v>
      </c>
      <c r="H6" s="8" t="s">
        <v>969</v>
      </c>
      <c r="I6" s="8" t="s">
        <v>2054</v>
      </c>
      <c r="J6" s="8" t="s">
        <v>1120</v>
      </c>
      <c r="K6" s="8" t="s">
        <v>969</v>
      </c>
      <c r="L6" s="8" t="s">
        <v>969</v>
      </c>
      <c r="M6" s="8" t="s">
        <v>972</v>
      </c>
      <c r="N6" s="8" t="s">
        <v>973</v>
      </c>
      <c r="O6" s="8" t="s">
        <v>969</v>
      </c>
      <c r="P6" s="8" t="s">
        <v>969</v>
      </c>
      <c r="Q6" s="8" t="s">
        <v>969</v>
      </c>
      <c r="R6" s="8" t="s">
        <v>969</v>
      </c>
      <c r="S6" s="8" t="s">
        <v>969</v>
      </c>
      <c r="T6" s="8" t="s">
        <v>2055</v>
      </c>
      <c r="U6" s="8" t="s">
        <v>2056</v>
      </c>
      <c r="V6" s="8" t="s">
        <v>2057</v>
      </c>
      <c r="W6" s="8" t="s">
        <v>2058</v>
      </c>
      <c r="X6" s="8" t="s">
        <v>3161</v>
      </c>
      <c r="Y6" s="8" t="s">
        <v>2060</v>
      </c>
      <c r="Z6" s="8" t="s">
        <v>2061</v>
      </c>
      <c r="AA6" s="8" t="s">
        <v>3347</v>
      </c>
      <c r="AB6" s="8" t="s">
        <v>3348</v>
      </c>
      <c r="AC6" s="8" t="s">
        <v>2064</v>
      </c>
      <c r="AD6" s="8" t="s">
        <v>2065</v>
      </c>
      <c r="AE6" s="8" t="s">
        <v>2066</v>
      </c>
      <c r="AF6" s="8" t="s">
        <v>969</v>
      </c>
      <c r="AG6" s="8">
        <v>36.0</v>
      </c>
      <c r="AH6" s="8">
        <v>260.0</v>
      </c>
      <c r="AI6" s="8">
        <v>293.0</v>
      </c>
      <c r="AJ6" s="8">
        <v>0.0</v>
      </c>
      <c r="AK6" s="8">
        <v>238.0</v>
      </c>
      <c r="AL6" s="8" t="s">
        <v>1130</v>
      </c>
      <c r="AM6" s="8" t="s">
        <v>1071</v>
      </c>
      <c r="AN6" s="8" t="s">
        <v>1131</v>
      </c>
      <c r="AO6" s="8" t="s">
        <v>1132</v>
      </c>
      <c r="AP6" s="8" t="s">
        <v>1133</v>
      </c>
      <c r="AQ6" s="8" t="s">
        <v>969</v>
      </c>
      <c r="AR6" s="8" t="s">
        <v>1134</v>
      </c>
      <c r="AS6" s="8" t="s">
        <v>1135</v>
      </c>
      <c r="AT6" s="8" t="s">
        <v>2067</v>
      </c>
      <c r="AU6" s="8">
        <v>2009.0</v>
      </c>
      <c r="AV6" s="8">
        <v>276.0</v>
      </c>
      <c r="AW6" s="8">
        <v>1661.0</v>
      </c>
      <c r="AX6" s="8" t="s">
        <v>969</v>
      </c>
      <c r="AY6" s="8" t="s">
        <v>969</v>
      </c>
      <c r="AZ6" s="8" t="s">
        <v>969</v>
      </c>
      <c r="BA6" s="8" t="s">
        <v>969</v>
      </c>
      <c r="BB6" s="8">
        <v>1415.0</v>
      </c>
      <c r="BC6" s="8">
        <v>1420.0</v>
      </c>
      <c r="BD6" s="8" t="s">
        <v>969</v>
      </c>
      <c r="BE6" s="8" t="s">
        <v>662</v>
      </c>
      <c r="BF6" s="13" t="str">
        <f>HYPERLINK("http://dx.doi.org/10.1098/rspb.2008.1681","http://dx.doi.org/10.1098/rspb.2008.1681")</f>
        <v>http://dx.doi.org/10.1098/rspb.2008.1681</v>
      </c>
      <c r="BG6" s="8" t="s">
        <v>969</v>
      </c>
      <c r="BH6" s="8" t="s">
        <v>969</v>
      </c>
      <c r="BI6" s="8">
        <v>6.0</v>
      </c>
      <c r="BJ6" s="8" t="s">
        <v>1137</v>
      </c>
      <c r="BK6" s="8" t="s">
        <v>988</v>
      </c>
      <c r="BL6" s="8" t="s">
        <v>1138</v>
      </c>
      <c r="BM6" s="8" t="s">
        <v>2068</v>
      </c>
      <c r="BN6" s="8">
        <v>1.9324811E7</v>
      </c>
      <c r="BO6" s="8" t="s">
        <v>1227</v>
      </c>
      <c r="BP6" s="8" t="s">
        <v>969</v>
      </c>
      <c r="BQ6" s="8" t="s">
        <v>969</v>
      </c>
      <c r="BR6" s="8" t="s">
        <v>3344</v>
      </c>
      <c r="BS6" s="8" t="s">
        <v>2069</v>
      </c>
      <c r="BT6" s="8" t="str">
        <f>HYPERLINK("https%3A%2F%2Fwww.webofscience.com%2Fwos%2Fwoscc%2Ffull-record%2FWOS:000264351900004","View Full Record in Web of Science")</f>
        <v>View Full Record in Web of Science</v>
      </c>
    </row>
    <row r="7" ht="12.75" customHeight="1">
      <c r="A7" s="8" t="s">
        <v>967</v>
      </c>
      <c r="B7" s="8" t="s">
        <v>1823</v>
      </c>
      <c r="C7" s="8" t="s">
        <v>969</v>
      </c>
      <c r="D7" s="8" t="s">
        <v>969</v>
      </c>
      <c r="E7" s="8" t="s">
        <v>969</v>
      </c>
      <c r="F7" s="8" t="s">
        <v>1824</v>
      </c>
      <c r="G7" s="8" t="s">
        <v>969</v>
      </c>
      <c r="H7" s="8" t="s">
        <v>969</v>
      </c>
      <c r="I7" s="8" t="s">
        <v>1825</v>
      </c>
      <c r="J7" s="8" t="s">
        <v>1826</v>
      </c>
      <c r="K7" s="8" t="s">
        <v>969</v>
      </c>
      <c r="L7" s="8" t="s">
        <v>969</v>
      </c>
      <c r="M7" s="8" t="s">
        <v>972</v>
      </c>
      <c r="N7" s="8" t="s">
        <v>973</v>
      </c>
      <c r="O7" s="8" t="s">
        <v>969</v>
      </c>
      <c r="P7" s="8" t="s">
        <v>969</v>
      </c>
      <c r="Q7" s="8" t="s">
        <v>969</v>
      </c>
      <c r="R7" s="8" t="s">
        <v>969</v>
      </c>
      <c r="S7" s="8" t="s">
        <v>969</v>
      </c>
      <c r="T7" s="8" t="s">
        <v>1827</v>
      </c>
      <c r="U7" s="8" t="s">
        <v>1828</v>
      </c>
      <c r="V7" s="8" t="s">
        <v>1829</v>
      </c>
      <c r="W7" s="8" t="s">
        <v>1830</v>
      </c>
      <c r="X7" s="8" t="s">
        <v>1831</v>
      </c>
      <c r="Y7" s="8" t="s">
        <v>1832</v>
      </c>
      <c r="Z7" s="8" t="s">
        <v>1833</v>
      </c>
      <c r="AA7" s="8" t="s">
        <v>3279</v>
      </c>
      <c r="AB7" s="8" t="s">
        <v>1835</v>
      </c>
      <c r="AC7" s="8" t="s">
        <v>969</v>
      </c>
      <c r="AD7" s="8" t="s">
        <v>969</v>
      </c>
      <c r="AE7" s="8" t="s">
        <v>969</v>
      </c>
      <c r="AF7" s="8" t="s">
        <v>969</v>
      </c>
      <c r="AG7" s="8">
        <v>43.0</v>
      </c>
      <c r="AH7" s="8">
        <v>238.0</v>
      </c>
      <c r="AI7" s="8">
        <v>270.0</v>
      </c>
      <c r="AJ7" s="8">
        <v>0.0</v>
      </c>
      <c r="AK7" s="8">
        <v>69.0</v>
      </c>
      <c r="AL7" s="8" t="s">
        <v>1091</v>
      </c>
      <c r="AM7" s="8" t="s">
        <v>1092</v>
      </c>
      <c r="AN7" s="8" t="s">
        <v>1093</v>
      </c>
      <c r="AO7" s="8" t="s">
        <v>1836</v>
      </c>
      <c r="AP7" s="8" t="s">
        <v>1837</v>
      </c>
      <c r="AQ7" s="8" t="s">
        <v>969</v>
      </c>
      <c r="AR7" s="8" t="s">
        <v>1838</v>
      </c>
      <c r="AS7" s="8" t="s">
        <v>1839</v>
      </c>
      <c r="AT7" s="8" t="s">
        <v>1552</v>
      </c>
      <c r="AU7" s="8">
        <v>2008.0</v>
      </c>
      <c r="AV7" s="8">
        <v>11.0</v>
      </c>
      <c r="AW7" s="8">
        <v>2.0</v>
      </c>
      <c r="AX7" s="8" t="s">
        <v>969</v>
      </c>
      <c r="AY7" s="8" t="s">
        <v>969</v>
      </c>
      <c r="AZ7" s="8" t="s">
        <v>969</v>
      </c>
      <c r="BA7" s="8" t="s">
        <v>969</v>
      </c>
      <c r="BB7" s="8">
        <v>169.0</v>
      </c>
      <c r="BC7" s="8">
        <v>178.0</v>
      </c>
      <c r="BD7" s="8" t="s">
        <v>969</v>
      </c>
      <c r="BE7" s="8" t="s">
        <v>851</v>
      </c>
      <c r="BF7" s="13" t="str">
        <f>HYPERLINK("http://dx.doi.org/10.3170/2008-7-18348","http://dx.doi.org/10.3170/2008-7-18348")</f>
        <v>http://dx.doi.org/10.3170/2008-7-18348</v>
      </c>
      <c r="BG7" s="8" t="s">
        <v>969</v>
      </c>
      <c r="BH7" s="8" t="s">
        <v>969</v>
      </c>
      <c r="BI7" s="8">
        <v>10.0</v>
      </c>
      <c r="BJ7" s="8" t="s">
        <v>1840</v>
      </c>
      <c r="BK7" s="8" t="s">
        <v>988</v>
      </c>
      <c r="BL7" s="8" t="s">
        <v>1841</v>
      </c>
      <c r="BM7" s="8" t="s">
        <v>1842</v>
      </c>
      <c r="BN7" s="8" t="s">
        <v>969</v>
      </c>
      <c r="BO7" s="8" t="s">
        <v>969</v>
      </c>
      <c r="BP7" s="8" t="s">
        <v>969</v>
      </c>
      <c r="BQ7" s="8" t="s">
        <v>969</v>
      </c>
      <c r="BR7" s="8" t="s">
        <v>3344</v>
      </c>
      <c r="BS7" s="8" t="s">
        <v>1843</v>
      </c>
      <c r="BT7" s="8" t="str">
        <f>HYPERLINK("https%3A%2F%2Fwww.webofscience.com%2Fwos%2Fwoscc%2Ffull-record%2FWOS:000255229600003","View Full Record in Web of Science")</f>
        <v>View Full Record in Web of Science</v>
      </c>
    </row>
    <row r="8" ht="12.75" customHeight="1">
      <c r="A8" s="8" t="s">
        <v>967</v>
      </c>
      <c r="B8" s="8" t="s">
        <v>1782</v>
      </c>
      <c r="C8" s="8" t="s">
        <v>969</v>
      </c>
      <c r="D8" s="8" t="s">
        <v>969</v>
      </c>
      <c r="E8" s="8" t="s">
        <v>969</v>
      </c>
      <c r="F8" s="8" t="s">
        <v>1783</v>
      </c>
      <c r="G8" s="8" t="s">
        <v>969</v>
      </c>
      <c r="H8" s="8" t="s">
        <v>969</v>
      </c>
      <c r="I8" s="8" t="s">
        <v>1784</v>
      </c>
      <c r="J8" s="8" t="s">
        <v>971</v>
      </c>
      <c r="K8" s="8" t="s">
        <v>969</v>
      </c>
      <c r="L8" s="8" t="s">
        <v>969</v>
      </c>
      <c r="M8" s="8" t="s">
        <v>972</v>
      </c>
      <c r="N8" s="8" t="s">
        <v>973</v>
      </c>
      <c r="O8" s="8" t="s">
        <v>969</v>
      </c>
      <c r="P8" s="8" t="s">
        <v>969</v>
      </c>
      <c r="Q8" s="8" t="s">
        <v>969</v>
      </c>
      <c r="R8" s="8" t="s">
        <v>969</v>
      </c>
      <c r="S8" s="8" t="s">
        <v>969</v>
      </c>
      <c r="T8" s="8" t="s">
        <v>1785</v>
      </c>
      <c r="U8" s="8" t="s">
        <v>1786</v>
      </c>
      <c r="V8" s="8" t="s">
        <v>1787</v>
      </c>
      <c r="W8" s="8" t="s">
        <v>1788</v>
      </c>
      <c r="X8" s="8" t="s">
        <v>1789</v>
      </c>
      <c r="Y8" s="8" t="s">
        <v>1790</v>
      </c>
      <c r="Z8" s="8" t="s">
        <v>1791</v>
      </c>
      <c r="AA8" s="8" t="s">
        <v>3255</v>
      </c>
      <c r="AB8" s="8" t="s">
        <v>1793</v>
      </c>
      <c r="AC8" s="8" t="s">
        <v>969</v>
      </c>
      <c r="AD8" s="8" t="s">
        <v>969</v>
      </c>
      <c r="AE8" s="8" t="s">
        <v>969</v>
      </c>
      <c r="AF8" s="8" t="s">
        <v>969</v>
      </c>
      <c r="AG8" s="8">
        <v>49.0</v>
      </c>
      <c r="AH8" s="8">
        <v>136.0</v>
      </c>
      <c r="AI8" s="8">
        <v>155.0</v>
      </c>
      <c r="AJ8" s="8">
        <v>2.0</v>
      </c>
      <c r="AK8" s="8">
        <v>54.0</v>
      </c>
      <c r="AL8" s="8" t="s">
        <v>1091</v>
      </c>
      <c r="AM8" s="8" t="s">
        <v>1092</v>
      </c>
      <c r="AN8" s="8" t="s">
        <v>1093</v>
      </c>
      <c r="AO8" s="8" t="s">
        <v>983</v>
      </c>
      <c r="AP8" s="8" t="s">
        <v>1094</v>
      </c>
      <c r="AQ8" s="8" t="s">
        <v>969</v>
      </c>
      <c r="AR8" s="8" t="s">
        <v>1095</v>
      </c>
      <c r="AS8" s="8" t="s">
        <v>985</v>
      </c>
      <c r="AT8" s="8" t="s">
        <v>1055</v>
      </c>
      <c r="AU8" s="8">
        <v>2008.0</v>
      </c>
      <c r="AV8" s="8">
        <v>14.0</v>
      </c>
      <c r="AW8" s="8">
        <v>3.0</v>
      </c>
      <c r="AX8" s="8" t="s">
        <v>969</v>
      </c>
      <c r="AY8" s="8" t="s">
        <v>969</v>
      </c>
      <c r="AZ8" s="8" t="s">
        <v>969</v>
      </c>
      <c r="BA8" s="8" t="s">
        <v>969</v>
      </c>
      <c r="BB8" s="8">
        <v>483.0</v>
      </c>
      <c r="BC8" s="8">
        <v>494.0</v>
      </c>
      <c r="BD8" s="8" t="s">
        <v>969</v>
      </c>
      <c r="BE8" s="8" t="s">
        <v>701</v>
      </c>
      <c r="BF8" s="13" t="str">
        <f>HYPERLINK("http://dx.doi.org/10.1111/j.1365-2486.2007.01527.x","http://dx.doi.org/10.1111/j.1365-2486.2007.01527.x")</f>
        <v>http://dx.doi.org/10.1111/j.1365-2486.2007.01527.x</v>
      </c>
      <c r="BG8" s="8" t="s">
        <v>969</v>
      </c>
      <c r="BH8" s="8" t="s">
        <v>969</v>
      </c>
      <c r="BI8" s="8">
        <v>12.0</v>
      </c>
      <c r="BJ8" s="8" t="s">
        <v>987</v>
      </c>
      <c r="BK8" s="8" t="s">
        <v>988</v>
      </c>
      <c r="BL8" s="8" t="s">
        <v>989</v>
      </c>
      <c r="BM8" s="8" t="s">
        <v>1794</v>
      </c>
      <c r="BN8" s="8" t="s">
        <v>969</v>
      </c>
      <c r="BO8" s="8" t="s">
        <v>969</v>
      </c>
      <c r="BP8" s="8" t="s">
        <v>969</v>
      </c>
      <c r="BQ8" s="8" t="s">
        <v>969</v>
      </c>
      <c r="BR8" s="8" t="s">
        <v>3344</v>
      </c>
      <c r="BS8" s="8" t="s">
        <v>1795</v>
      </c>
      <c r="BT8" s="8" t="str">
        <f>HYPERLINK("https%3A%2F%2Fwww.webofscience.com%2Fwos%2Fwoscc%2Ffull-record%2FWOS:000252929900004","View Full Record in Web of Science")</f>
        <v>View Full Record in Web of Science</v>
      </c>
    </row>
    <row r="9" ht="12.75" customHeight="1">
      <c r="A9" s="8" t="s">
        <v>967</v>
      </c>
      <c r="B9" s="8" t="s">
        <v>1796</v>
      </c>
      <c r="C9" s="8" t="s">
        <v>969</v>
      </c>
      <c r="D9" s="8" t="s">
        <v>969</v>
      </c>
      <c r="E9" s="8" t="s">
        <v>969</v>
      </c>
      <c r="F9" s="8" t="s">
        <v>1797</v>
      </c>
      <c r="G9" s="8" t="s">
        <v>969</v>
      </c>
      <c r="H9" s="8" t="s">
        <v>969</v>
      </c>
      <c r="I9" s="8" t="s">
        <v>1798</v>
      </c>
      <c r="J9" s="8" t="s">
        <v>1799</v>
      </c>
      <c r="K9" s="8" t="s">
        <v>969</v>
      </c>
      <c r="L9" s="8" t="s">
        <v>969</v>
      </c>
      <c r="M9" s="8" t="s">
        <v>972</v>
      </c>
      <c r="N9" s="8" t="s">
        <v>1145</v>
      </c>
      <c r="O9" s="8" t="s">
        <v>1800</v>
      </c>
      <c r="P9" s="8" t="s">
        <v>1801</v>
      </c>
      <c r="Q9" s="8" t="s">
        <v>1802</v>
      </c>
      <c r="R9" s="8" t="s">
        <v>1803</v>
      </c>
      <c r="S9" s="8" t="s">
        <v>969</v>
      </c>
      <c r="T9" s="8" t="s">
        <v>1804</v>
      </c>
      <c r="U9" s="8" t="s">
        <v>1805</v>
      </c>
      <c r="V9" s="8" t="s">
        <v>1806</v>
      </c>
      <c r="W9" s="8" t="s">
        <v>1807</v>
      </c>
      <c r="X9" s="8" t="s">
        <v>1808</v>
      </c>
      <c r="Y9" s="8" t="s">
        <v>1809</v>
      </c>
      <c r="Z9" s="8" t="s">
        <v>1810</v>
      </c>
      <c r="AA9" s="8" t="s">
        <v>3349</v>
      </c>
      <c r="AB9" s="8" t="s">
        <v>3350</v>
      </c>
      <c r="AC9" s="8" t="s">
        <v>969</v>
      </c>
      <c r="AD9" s="8" t="s">
        <v>969</v>
      </c>
      <c r="AE9" s="8" t="s">
        <v>969</v>
      </c>
      <c r="AF9" s="8" t="s">
        <v>969</v>
      </c>
      <c r="AG9" s="8">
        <v>68.0</v>
      </c>
      <c r="AH9" s="8">
        <v>530.0</v>
      </c>
      <c r="AI9" s="8">
        <v>707.0</v>
      </c>
      <c r="AJ9" s="8">
        <v>1.0</v>
      </c>
      <c r="AK9" s="8">
        <v>226.0</v>
      </c>
      <c r="AL9" s="8" t="s">
        <v>1813</v>
      </c>
      <c r="AM9" s="8" t="s">
        <v>1261</v>
      </c>
      <c r="AN9" s="8" t="s">
        <v>1814</v>
      </c>
      <c r="AO9" s="8" t="s">
        <v>1815</v>
      </c>
      <c r="AP9" s="8" t="s">
        <v>1816</v>
      </c>
      <c r="AQ9" s="8" t="s">
        <v>969</v>
      </c>
      <c r="AR9" s="8" t="s">
        <v>1817</v>
      </c>
      <c r="AS9" s="8" t="s">
        <v>1818</v>
      </c>
      <c r="AT9" s="8" t="s">
        <v>1819</v>
      </c>
      <c r="AU9" s="8">
        <v>2008.0</v>
      </c>
      <c r="AV9" s="8">
        <v>254.0</v>
      </c>
      <c r="AW9" s="8">
        <v>3.0</v>
      </c>
      <c r="AX9" s="8" t="s">
        <v>969</v>
      </c>
      <c r="AY9" s="8" t="s">
        <v>969</v>
      </c>
      <c r="AZ9" s="8" t="s">
        <v>969</v>
      </c>
      <c r="BA9" s="8" t="s">
        <v>969</v>
      </c>
      <c r="BB9" s="8">
        <v>390.0</v>
      </c>
      <c r="BC9" s="8">
        <v>406.0</v>
      </c>
      <c r="BD9" s="8" t="s">
        <v>969</v>
      </c>
      <c r="BE9" s="8" t="s">
        <v>569</v>
      </c>
      <c r="BF9" s="13" t="str">
        <f>HYPERLINK("http://dx.doi.org/10.1016/j.foreco.2007.07.023","http://dx.doi.org/10.1016/j.foreco.2007.07.023")</f>
        <v>http://dx.doi.org/10.1016/j.foreco.2007.07.023</v>
      </c>
      <c r="BG9" s="8" t="s">
        <v>969</v>
      </c>
      <c r="BH9" s="8" t="s">
        <v>969</v>
      </c>
      <c r="BI9" s="8">
        <v>17.0</v>
      </c>
      <c r="BJ9" s="8" t="s">
        <v>1820</v>
      </c>
      <c r="BK9" s="8" t="s">
        <v>1164</v>
      </c>
      <c r="BL9" s="8" t="s">
        <v>1820</v>
      </c>
      <c r="BM9" s="8" t="s">
        <v>1821</v>
      </c>
      <c r="BN9" s="8" t="s">
        <v>969</v>
      </c>
      <c r="BO9" s="8" t="s">
        <v>969</v>
      </c>
      <c r="BP9" s="8" t="s">
        <v>969</v>
      </c>
      <c r="BQ9" s="8" t="s">
        <v>969</v>
      </c>
      <c r="BR9" s="8" t="s">
        <v>3344</v>
      </c>
      <c r="BS9" s="8" t="s">
        <v>1822</v>
      </c>
      <c r="BT9" s="8" t="str">
        <f>HYPERLINK("https%3A%2F%2Fwww.webofscience.com%2Fwos%2Fwoscc%2Ffull-record%2FWOS:000253444600003","View Full Record in Web of Science")</f>
        <v>View Full Record in Web of Science</v>
      </c>
    </row>
    <row r="10" ht="12.75" customHeight="1">
      <c r="A10" s="8" t="s">
        <v>967</v>
      </c>
      <c r="B10" s="8" t="s">
        <v>1703</v>
      </c>
      <c r="C10" s="8" t="s">
        <v>969</v>
      </c>
      <c r="D10" s="8" t="s">
        <v>969</v>
      </c>
      <c r="E10" s="8" t="s">
        <v>969</v>
      </c>
      <c r="F10" s="8" t="s">
        <v>1704</v>
      </c>
      <c r="G10" s="8" t="s">
        <v>969</v>
      </c>
      <c r="H10" s="8" t="s">
        <v>969</v>
      </c>
      <c r="I10" s="8" t="s">
        <v>1705</v>
      </c>
      <c r="J10" s="8" t="s">
        <v>1645</v>
      </c>
      <c r="K10" s="8" t="s">
        <v>969</v>
      </c>
      <c r="L10" s="8" t="s">
        <v>969</v>
      </c>
      <c r="M10" s="8" t="s">
        <v>972</v>
      </c>
      <c r="N10" s="8" t="s">
        <v>973</v>
      </c>
      <c r="O10" s="8" t="s">
        <v>969</v>
      </c>
      <c r="P10" s="8" t="s">
        <v>969</v>
      </c>
      <c r="Q10" s="8" t="s">
        <v>969</v>
      </c>
      <c r="R10" s="8" t="s">
        <v>969</v>
      </c>
      <c r="S10" s="8" t="s">
        <v>969</v>
      </c>
      <c r="T10" s="8" t="s">
        <v>1706</v>
      </c>
      <c r="U10" s="8" t="s">
        <v>1707</v>
      </c>
      <c r="V10" s="8" t="s">
        <v>1708</v>
      </c>
      <c r="W10" s="8" t="s">
        <v>1709</v>
      </c>
      <c r="X10" s="8" t="s">
        <v>1710</v>
      </c>
      <c r="Y10" s="8" t="s">
        <v>1711</v>
      </c>
      <c r="Z10" s="8" t="s">
        <v>1712</v>
      </c>
      <c r="AA10" s="8" t="s">
        <v>3257</v>
      </c>
      <c r="AB10" s="8" t="s">
        <v>3258</v>
      </c>
      <c r="AC10" s="8" t="s">
        <v>969</v>
      </c>
      <c r="AD10" s="8" t="s">
        <v>969</v>
      </c>
      <c r="AE10" s="8" t="s">
        <v>969</v>
      </c>
      <c r="AF10" s="8" t="s">
        <v>969</v>
      </c>
      <c r="AG10" s="8">
        <v>56.0</v>
      </c>
      <c r="AH10" s="8">
        <v>156.0</v>
      </c>
      <c r="AI10" s="8">
        <v>175.0</v>
      </c>
      <c r="AJ10" s="8">
        <v>3.0</v>
      </c>
      <c r="AK10" s="8">
        <v>125.0</v>
      </c>
      <c r="AL10" s="8" t="s">
        <v>1609</v>
      </c>
      <c r="AM10" s="8" t="s">
        <v>1032</v>
      </c>
      <c r="AN10" s="8" t="s">
        <v>1210</v>
      </c>
      <c r="AO10" s="8" t="s">
        <v>1653</v>
      </c>
      <c r="AP10" s="8" t="s">
        <v>969</v>
      </c>
      <c r="AQ10" s="8" t="s">
        <v>969</v>
      </c>
      <c r="AR10" s="8" t="s">
        <v>1655</v>
      </c>
      <c r="AS10" s="8" t="s">
        <v>1656</v>
      </c>
      <c r="AT10" s="8" t="s">
        <v>986</v>
      </c>
      <c r="AU10" s="8">
        <v>2007.0</v>
      </c>
      <c r="AV10" s="8">
        <v>16.0</v>
      </c>
      <c r="AW10" s="8">
        <v>13.0</v>
      </c>
      <c r="AX10" s="8" t="s">
        <v>969</v>
      </c>
      <c r="AY10" s="8" t="s">
        <v>969</v>
      </c>
      <c r="AZ10" s="8" t="s">
        <v>969</v>
      </c>
      <c r="BA10" s="8" t="s">
        <v>969</v>
      </c>
      <c r="BB10" s="8">
        <v>3803.0</v>
      </c>
      <c r="BC10" s="8">
        <v>3816.0</v>
      </c>
      <c r="BD10" s="8" t="s">
        <v>969</v>
      </c>
      <c r="BE10" s="8" t="s">
        <v>527</v>
      </c>
      <c r="BF10" s="13" t="str">
        <f>HYPERLINK("http://dx.doi.org/10.1007/s10531-007-9181-7","http://dx.doi.org/10.1007/s10531-007-9181-7")</f>
        <v>http://dx.doi.org/10.1007/s10531-007-9181-7</v>
      </c>
      <c r="BG10" s="8" t="s">
        <v>969</v>
      </c>
      <c r="BH10" s="8" t="s">
        <v>969</v>
      </c>
      <c r="BI10" s="8">
        <v>14.0</v>
      </c>
      <c r="BJ10" s="8" t="s">
        <v>987</v>
      </c>
      <c r="BK10" s="8" t="s">
        <v>988</v>
      </c>
      <c r="BL10" s="8" t="s">
        <v>989</v>
      </c>
      <c r="BM10" s="8" t="s">
        <v>1715</v>
      </c>
      <c r="BN10" s="8" t="s">
        <v>969</v>
      </c>
      <c r="BO10" s="8" t="s">
        <v>969</v>
      </c>
      <c r="BP10" s="8" t="s">
        <v>969</v>
      </c>
      <c r="BQ10" s="8" t="s">
        <v>969</v>
      </c>
      <c r="BR10" s="8" t="s">
        <v>3344</v>
      </c>
      <c r="BS10" s="8" t="s">
        <v>1716</v>
      </c>
      <c r="BT10" s="8" t="str">
        <f>HYPERLINK("https%3A%2F%2Fwww.webofscience.com%2Fwos%2Fwoscc%2Ffull-record%2FWOS:000250301400007","View Full Record in Web of Science")</f>
        <v>View Full Record in Web of Science</v>
      </c>
    </row>
    <row r="11" ht="12.75" customHeight="1">
      <c r="A11" s="8" t="s">
        <v>967</v>
      </c>
      <c r="B11" s="8" t="s">
        <v>1679</v>
      </c>
      <c r="C11" s="8" t="s">
        <v>969</v>
      </c>
      <c r="D11" s="8" t="s">
        <v>969</v>
      </c>
      <c r="E11" s="8" t="s">
        <v>969</v>
      </c>
      <c r="F11" s="8" t="s">
        <v>1680</v>
      </c>
      <c r="G11" s="8" t="s">
        <v>969</v>
      </c>
      <c r="H11" s="8" t="s">
        <v>969</v>
      </c>
      <c r="I11" s="8" t="s">
        <v>1681</v>
      </c>
      <c r="J11" s="8" t="s">
        <v>1538</v>
      </c>
      <c r="K11" s="8" t="s">
        <v>969</v>
      </c>
      <c r="L11" s="8" t="s">
        <v>969</v>
      </c>
      <c r="M11" s="8" t="s">
        <v>972</v>
      </c>
      <c r="N11" s="8" t="s">
        <v>973</v>
      </c>
      <c r="O11" s="8" t="s">
        <v>969</v>
      </c>
      <c r="P11" s="8" t="s">
        <v>969</v>
      </c>
      <c r="Q11" s="8" t="s">
        <v>969</v>
      </c>
      <c r="R11" s="8" t="s">
        <v>969</v>
      </c>
      <c r="S11" s="8" t="s">
        <v>969</v>
      </c>
      <c r="T11" s="8" t="s">
        <v>1682</v>
      </c>
      <c r="U11" s="8" t="s">
        <v>1683</v>
      </c>
      <c r="V11" s="8" t="s">
        <v>1684</v>
      </c>
      <c r="W11" s="8" t="s">
        <v>1685</v>
      </c>
      <c r="X11" s="8" t="s">
        <v>969</v>
      </c>
      <c r="Y11" s="8" t="s">
        <v>1686</v>
      </c>
      <c r="Z11" s="8" t="s">
        <v>1687</v>
      </c>
      <c r="AA11" s="8" t="s">
        <v>969</v>
      </c>
      <c r="AB11" s="8" t="s">
        <v>969</v>
      </c>
      <c r="AC11" s="8" t="s">
        <v>969</v>
      </c>
      <c r="AD11" s="8" t="s">
        <v>969</v>
      </c>
      <c r="AE11" s="8" t="s">
        <v>969</v>
      </c>
      <c r="AF11" s="8" t="s">
        <v>969</v>
      </c>
      <c r="AG11" s="8">
        <v>41.0</v>
      </c>
      <c r="AH11" s="8">
        <v>105.0</v>
      </c>
      <c r="AI11" s="8">
        <v>130.0</v>
      </c>
      <c r="AJ11" s="8">
        <v>1.0</v>
      </c>
      <c r="AK11" s="8">
        <v>144.0</v>
      </c>
      <c r="AL11" s="8" t="s">
        <v>1091</v>
      </c>
      <c r="AM11" s="8" t="s">
        <v>1092</v>
      </c>
      <c r="AN11" s="8" t="s">
        <v>1093</v>
      </c>
      <c r="AO11" s="8" t="s">
        <v>1548</v>
      </c>
      <c r="AP11" s="8" t="s">
        <v>1549</v>
      </c>
      <c r="AQ11" s="8" t="s">
        <v>969</v>
      </c>
      <c r="AR11" s="8" t="s">
        <v>1550</v>
      </c>
      <c r="AS11" s="8" t="s">
        <v>1551</v>
      </c>
      <c r="AT11" s="8" t="s">
        <v>1211</v>
      </c>
      <c r="AU11" s="8">
        <v>2007.0</v>
      </c>
      <c r="AV11" s="8">
        <v>21.0</v>
      </c>
      <c r="AW11" s="8">
        <v>4.0</v>
      </c>
      <c r="AX11" s="8" t="s">
        <v>969</v>
      </c>
      <c r="AY11" s="8" t="s">
        <v>969</v>
      </c>
      <c r="AZ11" s="8" t="s">
        <v>969</v>
      </c>
      <c r="BA11" s="8" t="s">
        <v>969</v>
      </c>
      <c r="BB11" s="8">
        <v>1092.0</v>
      </c>
      <c r="BC11" s="8">
        <v>1104.0</v>
      </c>
      <c r="BD11" s="8" t="s">
        <v>969</v>
      </c>
      <c r="BE11" s="8" t="s">
        <v>773</v>
      </c>
      <c r="BF11" s="13" t="str">
        <f>HYPERLINK("http://dx.doi.org/10.1111/j.1523-1739.2007.00719.x","http://dx.doi.org/10.1111/j.1523-1739.2007.00719.x")</f>
        <v>http://dx.doi.org/10.1111/j.1523-1739.2007.00719.x</v>
      </c>
      <c r="BG11" s="8" t="s">
        <v>969</v>
      </c>
      <c r="BH11" s="8" t="s">
        <v>969</v>
      </c>
      <c r="BI11" s="8">
        <v>13.0</v>
      </c>
      <c r="BJ11" s="8" t="s">
        <v>987</v>
      </c>
      <c r="BK11" s="8" t="s">
        <v>988</v>
      </c>
      <c r="BL11" s="8" t="s">
        <v>989</v>
      </c>
      <c r="BM11" s="8" t="s">
        <v>1688</v>
      </c>
      <c r="BN11" s="8">
        <v>1.7650258E7</v>
      </c>
      <c r="BO11" s="8" t="s">
        <v>969</v>
      </c>
      <c r="BP11" s="8" t="s">
        <v>969</v>
      </c>
      <c r="BQ11" s="8" t="s">
        <v>969</v>
      </c>
      <c r="BR11" s="8" t="s">
        <v>3344</v>
      </c>
      <c r="BS11" s="8" t="s">
        <v>1689</v>
      </c>
      <c r="BT11" s="8" t="str">
        <f>HYPERLINK("https%3A%2F%2Fwww.webofscience.com%2Fwos%2Fwoscc%2Ffull-record%2FWOS:000248401200029","View Full Record in Web of Science")</f>
        <v>View Full Record in Web of Science</v>
      </c>
    </row>
    <row r="12" ht="12.75" customHeight="1">
      <c r="A12" s="8" t="s">
        <v>967</v>
      </c>
      <c r="B12" s="8" t="s">
        <v>1118</v>
      </c>
      <c r="C12" s="8" t="s">
        <v>969</v>
      </c>
      <c r="D12" s="8" t="s">
        <v>969</v>
      </c>
      <c r="E12" s="8" t="s">
        <v>969</v>
      </c>
      <c r="F12" s="8" t="s">
        <v>1118</v>
      </c>
      <c r="G12" s="8" t="s">
        <v>969</v>
      </c>
      <c r="H12" s="8" t="s">
        <v>969</v>
      </c>
      <c r="I12" s="8" t="s">
        <v>1119</v>
      </c>
      <c r="J12" s="8" t="s">
        <v>1120</v>
      </c>
      <c r="K12" s="8" t="s">
        <v>969</v>
      </c>
      <c r="L12" s="8" t="s">
        <v>969</v>
      </c>
      <c r="M12" s="8" t="s">
        <v>972</v>
      </c>
      <c r="N12" s="8" t="s">
        <v>973</v>
      </c>
      <c r="O12" s="8" t="s">
        <v>969</v>
      </c>
      <c r="P12" s="8" t="s">
        <v>969</v>
      </c>
      <c r="Q12" s="8" t="s">
        <v>969</v>
      </c>
      <c r="R12" s="8" t="s">
        <v>969</v>
      </c>
      <c r="S12" s="8" t="s">
        <v>969</v>
      </c>
      <c r="T12" s="8" t="s">
        <v>1121</v>
      </c>
      <c r="U12" s="8" t="s">
        <v>1122</v>
      </c>
      <c r="V12" s="8" t="s">
        <v>1123</v>
      </c>
      <c r="W12" s="8" t="s">
        <v>1124</v>
      </c>
      <c r="X12" s="8" t="s">
        <v>1125</v>
      </c>
      <c r="Y12" s="8" t="s">
        <v>1126</v>
      </c>
      <c r="Z12" s="8" t="s">
        <v>1127</v>
      </c>
      <c r="AA12" s="8" t="s">
        <v>3351</v>
      </c>
      <c r="AB12" s="8" t="s">
        <v>3352</v>
      </c>
      <c r="AC12" s="8" t="s">
        <v>969</v>
      </c>
      <c r="AD12" s="8" t="s">
        <v>969</v>
      </c>
      <c r="AE12" s="8" t="s">
        <v>969</v>
      </c>
      <c r="AF12" s="8" t="s">
        <v>969</v>
      </c>
      <c r="AG12" s="8">
        <v>33.0</v>
      </c>
      <c r="AH12" s="8">
        <v>325.0</v>
      </c>
      <c r="AI12" s="8">
        <v>372.0</v>
      </c>
      <c r="AJ12" s="8">
        <v>2.0</v>
      </c>
      <c r="AK12" s="8">
        <v>156.0</v>
      </c>
      <c r="AL12" s="8" t="s">
        <v>1130</v>
      </c>
      <c r="AM12" s="8" t="s">
        <v>1071</v>
      </c>
      <c r="AN12" s="8" t="s">
        <v>1131</v>
      </c>
      <c r="AO12" s="8" t="s">
        <v>1132</v>
      </c>
      <c r="AP12" s="8" t="s">
        <v>1133</v>
      </c>
      <c r="AQ12" s="8" t="s">
        <v>969</v>
      </c>
      <c r="AR12" s="8" t="s">
        <v>1134</v>
      </c>
      <c r="AS12" s="8" t="s">
        <v>1135</v>
      </c>
      <c r="AT12" s="8" t="s">
        <v>1136</v>
      </c>
      <c r="AU12" s="8">
        <v>2002.0</v>
      </c>
      <c r="AV12" s="8">
        <v>269.0</v>
      </c>
      <c r="AW12" s="8">
        <v>1505.0</v>
      </c>
      <c r="AX12" s="8" t="s">
        <v>969</v>
      </c>
      <c r="AY12" s="8" t="s">
        <v>969</v>
      </c>
      <c r="AZ12" s="8" t="s">
        <v>969</v>
      </c>
      <c r="BA12" s="8" t="s">
        <v>969</v>
      </c>
      <c r="BB12" s="8">
        <v>2163.0</v>
      </c>
      <c r="BC12" s="8">
        <v>2171.0</v>
      </c>
      <c r="BD12" s="8" t="s">
        <v>969</v>
      </c>
      <c r="BE12" s="8" t="s">
        <v>656</v>
      </c>
      <c r="BF12" s="13" t="str">
        <f>HYPERLINK("http://dx.doi.org/10.1098/rspb.2002.2134","http://dx.doi.org/10.1098/rspb.2002.2134")</f>
        <v>http://dx.doi.org/10.1098/rspb.2002.2134</v>
      </c>
      <c r="BG12" s="8" t="s">
        <v>969</v>
      </c>
      <c r="BH12" s="8" t="s">
        <v>969</v>
      </c>
      <c r="BI12" s="8">
        <v>9.0</v>
      </c>
      <c r="BJ12" s="8" t="s">
        <v>1137</v>
      </c>
      <c r="BK12" s="8" t="s">
        <v>988</v>
      </c>
      <c r="BL12" s="8" t="s">
        <v>1138</v>
      </c>
      <c r="BM12" s="8" t="s">
        <v>1139</v>
      </c>
      <c r="BN12" s="8">
        <v>1.2396492E7</v>
      </c>
      <c r="BO12" s="8" t="s">
        <v>1140</v>
      </c>
      <c r="BP12" s="8" t="s">
        <v>969</v>
      </c>
      <c r="BQ12" s="8" t="s">
        <v>969</v>
      </c>
      <c r="BR12" s="8" t="s">
        <v>3344</v>
      </c>
      <c r="BS12" s="8" t="s">
        <v>1141</v>
      </c>
      <c r="BT12" s="8" t="str">
        <f>HYPERLINK("https%3A%2F%2Fwww.webofscience.com%2Fwos%2Fwoscc%2Ffull-record%2FWOS:000178814700013","View Full Record in Web of Science")</f>
        <v>View Full Record in Web of Science</v>
      </c>
    </row>
    <row r="13" ht="12.75" customHeight="1">
      <c r="A13" s="8" t="s">
        <v>967</v>
      </c>
      <c r="B13" s="8" t="s">
        <v>1613</v>
      </c>
      <c r="C13" s="8" t="s">
        <v>969</v>
      </c>
      <c r="D13" s="8" t="s">
        <v>969</v>
      </c>
      <c r="E13" s="8" t="s">
        <v>969</v>
      </c>
      <c r="F13" s="8" t="s">
        <v>1614</v>
      </c>
      <c r="G13" s="8" t="s">
        <v>969</v>
      </c>
      <c r="H13" s="8" t="s">
        <v>969</v>
      </c>
      <c r="I13" s="8" t="s">
        <v>1615</v>
      </c>
      <c r="J13" s="8" t="s">
        <v>1427</v>
      </c>
      <c r="K13" s="8" t="s">
        <v>969</v>
      </c>
      <c r="L13" s="8" t="s">
        <v>969</v>
      </c>
      <c r="M13" s="8" t="s">
        <v>972</v>
      </c>
      <c r="N13" s="8" t="s">
        <v>973</v>
      </c>
      <c r="O13" s="8" t="s">
        <v>969</v>
      </c>
      <c r="P13" s="8" t="s">
        <v>969</v>
      </c>
      <c r="Q13" s="8" t="s">
        <v>969</v>
      </c>
      <c r="R13" s="8" t="s">
        <v>969</v>
      </c>
      <c r="S13" s="8" t="s">
        <v>969</v>
      </c>
      <c r="T13" s="8" t="s">
        <v>1616</v>
      </c>
      <c r="U13" s="8" t="s">
        <v>1617</v>
      </c>
      <c r="V13" s="8" t="s">
        <v>1618</v>
      </c>
      <c r="W13" s="8" t="s">
        <v>1619</v>
      </c>
      <c r="X13" s="8" t="s">
        <v>1620</v>
      </c>
      <c r="Y13" s="8" t="s">
        <v>1621</v>
      </c>
      <c r="Z13" s="8" t="s">
        <v>1622</v>
      </c>
      <c r="AA13" s="8" t="s">
        <v>2947</v>
      </c>
      <c r="AB13" s="8" t="s">
        <v>2948</v>
      </c>
      <c r="AC13" s="8" t="s">
        <v>969</v>
      </c>
      <c r="AD13" s="8" t="s">
        <v>969</v>
      </c>
      <c r="AE13" s="8" t="s">
        <v>969</v>
      </c>
      <c r="AF13" s="8" t="s">
        <v>969</v>
      </c>
      <c r="AG13" s="8">
        <v>51.0</v>
      </c>
      <c r="AH13" s="8">
        <v>145.0</v>
      </c>
      <c r="AI13" s="8">
        <v>170.0</v>
      </c>
      <c r="AJ13" s="8">
        <v>2.0</v>
      </c>
      <c r="AK13" s="8">
        <v>60.0</v>
      </c>
      <c r="AL13" s="8" t="s">
        <v>1091</v>
      </c>
      <c r="AM13" s="8" t="s">
        <v>1092</v>
      </c>
      <c r="AN13" s="8" t="s">
        <v>1093</v>
      </c>
      <c r="AO13" s="8" t="s">
        <v>1437</v>
      </c>
      <c r="AP13" s="8" t="s">
        <v>1499</v>
      </c>
      <c r="AQ13" s="8" t="s">
        <v>969</v>
      </c>
      <c r="AR13" s="8" t="s">
        <v>1438</v>
      </c>
      <c r="AS13" s="8" t="s">
        <v>1439</v>
      </c>
      <c r="AT13" s="8" t="s">
        <v>1300</v>
      </c>
      <c r="AU13" s="8">
        <v>2006.0</v>
      </c>
      <c r="AV13" s="8">
        <v>12.0</v>
      </c>
      <c r="AW13" s="8">
        <v>5.0</v>
      </c>
      <c r="AX13" s="8" t="s">
        <v>969</v>
      </c>
      <c r="AY13" s="8" t="s">
        <v>969</v>
      </c>
      <c r="AZ13" s="8" t="s">
        <v>969</v>
      </c>
      <c r="BA13" s="8" t="s">
        <v>969</v>
      </c>
      <c r="BB13" s="8">
        <v>555.0</v>
      </c>
      <c r="BC13" s="8">
        <v>562.0</v>
      </c>
      <c r="BD13" s="8" t="s">
        <v>969</v>
      </c>
      <c r="BE13" s="8" t="s">
        <v>743</v>
      </c>
      <c r="BF13" s="13" t="str">
        <f>HYPERLINK("http://dx.doi.org/10.1111/j.1366-9516.2006.00273.x","http://dx.doi.org/10.1111/j.1366-9516.2006.00273.x")</f>
        <v>http://dx.doi.org/10.1111/j.1366-9516.2006.00273.x</v>
      </c>
      <c r="BG13" s="8" t="s">
        <v>969</v>
      </c>
      <c r="BH13" s="8" t="s">
        <v>969</v>
      </c>
      <c r="BI13" s="8">
        <v>8.0</v>
      </c>
      <c r="BJ13" s="8" t="s">
        <v>1286</v>
      </c>
      <c r="BK13" s="8" t="s">
        <v>988</v>
      </c>
      <c r="BL13" s="8" t="s">
        <v>989</v>
      </c>
      <c r="BM13" s="8" t="s">
        <v>1625</v>
      </c>
      <c r="BN13" s="8" t="s">
        <v>969</v>
      </c>
      <c r="BO13" s="8" t="s">
        <v>969</v>
      </c>
      <c r="BP13" s="8" t="s">
        <v>969</v>
      </c>
      <c r="BQ13" s="8" t="s">
        <v>969</v>
      </c>
      <c r="BR13" s="8" t="s">
        <v>3344</v>
      </c>
      <c r="BS13" s="8" t="s">
        <v>1626</v>
      </c>
      <c r="BT13" s="8" t="str">
        <f>HYPERLINK("https%3A%2F%2Fwww.webofscience.com%2Fwos%2Fwoscc%2Ffull-record%2FWOS:000239798200010","View Full Record in Web of Science")</f>
        <v>View Full Record in Web of Science</v>
      </c>
    </row>
    <row r="14" ht="12.75" customHeight="1">
      <c r="A14" s="8" t="s">
        <v>967</v>
      </c>
      <c r="B14" s="8" t="s">
        <v>2788</v>
      </c>
      <c r="C14" s="8" t="s">
        <v>969</v>
      </c>
      <c r="D14" s="8" t="s">
        <v>969</v>
      </c>
      <c r="E14" s="8" t="s">
        <v>969</v>
      </c>
      <c r="F14" s="8" t="s">
        <v>2789</v>
      </c>
      <c r="G14" s="8" t="s">
        <v>969</v>
      </c>
      <c r="H14" s="8" t="s">
        <v>969</v>
      </c>
      <c r="I14" s="8" t="s">
        <v>2790</v>
      </c>
      <c r="J14" s="8" t="s">
        <v>2695</v>
      </c>
      <c r="K14" s="8" t="s">
        <v>969</v>
      </c>
      <c r="L14" s="8" t="s">
        <v>969</v>
      </c>
      <c r="M14" s="8" t="s">
        <v>972</v>
      </c>
      <c r="N14" s="8" t="s">
        <v>973</v>
      </c>
      <c r="O14" s="8" t="s">
        <v>969</v>
      </c>
      <c r="P14" s="8" t="s">
        <v>969</v>
      </c>
      <c r="Q14" s="8" t="s">
        <v>969</v>
      </c>
      <c r="R14" s="8" t="s">
        <v>969</v>
      </c>
      <c r="S14" s="8" t="s">
        <v>969</v>
      </c>
      <c r="T14" s="8" t="s">
        <v>2791</v>
      </c>
      <c r="U14" s="8" t="s">
        <v>2792</v>
      </c>
      <c r="V14" s="8" t="s">
        <v>2793</v>
      </c>
      <c r="W14" s="8" t="s">
        <v>2794</v>
      </c>
      <c r="X14" s="8" t="s">
        <v>2795</v>
      </c>
      <c r="Y14" s="8" t="s">
        <v>2796</v>
      </c>
      <c r="Z14" s="8" t="s">
        <v>2797</v>
      </c>
      <c r="AA14" s="8" t="s">
        <v>3284</v>
      </c>
      <c r="AB14" s="8" t="s">
        <v>3285</v>
      </c>
      <c r="AC14" s="8" t="s">
        <v>2800</v>
      </c>
      <c r="AD14" s="8" t="s">
        <v>2801</v>
      </c>
      <c r="AE14" s="8" t="s">
        <v>2802</v>
      </c>
      <c r="AF14" s="8" t="s">
        <v>969</v>
      </c>
      <c r="AG14" s="8">
        <v>69.0</v>
      </c>
      <c r="AH14" s="8">
        <v>28.0</v>
      </c>
      <c r="AI14" s="8">
        <v>31.0</v>
      </c>
      <c r="AJ14" s="8">
        <v>2.0</v>
      </c>
      <c r="AK14" s="8">
        <v>120.0</v>
      </c>
      <c r="AL14" s="8" t="s">
        <v>2705</v>
      </c>
      <c r="AM14" s="8" t="s">
        <v>2706</v>
      </c>
      <c r="AN14" s="8" t="s">
        <v>2707</v>
      </c>
      <c r="AO14" s="8" t="s">
        <v>2708</v>
      </c>
      <c r="AP14" s="8" t="s">
        <v>2709</v>
      </c>
      <c r="AQ14" s="8" t="s">
        <v>969</v>
      </c>
      <c r="AR14" s="8" t="s">
        <v>2710</v>
      </c>
      <c r="AS14" s="8" t="s">
        <v>2711</v>
      </c>
      <c r="AT14" s="8" t="s">
        <v>986</v>
      </c>
      <c r="AU14" s="8">
        <v>2013.0</v>
      </c>
      <c r="AV14" s="8">
        <v>13.0</v>
      </c>
      <c r="AW14" s="8">
        <v>6.0</v>
      </c>
      <c r="AX14" s="8" t="s">
        <v>969</v>
      </c>
      <c r="AY14" s="8" t="s">
        <v>969</v>
      </c>
      <c r="AZ14" s="8" t="s">
        <v>969</v>
      </c>
      <c r="BA14" s="8" t="s">
        <v>969</v>
      </c>
      <c r="BB14" s="8">
        <v>1245.0</v>
      </c>
      <c r="BC14" s="8">
        <v>1257.0</v>
      </c>
      <c r="BD14" s="8" t="s">
        <v>969</v>
      </c>
      <c r="BE14" s="8" t="s">
        <v>518</v>
      </c>
      <c r="BF14" s="13" t="str">
        <f>HYPERLINK("http://dx.doi.org/10.1007/s10113-013-0425-7","http://dx.doi.org/10.1007/s10113-013-0425-7")</f>
        <v>http://dx.doi.org/10.1007/s10113-013-0425-7</v>
      </c>
      <c r="BG14" s="8" t="s">
        <v>969</v>
      </c>
      <c r="BH14" s="8" t="s">
        <v>969</v>
      </c>
      <c r="BI14" s="8">
        <v>13.0</v>
      </c>
      <c r="BJ14" s="8" t="s">
        <v>2712</v>
      </c>
      <c r="BK14" s="8" t="s">
        <v>1519</v>
      </c>
      <c r="BL14" s="8" t="s">
        <v>1268</v>
      </c>
      <c r="BM14" s="8" t="s">
        <v>2803</v>
      </c>
      <c r="BN14" s="8" t="s">
        <v>969</v>
      </c>
      <c r="BO14" s="8" t="s">
        <v>969</v>
      </c>
      <c r="BP14" s="8" t="s">
        <v>969</v>
      </c>
      <c r="BQ14" s="8" t="s">
        <v>969</v>
      </c>
      <c r="BR14" s="8" t="s">
        <v>3344</v>
      </c>
      <c r="BS14" s="8" t="s">
        <v>2804</v>
      </c>
      <c r="BT14" s="8" t="str">
        <f>HYPERLINK("https%3A%2F%2Fwww.webofscience.com%2Fwos%2Fwoscc%2Ffull-record%2FWOS:000327501900010","View Full Record in Web of Science")</f>
        <v>View Full Record in Web of Science</v>
      </c>
    </row>
    <row r="15" ht="12.75" customHeight="1">
      <c r="A15" s="8" t="s">
        <v>967</v>
      </c>
      <c r="B15" s="8" t="s">
        <v>1167</v>
      </c>
      <c r="C15" s="8" t="s">
        <v>969</v>
      </c>
      <c r="D15" s="8" t="s">
        <v>969</v>
      </c>
      <c r="E15" s="8" t="s">
        <v>969</v>
      </c>
      <c r="F15" s="8" t="s">
        <v>1167</v>
      </c>
      <c r="G15" s="8" t="s">
        <v>969</v>
      </c>
      <c r="H15" s="8" t="s">
        <v>969</v>
      </c>
      <c r="I15" s="8" t="s">
        <v>1168</v>
      </c>
      <c r="J15" s="8" t="s">
        <v>971</v>
      </c>
      <c r="K15" s="8" t="s">
        <v>969</v>
      </c>
      <c r="L15" s="8" t="s">
        <v>969</v>
      </c>
      <c r="M15" s="8" t="s">
        <v>972</v>
      </c>
      <c r="N15" s="8" t="s">
        <v>973</v>
      </c>
      <c r="O15" s="8" t="s">
        <v>969</v>
      </c>
      <c r="P15" s="8" t="s">
        <v>969</v>
      </c>
      <c r="Q15" s="8" t="s">
        <v>969</v>
      </c>
      <c r="R15" s="8" t="s">
        <v>969</v>
      </c>
      <c r="S15" s="8" t="s">
        <v>969</v>
      </c>
      <c r="T15" s="8" t="s">
        <v>1169</v>
      </c>
      <c r="U15" s="8" t="s">
        <v>1170</v>
      </c>
      <c r="V15" s="8" t="s">
        <v>1171</v>
      </c>
      <c r="W15" s="8" t="s">
        <v>1172</v>
      </c>
      <c r="X15" s="8" t="s">
        <v>1173</v>
      </c>
      <c r="Y15" s="8" t="s">
        <v>1067</v>
      </c>
      <c r="Z15" s="8" t="s">
        <v>1174</v>
      </c>
      <c r="AA15" s="8" t="s">
        <v>3305</v>
      </c>
      <c r="AB15" s="8" t="s">
        <v>3306</v>
      </c>
      <c r="AC15" s="8" t="s">
        <v>969</v>
      </c>
      <c r="AD15" s="8" t="s">
        <v>969</v>
      </c>
      <c r="AE15" s="8" t="s">
        <v>969</v>
      </c>
      <c r="AF15" s="8" t="s">
        <v>969</v>
      </c>
      <c r="AG15" s="8">
        <v>44.0</v>
      </c>
      <c r="AH15" s="8">
        <v>132.0</v>
      </c>
      <c r="AI15" s="8">
        <v>165.0</v>
      </c>
      <c r="AJ15" s="8">
        <v>0.0</v>
      </c>
      <c r="AK15" s="8">
        <v>93.0</v>
      </c>
      <c r="AL15" s="8" t="s">
        <v>1091</v>
      </c>
      <c r="AM15" s="8" t="s">
        <v>1092</v>
      </c>
      <c r="AN15" s="8" t="s">
        <v>1093</v>
      </c>
      <c r="AO15" s="8" t="s">
        <v>983</v>
      </c>
      <c r="AP15" s="8" t="s">
        <v>1094</v>
      </c>
      <c r="AQ15" s="8" t="s">
        <v>969</v>
      </c>
      <c r="AR15" s="8" t="s">
        <v>1095</v>
      </c>
      <c r="AS15" s="8" t="s">
        <v>985</v>
      </c>
      <c r="AT15" s="8" t="s">
        <v>1177</v>
      </c>
      <c r="AU15" s="8">
        <v>2003.0</v>
      </c>
      <c r="AV15" s="8">
        <v>9.0</v>
      </c>
      <c r="AW15" s="8">
        <v>5.0</v>
      </c>
      <c r="AX15" s="8" t="s">
        <v>969</v>
      </c>
      <c r="AY15" s="8" t="s">
        <v>969</v>
      </c>
      <c r="AZ15" s="8" t="s">
        <v>969</v>
      </c>
      <c r="BA15" s="8" t="s">
        <v>969</v>
      </c>
      <c r="BB15" s="8">
        <v>647.0</v>
      </c>
      <c r="BC15" s="8">
        <v>655.0</v>
      </c>
      <c r="BD15" s="8" t="s">
        <v>969</v>
      </c>
      <c r="BE15" s="8" t="s">
        <v>614</v>
      </c>
      <c r="BF15" s="13" t="str">
        <f>HYPERLINK("http://dx.doi.org/10.1046/j.1365-2486.2003.00616.x","http://dx.doi.org/10.1046/j.1365-2486.2003.00616.x")</f>
        <v>http://dx.doi.org/10.1046/j.1365-2486.2003.00616.x</v>
      </c>
      <c r="BG15" s="8" t="s">
        <v>969</v>
      </c>
      <c r="BH15" s="8" t="s">
        <v>969</v>
      </c>
      <c r="BI15" s="8">
        <v>9.0</v>
      </c>
      <c r="BJ15" s="8" t="s">
        <v>987</v>
      </c>
      <c r="BK15" s="8" t="s">
        <v>988</v>
      </c>
      <c r="BL15" s="8" t="s">
        <v>989</v>
      </c>
      <c r="BM15" s="8" t="s">
        <v>1178</v>
      </c>
      <c r="BN15" s="8" t="s">
        <v>969</v>
      </c>
      <c r="BO15" s="8" t="s">
        <v>969</v>
      </c>
      <c r="BP15" s="8" t="s">
        <v>969</v>
      </c>
      <c r="BQ15" s="8" t="s">
        <v>969</v>
      </c>
      <c r="BR15" s="8" t="s">
        <v>3344</v>
      </c>
      <c r="BS15" s="8" t="s">
        <v>1179</v>
      </c>
      <c r="BT15" s="8" t="str">
        <f>HYPERLINK("https%3A%2F%2Fwww.webofscience.com%2Fwos%2Fwoscc%2Ffull-record%2FWOS:000182653700001","View Full Record in Web of Science")</f>
        <v>View Full Record in Web of Science</v>
      </c>
    </row>
    <row r="16" ht="12.75" customHeight="1">
      <c r="A16" s="8" t="s">
        <v>967</v>
      </c>
      <c r="B16" s="8" t="s">
        <v>1100</v>
      </c>
      <c r="C16" s="8" t="s">
        <v>969</v>
      </c>
      <c r="D16" s="8" t="s">
        <v>969</v>
      </c>
      <c r="E16" s="8" t="s">
        <v>969</v>
      </c>
      <c r="F16" s="8" t="s">
        <v>1100</v>
      </c>
      <c r="G16" s="8" t="s">
        <v>969</v>
      </c>
      <c r="H16" s="8" t="s">
        <v>969</v>
      </c>
      <c r="I16" s="8" t="s">
        <v>1101</v>
      </c>
      <c r="J16" s="8" t="s">
        <v>971</v>
      </c>
      <c r="K16" s="8" t="s">
        <v>969</v>
      </c>
      <c r="L16" s="8" t="s">
        <v>969</v>
      </c>
      <c r="M16" s="8" t="s">
        <v>972</v>
      </c>
      <c r="N16" s="8" t="s">
        <v>973</v>
      </c>
      <c r="O16" s="8" t="s">
        <v>969</v>
      </c>
      <c r="P16" s="8" t="s">
        <v>969</v>
      </c>
      <c r="Q16" s="8" t="s">
        <v>969</v>
      </c>
      <c r="R16" s="8" t="s">
        <v>969</v>
      </c>
      <c r="S16" s="8" t="s">
        <v>969</v>
      </c>
      <c r="T16" s="8" t="s">
        <v>1102</v>
      </c>
      <c r="U16" s="8" t="s">
        <v>1103</v>
      </c>
      <c r="V16" s="8" t="s">
        <v>1104</v>
      </c>
      <c r="W16" s="8" t="s">
        <v>1105</v>
      </c>
      <c r="X16" s="8" t="s">
        <v>1106</v>
      </c>
      <c r="Y16" s="8" t="s">
        <v>1107</v>
      </c>
      <c r="Z16" s="8" t="s">
        <v>969</v>
      </c>
      <c r="AA16" s="8" t="s">
        <v>1420</v>
      </c>
      <c r="AB16" s="8" t="s">
        <v>1421</v>
      </c>
      <c r="AC16" s="8" t="s">
        <v>969</v>
      </c>
      <c r="AD16" s="8" t="s">
        <v>969</v>
      </c>
      <c r="AE16" s="8" t="s">
        <v>969</v>
      </c>
      <c r="AF16" s="8" t="s">
        <v>969</v>
      </c>
      <c r="AG16" s="8">
        <v>61.0</v>
      </c>
      <c r="AH16" s="8">
        <v>115.0</v>
      </c>
      <c r="AI16" s="8">
        <v>147.0</v>
      </c>
      <c r="AJ16" s="8">
        <v>1.0</v>
      </c>
      <c r="AK16" s="8">
        <v>93.0</v>
      </c>
      <c r="AL16" s="8" t="s">
        <v>1110</v>
      </c>
      <c r="AM16" s="8" t="s">
        <v>981</v>
      </c>
      <c r="AN16" s="8" t="s">
        <v>1111</v>
      </c>
      <c r="AO16" s="8" t="s">
        <v>983</v>
      </c>
      <c r="AP16" s="8" t="s">
        <v>969</v>
      </c>
      <c r="AQ16" s="8" t="s">
        <v>969</v>
      </c>
      <c r="AR16" s="8" t="s">
        <v>1095</v>
      </c>
      <c r="AS16" s="8" t="s">
        <v>985</v>
      </c>
      <c r="AT16" s="8" t="s">
        <v>1112</v>
      </c>
      <c r="AU16" s="8">
        <v>2002.0</v>
      </c>
      <c r="AV16" s="8">
        <v>8.0</v>
      </c>
      <c r="AW16" s="8">
        <v>10.0</v>
      </c>
      <c r="AX16" s="8" t="s">
        <v>969</v>
      </c>
      <c r="AY16" s="8" t="s">
        <v>969</v>
      </c>
      <c r="AZ16" s="8" t="s">
        <v>969</v>
      </c>
      <c r="BA16" s="8" t="s">
        <v>969</v>
      </c>
      <c r="BB16" s="8">
        <v>954.0</v>
      </c>
      <c r="BC16" s="8">
        <v>971.0</v>
      </c>
      <c r="BD16" s="8" t="s">
        <v>969</v>
      </c>
      <c r="BE16" s="8" t="s">
        <v>608</v>
      </c>
      <c r="BF16" s="13" t="str">
        <f>HYPERLINK("http://dx.doi.org/10.1046/j.1365-2486.2002.00490.x","http://dx.doi.org/10.1046/j.1365-2486.2002.00490.x")</f>
        <v>http://dx.doi.org/10.1046/j.1365-2486.2002.00490.x</v>
      </c>
      <c r="BG16" s="8" t="s">
        <v>969</v>
      </c>
      <c r="BH16" s="8" t="s">
        <v>969</v>
      </c>
      <c r="BI16" s="8">
        <v>18.0</v>
      </c>
      <c r="BJ16" s="8" t="s">
        <v>987</v>
      </c>
      <c r="BK16" s="8" t="s">
        <v>988</v>
      </c>
      <c r="BL16" s="8" t="s">
        <v>989</v>
      </c>
      <c r="BM16" s="8" t="s">
        <v>1113</v>
      </c>
      <c r="BN16" s="8" t="s">
        <v>969</v>
      </c>
      <c r="BO16" s="8" t="s">
        <v>969</v>
      </c>
      <c r="BP16" s="8" t="s">
        <v>969</v>
      </c>
      <c r="BQ16" s="8" t="s">
        <v>969</v>
      </c>
      <c r="BR16" s="8" t="s">
        <v>3344</v>
      </c>
      <c r="BS16" s="8" t="s">
        <v>1114</v>
      </c>
      <c r="BT16" s="8" t="str">
        <f>HYPERLINK("https%3A%2F%2Fwww.webofscience.com%2Fwos%2Fwoscc%2Ffull-record%2FWOS:000177853000003","View Full Record in Web of Science")</f>
        <v>View Full Record in Web of Science</v>
      </c>
    </row>
    <row r="17" ht="12.75" customHeight="1">
      <c r="A17" s="8" t="s">
        <v>967</v>
      </c>
      <c r="B17" s="8" t="s">
        <v>2805</v>
      </c>
      <c r="C17" s="8" t="s">
        <v>969</v>
      </c>
      <c r="D17" s="8" t="s">
        <v>969</v>
      </c>
      <c r="E17" s="8" t="s">
        <v>969</v>
      </c>
      <c r="F17" s="8" t="s">
        <v>2806</v>
      </c>
      <c r="G17" s="8" t="s">
        <v>969</v>
      </c>
      <c r="H17" s="8" t="s">
        <v>969</v>
      </c>
      <c r="I17" s="8" t="s">
        <v>2807</v>
      </c>
      <c r="J17" s="8" t="s">
        <v>1000</v>
      </c>
      <c r="K17" s="8" t="s">
        <v>969</v>
      </c>
      <c r="L17" s="8" t="s">
        <v>969</v>
      </c>
      <c r="M17" s="8" t="s">
        <v>972</v>
      </c>
      <c r="N17" s="8" t="s">
        <v>973</v>
      </c>
      <c r="O17" s="8" t="s">
        <v>969</v>
      </c>
      <c r="P17" s="8" t="s">
        <v>969</v>
      </c>
      <c r="Q17" s="8" t="s">
        <v>969</v>
      </c>
      <c r="R17" s="8" t="s">
        <v>969</v>
      </c>
      <c r="S17" s="8" t="s">
        <v>969</v>
      </c>
      <c r="T17" s="8" t="s">
        <v>2808</v>
      </c>
      <c r="U17" s="8" t="s">
        <v>2809</v>
      </c>
      <c r="V17" s="8" t="s">
        <v>2810</v>
      </c>
      <c r="W17" s="8" t="s">
        <v>2811</v>
      </c>
      <c r="X17" s="8" t="s">
        <v>2812</v>
      </c>
      <c r="Y17" s="8" t="s">
        <v>2813</v>
      </c>
      <c r="Z17" s="8" t="s">
        <v>2814</v>
      </c>
      <c r="AA17" s="8" t="s">
        <v>2815</v>
      </c>
      <c r="AB17" s="8" t="s">
        <v>2816</v>
      </c>
      <c r="AC17" s="8" t="s">
        <v>3294</v>
      </c>
      <c r="AD17" s="8" t="s">
        <v>3295</v>
      </c>
      <c r="AE17" s="8" t="s">
        <v>2819</v>
      </c>
      <c r="AF17" s="8" t="s">
        <v>969</v>
      </c>
      <c r="AG17" s="8">
        <v>87.0</v>
      </c>
      <c r="AH17" s="8">
        <v>37.0</v>
      </c>
      <c r="AI17" s="8">
        <v>40.0</v>
      </c>
      <c r="AJ17" s="8">
        <v>2.0</v>
      </c>
      <c r="AK17" s="8">
        <v>83.0</v>
      </c>
      <c r="AL17" s="8" t="s">
        <v>1091</v>
      </c>
      <c r="AM17" s="8" t="s">
        <v>1092</v>
      </c>
      <c r="AN17" s="8" t="s">
        <v>1093</v>
      </c>
      <c r="AO17" s="8" t="s">
        <v>1013</v>
      </c>
      <c r="AP17" s="8" t="s">
        <v>2602</v>
      </c>
      <c r="AQ17" s="8" t="s">
        <v>969</v>
      </c>
      <c r="AR17" s="8" t="s">
        <v>1014</v>
      </c>
      <c r="AS17" s="8" t="s">
        <v>1015</v>
      </c>
      <c r="AT17" s="8" t="s">
        <v>1096</v>
      </c>
      <c r="AU17" s="8">
        <v>2014.0</v>
      </c>
      <c r="AV17" s="8">
        <v>41.0</v>
      </c>
      <c r="AW17" s="8">
        <v>7.0</v>
      </c>
      <c r="AX17" s="8" t="s">
        <v>969</v>
      </c>
      <c r="AY17" s="8" t="s">
        <v>969</v>
      </c>
      <c r="AZ17" s="8" t="s">
        <v>969</v>
      </c>
      <c r="BA17" s="8" t="s">
        <v>969</v>
      </c>
      <c r="BB17" s="8">
        <v>1352.0</v>
      </c>
      <c r="BC17" s="8">
        <v>1366.0</v>
      </c>
      <c r="BD17" s="8" t="s">
        <v>969</v>
      </c>
      <c r="BE17" s="8" t="s">
        <v>794</v>
      </c>
      <c r="BF17" s="13" t="str">
        <f>HYPERLINK("http://dx.doi.org/10.1111/jbi.12289","http://dx.doi.org/10.1111/jbi.12289")</f>
        <v>http://dx.doi.org/10.1111/jbi.12289</v>
      </c>
      <c r="BG17" s="8" t="s">
        <v>969</v>
      </c>
      <c r="BH17" s="8" t="s">
        <v>969</v>
      </c>
      <c r="BI17" s="8">
        <v>15.0</v>
      </c>
      <c r="BJ17" s="8" t="s">
        <v>1017</v>
      </c>
      <c r="BK17" s="8" t="s">
        <v>988</v>
      </c>
      <c r="BL17" s="8" t="s">
        <v>1018</v>
      </c>
      <c r="BM17" s="8" t="s">
        <v>2820</v>
      </c>
      <c r="BN17" s="8" t="s">
        <v>969</v>
      </c>
      <c r="BO17" s="8" t="s">
        <v>969</v>
      </c>
      <c r="BP17" s="8" t="s">
        <v>969</v>
      </c>
      <c r="BQ17" s="8" t="s">
        <v>969</v>
      </c>
      <c r="BR17" s="8" t="s">
        <v>3344</v>
      </c>
      <c r="BS17" s="8" t="s">
        <v>2821</v>
      </c>
      <c r="BT17" s="8" t="str">
        <f>HYPERLINK("https%3A%2F%2Fwww.webofscience.com%2Fwos%2Fwoscc%2Ffull-record%2FWOS:000337615500011","View Full Record in Web of Science")</f>
        <v>View Full Record in Web of Science</v>
      </c>
    </row>
    <row r="18" ht="12.75" customHeight="1">
      <c r="A18" s="8" t="s">
        <v>967</v>
      </c>
      <c r="B18" s="8" t="s">
        <v>1926</v>
      </c>
      <c r="C18" s="8" t="s">
        <v>969</v>
      </c>
      <c r="D18" s="8" t="s">
        <v>969</v>
      </c>
      <c r="E18" s="8" t="s">
        <v>969</v>
      </c>
      <c r="F18" s="8" t="s">
        <v>1927</v>
      </c>
      <c r="G18" s="8" t="s">
        <v>969</v>
      </c>
      <c r="H18" s="8" t="s">
        <v>969</v>
      </c>
      <c r="I18" s="8" t="s">
        <v>1928</v>
      </c>
      <c r="J18" s="8" t="s">
        <v>1929</v>
      </c>
      <c r="K18" s="8" t="s">
        <v>969</v>
      </c>
      <c r="L18" s="8" t="s">
        <v>969</v>
      </c>
      <c r="M18" s="8" t="s">
        <v>972</v>
      </c>
      <c r="N18" s="8" t="s">
        <v>973</v>
      </c>
      <c r="O18" s="8" t="s">
        <v>969</v>
      </c>
      <c r="P18" s="8" t="s">
        <v>969</v>
      </c>
      <c r="Q18" s="8" t="s">
        <v>969</v>
      </c>
      <c r="R18" s="8" t="s">
        <v>969</v>
      </c>
      <c r="S18" s="8" t="s">
        <v>969</v>
      </c>
      <c r="T18" s="8" t="s">
        <v>1930</v>
      </c>
      <c r="U18" s="8" t="s">
        <v>1931</v>
      </c>
      <c r="V18" s="8" t="s">
        <v>1932</v>
      </c>
      <c r="W18" s="8" t="s">
        <v>1933</v>
      </c>
      <c r="X18" s="8" t="s">
        <v>3064</v>
      </c>
      <c r="Y18" s="8" t="s">
        <v>1935</v>
      </c>
      <c r="Z18" s="8" t="s">
        <v>1936</v>
      </c>
      <c r="AA18" s="8" t="s">
        <v>3327</v>
      </c>
      <c r="AB18" s="8" t="s">
        <v>3328</v>
      </c>
      <c r="AC18" s="8" t="s">
        <v>1939</v>
      </c>
      <c r="AD18" s="8" t="s">
        <v>1940</v>
      </c>
      <c r="AE18" s="8" t="s">
        <v>1941</v>
      </c>
      <c r="AF18" s="8" t="s">
        <v>969</v>
      </c>
      <c r="AG18" s="8">
        <v>20.0</v>
      </c>
      <c r="AH18" s="8">
        <v>129.0</v>
      </c>
      <c r="AI18" s="8">
        <v>162.0</v>
      </c>
      <c r="AJ18" s="8">
        <v>4.0</v>
      </c>
      <c r="AK18" s="8">
        <v>126.0</v>
      </c>
      <c r="AL18" s="8" t="s">
        <v>1130</v>
      </c>
      <c r="AM18" s="8" t="s">
        <v>1071</v>
      </c>
      <c r="AN18" s="8" t="s">
        <v>1131</v>
      </c>
      <c r="AO18" s="8" t="s">
        <v>1942</v>
      </c>
      <c r="AP18" s="8" t="s">
        <v>969</v>
      </c>
      <c r="AQ18" s="8" t="s">
        <v>969</v>
      </c>
      <c r="AR18" s="8" t="s">
        <v>1943</v>
      </c>
      <c r="AS18" s="8" t="s">
        <v>1944</v>
      </c>
      <c r="AT18" s="8" t="s">
        <v>1945</v>
      </c>
      <c r="AU18" s="8">
        <v>2008.0</v>
      </c>
      <c r="AV18" s="8">
        <v>4.0</v>
      </c>
      <c r="AW18" s="8">
        <v>5.0</v>
      </c>
      <c r="AX18" s="8" t="s">
        <v>969</v>
      </c>
      <c r="AY18" s="8" t="s">
        <v>969</v>
      </c>
      <c r="AZ18" s="8" t="s">
        <v>969</v>
      </c>
      <c r="BA18" s="8" t="s">
        <v>969</v>
      </c>
      <c r="BB18" s="8">
        <v>564.0</v>
      </c>
      <c r="BC18" s="8">
        <v>567.0</v>
      </c>
      <c r="BD18" s="8" t="s">
        <v>969</v>
      </c>
      <c r="BE18" s="8" t="s">
        <v>653</v>
      </c>
      <c r="BF18" s="13" t="str">
        <f>HYPERLINK("http://dx.doi.org/10.1098/rsbl.2008.0231","http://dx.doi.org/10.1098/rsbl.2008.0231")</f>
        <v>http://dx.doi.org/10.1098/rsbl.2008.0231</v>
      </c>
      <c r="BG18" s="8" t="s">
        <v>969</v>
      </c>
      <c r="BH18" s="8" t="s">
        <v>969</v>
      </c>
      <c r="BI18" s="8">
        <v>4.0</v>
      </c>
      <c r="BJ18" s="8" t="s">
        <v>1137</v>
      </c>
      <c r="BK18" s="8" t="s">
        <v>988</v>
      </c>
      <c r="BL18" s="8" t="s">
        <v>1138</v>
      </c>
      <c r="BM18" s="8" t="s">
        <v>1946</v>
      </c>
      <c r="BN18" s="8">
        <v>1.8664416E7</v>
      </c>
      <c r="BO18" s="8" t="s">
        <v>1227</v>
      </c>
      <c r="BP18" s="8" t="s">
        <v>969</v>
      </c>
      <c r="BQ18" s="8" t="s">
        <v>969</v>
      </c>
      <c r="BR18" s="8" t="s">
        <v>3344</v>
      </c>
      <c r="BS18" s="8" t="s">
        <v>1947</v>
      </c>
      <c r="BT18" s="8" t="str">
        <f>HYPERLINK("https%3A%2F%2Fwww.webofscience.com%2Fwos%2Fwoscc%2Ffull-record%2FWOS:000259085900035","View Full Record in Web of Science")</f>
        <v>View Full Record in Web of Science</v>
      </c>
    </row>
    <row r="19" ht="12.75" customHeight="1">
      <c r="A19" s="8" t="s">
        <v>967</v>
      </c>
      <c r="B19" s="8" t="s">
        <v>2037</v>
      </c>
      <c r="C19" s="8" t="s">
        <v>969</v>
      </c>
      <c r="D19" s="8" t="s">
        <v>969</v>
      </c>
      <c r="E19" s="8" t="s">
        <v>969</v>
      </c>
      <c r="F19" s="8" t="s">
        <v>2038</v>
      </c>
      <c r="G19" s="8" t="s">
        <v>969</v>
      </c>
      <c r="H19" s="8" t="s">
        <v>969</v>
      </c>
      <c r="I19" s="8" t="s">
        <v>2039</v>
      </c>
      <c r="J19" s="8" t="s">
        <v>1974</v>
      </c>
      <c r="K19" s="8" t="s">
        <v>969</v>
      </c>
      <c r="L19" s="8" t="s">
        <v>969</v>
      </c>
      <c r="M19" s="8" t="s">
        <v>972</v>
      </c>
      <c r="N19" s="8" t="s">
        <v>973</v>
      </c>
      <c r="O19" s="8" t="s">
        <v>969</v>
      </c>
      <c r="P19" s="8" t="s">
        <v>969</v>
      </c>
      <c r="Q19" s="8" t="s">
        <v>969</v>
      </c>
      <c r="R19" s="8" t="s">
        <v>969</v>
      </c>
      <c r="S19" s="8" t="s">
        <v>969</v>
      </c>
      <c r="T19" s="8" t="s">
        <v>969</v>
      </c>
      <c r="U19" s="8" t="s">
        <v>2040</v>
      </c>
      <c r="V19" s="8" t="s">
        <v>2041</v>
      </c>
      <c r="W19" s="8" t="s">
        <v>2042</v>
      </c>
      <c r="X19" s="8" t="s">
        <v>2043</v>
      </c>
      <c r="Y19" s="8" t="s">
        <v>2044</v>
      </c>
      <c r="Z19" s="8" t="s">
        <v>2045</v>
      </c>
      <c r="AA19" s="8" t="s">
        <v>3164</v>
      </c>
      <c r="AB19" s="8" t="s">
        <v>3165</v>
      </c>
      <c r="AC19" s="8" t="s">
        <v>969</v>
      </c>
      <c r="AD19" s="8" t="s">
        <v>969</v>
      </c>
      <c r="AE19" s="8" t="s">
        <v>969</v>
      </c>
      <c r="AF19" s="8" t="s">
        <v>969</v>
      </c>
      <c r="AG19" s="8">
        <v>65.0</v>
      </c>
      <c r="AH19" s="8">
        <v>343.0</v>
      </c>
      <c r="AI19" s="8">
        <v>448.0</v>
      </c>
      <c r="AJ19" s="8">
        <v>0.0</v>
      </c>
      <c r="AK19" s="8">
        <v>122.0</v>
      </c>
      <c r="AL19" s="8" t="s">
        <v>1985</v>
      </c>
      <c r="AM19" s="8" t="s">
        <v>1986</v>
      </c>
      <c r="AN19" s="8" t="s">
        <v>1987</v>
      </c>
      <c r="AO19" s="8" t="s">
        <v>1988</v>
      </c>
      <c r="AP19" s="8" t="s">
        <v>969</v>
      </c>
      <c r="AQ19" s="8" t="s">
        <v>969</v>
      </c>
      <c r="AR19" s="8" t="s">
        <v>1974</v>
      </c>
      <c r="AS19" s="8" t="s">
        <v>1989</v>
      </c>
      <c r="AT19" s="8" t="s">
        <v>2048</v>
      </c>
      <c r="AU19" s="8">
        <v>2008.0</v>
      </c>
      <c r="AV19" s="8">
        <v>3.0</v>
      </c>
      <c r="AW19" s="8">
        <v>6.0</v>
      </c>
      <c r="AX19" s="8" t="s">
        <v>969</v>
      </c>
      <c r="AY19" s="8" t="s">
        <v>969</v>
      </c>
      <c r="AZ19" s="8" t="s">
        <v>969</v>
      </c>
      <c r="BA19" s="8" t="s">
        <v>969</v>
      </c>
      <c r="BB19" s="8" t="s">
        <v>969</v>
      </c>
      <c r="BC19" s="8" t="s">
        <v>969</v>
      </c>
      <c r="BD19" s="8" t="s">
        <v>2049</v>
      </c>
      <c r="BE19" s="8" t="s">
        <v>812</v>
      </c>
      <c r="BF19" s="13" t="str">
        <f>HYPERLINK("http://dx.doi.org/10.1371/journal.pone.0002502","http://dx.doi.org/10.1371/journal.pone.0002502")</f>
        <v>http://dx.doi.org/10.1371/journal.pone.0002502</v>
      </c>
      <c r="BG19" s="8" t="s">
        <v>969</v>
      </c>
      <c r="BH19" s="8" t="s">
        <v>969</v>
      </c>
      <c r="BI19" s="8">
        <v>10.0</v>
      </c>
      <c r="BJ19" s="8" t="s">
        <v>1076</v>
      </c>
      <c r="BK19" s="8" t="s">
        <v>988</v>
      </c>
      <c r="BL19" s="8" t="s">
        <v>1077</v>
      </c>
      <c r="BM19" s="8" t="s">
        <v>2050</v>
      </c>
      <c r="BN19" s="8">
        <v>1.8648541E7</v>
      </c>
      <c r="BO19" s="8" t="s">
        <v>1140</v>
      </c>
      <c r="BP19" s="8" t="s">
        <v>969</v>
      </c>
      <c r="BQ19" s="8" t="s">
        <v>969</v>
      </c>
      <c r="BR19" s="8" t="s">
        <v>3344</v>
      </c>
      <c r="BS19" s="8" t="s">
        <v>2051</v>
      </c>
      <c r="BT19" s="8" t="str">
        <f>HYPERLINK("https%3A%2F%2Fwww.webofscience.com%2Fwos%2Fwoscc%2Ffull-record%2FWOS:000263288000024","View Full Record in Web of Science")</f>
        <v>View Full Record in Web of Science</v>
      </c>
    </row>
    <row r="20" ht="12.75" customHeight="1">
      <c r="A20" s="8" t="s">
        <v>967</v>
      </c>
      <c r="B20" s="8" t="s">
        <v>1865</v>
      </c>
      <c r="C20" s="8" t="s">
        <v>969</v>
      </c>
      <c r="D20" s="8" t="s">
        <v>969</v>
      </c>
      <c r="E20" s="8" t="s">
        <v>969</v>
      </c>
      <c r="F20" s="8" t="s">
        <v>1866</v>
      </c>
      <c r="G20" s="8" t="s">
        <v>969</v>
      </c>
      <c r="H20" s="8" t="s">
        <v>969</v>
      </c>
      <c r="I20" s="8" t="s">
        <v>1867</v>
      </c>
      <c r="J20" s="8" t="s">
        <v>971</v>
      </c>
      <c r="K20" s="8" t="s">
        <v>969</v>
      </c>
      <c r="L20" s="8" t="s">
        <v>969</v>
      </c>
      <c r="M20" s="8" t="s">
        <v>972</v>
      </c>
      <c r="N20" s="8" t="s">
        <v>973</v>
      </c>
      <c r="O20" s="8" t="s">
        <v>969</v>
      </c>
      <c r="P20" s="8" t="s">
        <v>969</v>
      </c>
      <c r="Q20" s="8" t="s">
        <v>969</v>
      </c>
      <c r="R20" s="8" t="s">
        <v>969</v>
      </c>
      <c r="S20" s="8" t="s">
        <v>969</v>
      </c>
      <c r="T20" s="8" t="s">
        <v>1868</v>
      </c>
      <c r="U20" s="8" t="s">
        <v>1869</v>
      </c>
      <c r="V20" s="8" t="s">
        <v>1870</v>
      </c>
      <c r="W20" s="8" t="s">
        <v>1871</v>
      </c>
      <c r="X20" s="8" t="s">
        <v>1872</v>
      </c>
      <c r="Y20" s="8" t="s">
        <v>1873</v>
      </c>
      <c r="Z20" s="8" t="s">
        <v>1874</v>
      </c>
      <c r="AA20" s="8" t="s">
        <v>3353</v>
      </c>
      <c r="AB20" s="8" t="s">
        <v>1876</v>
      </c>
      <c r="AC20" s="8" t="s">
        <v>969</v>
      </c>
      <c r="AD20" s="8" t="s">
        <v>969</v>
      </c>
      <c r="AE20" s="8" t="s">
        <v>969</v>
      </c>
      <c r="AF20" s="8" t="s">
        <v>969</v>
      </c>
      <c r="AG20" s="8">
        <v>72.0</v>
      </c>
      <c r="AH20" s="8">
        <v>207.0</v>
      </c>
      <c r="AI20" s="8">
        <v>255.0</v>
      </c>
      <c r="AJ20" s="8">
        <v>6.0</v>
      </c>
      <c r="AK20" s="8">
        <v>146.0</v>
      </c>
      <c r="AL20" s="8" t="s">
        <v>1091</v>
      </c>
      <c r="AM20" s="8" t="s">
        <v>1092</v>
      </c>
      <c r="AN20" s="8" t="s">
        <v>1093</v>
      </c>
      <c r="AO20" s="8" t="s">
        <v>983</v>
      </c>
      <c r="AP20" s="8" t="s">
        <v>1094</v>
      </c>
      <c r="AQ20" s="8" t="s">
        <v>969</v>
      </c>
      <c r="AR20" s="8" t="s">
        <v>1095</v>
      </c>
      <c r="AS20" s="8" t="s">
        <v>985</v>
      </c>
      <c r="AT20" s="8" t="s">
        <v>1285</v>
      </c>
      <c r="AU20" s="8">
        <v>2008.0</v>
      </c>
      <c r="AV20" s="8">
        <v>14.0</v>
      </c>
      <c r="AW20" s="8">
        <v>6.0</v>
      </c>
      <c r="AX20" s="8" t="s">
        <v>969</v>
      </c>
      <c r="AY20" s="8" t="s">
        <v>969</v>
      </c>
      <c r="AZ20" s="8" t="s">
        <v>969</v>
      </c>
      <c r="BA20" s="8" t="s">
        <v>969</v>
      </c>
      <c r="BB20" s="8">
        <v>1337.0</v>
      </c>
      <c r="BC20" s="8">
        <v>1352.0</v>
      </c>
      <c r="BD20" s="8" t="s">
        <v>969</v>
      </c>
      <c r="BE20" s="8" t="s">
        <v>707</v>
      </c>
      <c r="BF20" s="13" t="str">
        <f>HYPERLINK("http://dx.doi.org/10.1111/j.1365-2486.2008.01559.x","http://dx.doi.org/10.1111/j.1365-2486.2008.01559.x")</f>
        <v>http://dx.doi.org/10.1111/j.1365-2486.2008.01559.x</v>
      </c>
      <c r="BG20" s="8" t="s">
        <v>969</v>
      </c>
      <c r="BH20" s="8" t="s">
        <v>969</v>
      </c>
      <c r="BI20" s="8">
        <v>16.0</v>
      </c>
      <c r="BJ20" s="8" t="s">
        <v>987</v>
      </c>
      <c r="BK20" s="8" t="s">
        <v>988</v>
      </c>
      <c r="BL20" s="8" t="s">
        <v>989</v>
      </c>
      <c r="BM20" s="8" t="s">
        <v>1877</v>
      </c>
      <c r="BN20" s="8" t="s">
        <v>969</v>
      </c>
      <c r="BO20" s="8" t="s">
        <v>969</v>
      </c>
      <c r="BP20" s="8" t="s">
        <v>969</v>
      </c>
      <c r="BQ20" s="8" t="s">
        <v>969</v>
      </c>
      <c r="BR20" s="8" t="s">
        <v>3344</v>
      </c>
      <c r="BS20" s="8" t="s">
        <v>1878</v>
      </c>
      <c r="BT20" s="8" t="str">
        <f>HYPERLINK("https%3A%2F%2Fwww.webofscience.com%2Fwos%2Fwoscc%2Ffull-record%2FWOS:000255707200011","View Full Record in Web of Science")</f>
        <v>View Full Record in Web of Science</v>
      </c>
    </row>
    <row r="21" ht="12.75" customHeight="1">
      <c r="A21" s="8" t="s">
        <v>967</v>
      </c>
      <c r="B21" s="8" t="s">
        <v>2822</v>
      </c>
      <c r="C21" s="8" t="s">
        <v>969</v>
      </c>
      <c r="D21" s="8" t="s">
        <v>969</v>
      </c>
      <c r="E21" s="8" t="s">
        <v>969</v>
      </c>
      <c r="F21" s="8" t="s">
        <v>2822</v>
      </c>
      <c r="G21" s="8" t="s">
        <v>969</v>
      </c>
      <c r="H21" s="8" t="s">
        <v>969</v>
      </c>
      <c r="I21" s="8" t="s">
        <v>2823</v>
      </c>
      <c r="J21" s="8" t="s">
        <v>1538</v>
      </c>
      <c r="K21" s="8" t="s">
        <v>969</v>
      </c>
      <c r="L21" s="8" t="s">
        <v>969</v>
      </c>
      <c r="M21" s="8" t="s">
        <v>972</v>
      </c>
      <c r="N21" s="8" t="s">
        <v>973</v>
      </c>
      <c r="O21" s="8" t="s">
        <v>969</v>
      </c>
      <c r="P21" s="8" t="s">
        <v>969</v>
      </c>
      <c r="Q21" s="8" t="s">
        <v>969</v>
      </c>
      <c r="R21" s="8" t="s">
        <v>969</v>
      </c>
      <c r="S21" s="8" t="s">
        <v>969</v>
      </c>
      <c r="T21" s="8" t="s">
        <v>969</v>
      </c>
      <c r="U21" s="8" t="s">
        <v>969</v>
      </c>
      <c r="V21" s="8" t="s">
        <v>2824</v>
      </c>
      <c r="W21" s="8" t="s">
        <v>2825</v>
      </c>
      <c r="X21" s="8" t="s">
        <v>2826</v>
      </c>
      <c r="Y21" s="8" t="s">
        <v>969</v>
      </c>
      <c r="Z21" s="8" t="s">
        <v>969</v>
      </c>
      <c r="AA21" s="8" t="s">
        <v>969</v>
      </c>
      <c r="AB21" s="8" t="s">
        <v>969</v>
      </c>
      <c r="AC21" s="8" t="s">
        <v>969</v>
      </c>
      <c r="AD21" s="8" t="s">
        <v>969</v>
      </c>
      <c r="AE21" s="8" t="s">
        <v>969</v>
      </c>
      <c r="AF21" s="8" t="s">
        <v>969</v>
      </c>
      <c r="AG21" s="8">
        <v>0.0</v>
      </c>
      <c r="AH21" s="8">
        <v>173.0</v>
      </c>
      <c r="AI21" s="8">
        <v>185.0</v>
      </c>
      <c r="AJ21" s="8">
        <v>0.0</v>
      </c>
      <c r="AK21" s="8">
        <v>65.0</v>
      </c>
      <c r="AL21" s="8" t="s">
        <v>2827</v>
      </c>
      <c r="AM21" s="8" t="s">
        <v>1011</v>
      </c>
      <c r="AN21" s="8" t="s">
        <v>2828</v>
      </c>
      <c r="AO21" s="8" t="s">
        <v>1548</v>
      </c>
      <c r="AP21" s="8" t="s">
        <v>969</v>
      </c>
      <c r="AQ21" s="8" t="s">
        <v>969</v>
      </c>
      <c r="AR21" s="8" t="s">
        <v>1550</v>
      </c>
      <c r="AS21" s="8" t="s">
        <v>1551</v>
      </c>
      <c r="AT21" s="8" t="s">
        <v>1300</v>
      </c>
      <c r="AU21" s="8">
        <v>1992.0</v>
      </c>
      <c r="AV21" s="8">
        <v>6.0</v>
      </c>
      <c r="AW21" s="8">
        <v>3.0</v>
      </c>
      <c r="AX21" s="8" t="s">
        <v>969</v>
      </c>
      <c r="AY21" s="8" t="s">
        <v>969</v>
      </c>
      <c r="AZ21" s="8" t="s">
        <v>969</v>
      </c>
      <c r="BA21" s="8" t="s">
        <v>969</v>
      </c>
      <c r="BB21" s="8">
        <v>409.0</v>
      </c>
      <c r="BC21" s="8">
        <v>415.0</v>
      </c>
      <c r="BD21" s="8" t="s">
        <v>969</v>
      </c>
      <c r="BE21" s="8" t="s">
        <v>629</v>
      </c>
      <c r="BF21" s="13" t="str">
        <f>HYPERLINK("http://dx.doi.org/10.1046/j.1523-1739.1992.06030409.x","http://dx.doi.org/10.1046/j.1523-1739.1992.06030409.x")</f>
        <v>http://dx.doi.org/10.1046/j.1523-1739.1992.06030409.x</v>
      </c>
      <c r="BG21" s="8" t="s">
        <v>969</v>
      </c>
      <c r="BH21" s="8" t="s">
        <v>969</v>
      </c>
      <c r="BI21" s="8">
        <v>7.0</v>
      </c>
      <c r="BJ21" s="8" t="s">
        <v>987</v>
      </c>
      <c r="BK21" s="8" t="s">
        <v>988</v>
      </c>
      <c r="BL21" s="8" t="s">
        <v>989</v>
      </c>
      <c r="BM21" s="8" t="s">
        <v>2829</v>
      </c>
      <c r="BN21" s="8" t="s">
        <v>969</v>
      </c>
      <c r="BO21" s="8" t="s">
        <v>969</v>
      </c>
      <c r="BP21" s="8" t="s">
        <v>969</v>
      </c>
      <c r="BQ21" s="8" t="s">
        <v>969</v>
      </c>
      <c r="BR21" s="8" t="s">
        <v>3344</v>
      </c>
      <c r="BS21" s="8" t="s">
        <v>2830</v>
      </c>
      <c r="BT21" s="8" t="str">
        <f>HYPERLINK("https%3A%2F%2Fwww.webofscience.com%2Fwos%2Fwoscc%2Ffull-record%2FWOS:A1992JM32200013","View Full Record in Web of Science")</f>
        <v>View Full Record in Web of Science</v>
      </c>
    </row>
    <row r="22" ht="12.75" customHeight="1">
      <c r="A22" s="8" t="s">
        <v>967</v>
      </c>
      <c r="B22" s="8" t="s">
        <v>1214</v>
      </c>
      <c r="C22" s="8" t="s">
        <v>969</v>
      </c>
      <c r="D22" s="8" t="s">
        <v>969</v>
      </c>
      <c r="E22" s="8" t="s">
        <v>969</v>
      </c>
      <c r="F22" s="8" t="s">
        <v>1214</v>
      </c>
      <c r="G22" s="8" t="s">
        <v>969</v>
      </c>
      <c r="H22" s="8" t="s">
        <v>969</v>
      </c>
      <c r="I22" s="8" t="s">
        <v>1215</v>
      </c>
      <c r="J22" s="8" t="s">
        <v>1120</v>
      </c>
      <c r="K22" s="8" t="s">
        <v>969</v>
      </c>
      <c r="L22" s="8" t="s">
        <v>969</v>
      </c>
      <c r="M22" s="8" t="s">
        <v>972</v>
      </c>
      <c r="N22" s="8" t="s">
        <v>973</v>
      </c>
      <c r="O22" s="8" t="s">
        <v>969</v>
      </c>
      <c r="P22" s="8" t="s">
        <v>969</v>
      </c>
      <c r="Q22" s="8" t="s">
        <v>969</v>
      </c>
      <c r="R22" s="8" t="s">
        <v>969</v>
      </c>
      <c r="S22" s="8" t="s">
        <v>969</v>
      </c>
      <c r="T22" s="8" t="s">
        <v>1216</v>
      </c>
      <c r="U22" s="8" t="s">
        <v>1217</v>
      </c>
      <c r="V22" s="8" t="s">
        <v>1218</v>
      </c>
      <c r="W22" s="8" t="s">
        <v>1219</v>
      </c>
      <c r="X22" s="8" t="s">
        <v>1220</v>
      </c>
      <c r="Y22" s="8" t="s">
        <v>1221</v>
      </c>
      <c r="Z22" s="8" t="s">
        <v>1222</v>
      </c>
      <c r="AA22" s="8" t="s">
        <v>3337</v>
      </c>
      <c r="AB22" s="8" t="s">
        <v>3338</v>
      </c>
      <c r="AC22" s="8" t="s">
        <v>969</v>
      </c>
      <c r="AD22" s="8" t="s">
        <v>969</v>
      </c>
      <c r="AE22" s="8" t="s">
        <v>969</v>
      </c>
      <c r="AF22" s="8" t="s">
        <v>969</v>
      </c>
      <c r="AG22" s="8">
        <v>38.0</v>
      </c>
      <c r="AH22" s="8">
        <v>391.0</v>
      </c>
      <c r="AI22" s="8">
        <v>472.0</v>
      </c>
      <c r="AJ22" s="8">
        <v>0.0</v>
      </c>
      <c r="AK22" s="8">
        <v>245.0</v>
      </c>
      <c r="AL22" s="8" t="s">
        <v>1130</v>
      </c>
      <c r="AM22" s="8" t="s">
        <v>1071</v>
      </c>
      <c r="AN22" s="8" t="s">
        <v>1131</v>
      </c>
      <c r="AO22" s="8" t="s">
        <v>1132</v>
      </c>
      <c r="AP22" s="8" t="s">
        <v>969</v>
      </c>
      <c r="AQ22" s="8" t="s">
        <v>969</v>
      </c>
      <c r="AR22" s="8" t="s">
        <v>1134</v>
      </c>
      <c r="AS22" s="8" t="s">
        <v>1135</v>
      </c>
      <c r="AT22" s="8" t="s">
        <v>1225</v>
      </c>
      <c r="AU22" s="8">
        <v>2003.0</v>
      </c>
      <c r="AV22" s="8">
        <v>270.0</v>
      </c>
      <c r="AW22" s="8">
        <v>1527.0</v>
      </c>
      <c r="AX22" s="8" t="s">
        <v>969</v>
      </c>
      <c r="AY22" s="8" t="s">
        <v>969</v>
      </c>
      <c r="AZ22" s="8" t="s">
        <v>969</v>
      </c>
      <c r="BA22" s="8" t="s">
        <v>969</v>
      </c>
      <c r="BB22" s="8">
        <v>1887.0</v>
      </c>
      <c r="BC22" s="8">
        <v>1892.0</v>
      </c>
      <c r="BD22" s="8" t="s">
        <v>969</v>
      </c>
      <c r="BE22" s="8" t="s">
        <v>659</v>
      </c>
      <c r="BF22" s="13" t="str">
        <f>HYPERLINK("http://dx.doi.org/10.1098/rspb.2003.2464","http://dx.doi.org/10.1098/rspb.2003.2464")</f>
        <v>http://dx.doi.org/10.1098/rspb.2003.2464</v>
      </c>
      <c r="BG22" s="8" t="s">
        <v>969</v>
      </c>
      <c r="BH22" s="8" t="s">
        <v>969</v>
      </c>
      <c r="BI22" s="8">
        <v>6.0</v>
      </c>
      <c r="BJ22" s="8" t="s">
        <v>1137</v>
      </c>
      <c r="BK22" s="8" t="s">
        <v>988</v>
      </c>
      <c r="BL22" s="8" t="s">
        <v>1138</v>
      </c>
      <c r="BM22" s="8" t="s">
        <v>1226</v>
      </c>
      <c r="BN22" s="8">
        <v>1.4561301E7</v>
      </c>
      <c r="BO22" s="8" t="s">
        <v>1227</v>
      </c>
      <c r="BP22" s="8" t="s">
        <v>969</v>
      </c>
      <c r="BQ22" s="8" t="s">
        <v>969</v>
      </c>
      <c r="BR22" s="8" t="s">
        <v>3344</v>
      </c>
      <c r="BS22" s="8" t="s">
        <v>1228</v>
      </c>
      <c r="BT22" s="8" t="str">
        <f>HYPERLINK("https%3A%2F%2Fwww.webofscience.com%2Fwos%2Fwoscc%2Ffull-record%2FWOS:000185482500003","View Full Record in Web of Science")</f>
        <v>View Full Record in Web of Science</v>
      </c>
    </row>
    <row r="23" ht="12.75" customHeight="1">
      <c r="A23" s="8" t="s">
        <v>967</v>
      </c>
      <c r="B23" s="8" t="s">
        <v>2519</v>
      </c>
      <c r="C23" s="8" t="s">
        <v>969</v>
      </c>
      <c r="D23" s="8" t="s">
        <v>969</v>
      </c>
      <c r="E23" s="8" t="s">
        <v>969</v>
      </c>
      <c r="F23" s="8" t="s">
        <v>2520</v>
      </c>
      <c r="G23" s="8" t="s">
        <v>969</v>
      </c>
      <c r="H23" s="8" t="s">
        <v>969</v>
      </c>
      <c r="I23" s="8" t="s">
        <v>2521</v>
      </c>
      <c r="J23" s="8" t="s">
        <v>2358</v>
      </c>
      <c r="K23" s="8" t="s">
        <v>969</v>
      </c>
      <c r="L23" s="8" t="s">
        <v>969</v>
      </c>
      <c r="M23" s="8" t="s">
        <v>972</v>
      </c>
      <c r="N23" s="8" t="s">
        <v>973</v>
      </c>
      <c r="O23" s="8" t="s">
        <v>969</v>
      </c>
      <c r="P23" s="8" t="s">
        <v>969</v>
      </c>
      <c r="Q23" s="8" t="s">
        <v>969</v>
      </c>
      <c r="R23" s="8" t="s">
        <v>969</v>
      </c>
      <c r="S23" s="8" t="s">
        <v>969</v>
      </c>
      <c r="T23" s="8" t="s">
        <v>969</v>
      </c>
      <c r="U23" s="8" t="s">
        <v>2522</v>
      </c>
      <c r="V23" s="8" t="s">
        <v>2523</v>
      </c>
      <c r="W23" s="8" t="s">
        <v>2524</v>
      </c>
      <c r="X23" s="8" t="s">
        <v>3035</v>
      </c>
      <c r="Y23" s="8" t="s">
        <v>2526</v>
      </c>
      <c r="Z23" s="8" t="s">
        <v>2527</v>
      </c>
      <c r="AA23" s="8" t="s">
        <v>3354</v>
      </c>
      <c r="AB23" s="8" t="s">
        <v>3355</v>
      </c>
      <c r="AC23" s="8" t="s">
        <v>2530</v>
      </c>
      <c r="AD23" s="8" t="s">
        <v>2531</v>
      </c>
      <c r="AE23" s="8" t="s">
        <v>2532</v>
      </c>
      <c r="AF23" s="8" t="s">
        <v>969</v>
      </c>
      <c r="AG23" s="8">
        <v>30.0</v>
      </c>
      <c r="AH23" s="8">
        <v>628.0</v>
      </c>
      <c r="AI23" s="8">
        <v>692.0</v>
      </c>
      <c r="AJ23" s="8">
        <v>9.0</v>
      </c>
      <c r="AK23" s="8">
        <v>491.0</v>
      </c>
      <c r="AL23" s="8" t="s">
        <v>1070</v>
      </c>
      <c r="AM23" s="8" t="s">
        <v>1071</v>
      </c>
      <c r="AN23" s="8" t="s">
        <v>1072</v>
      </c>
      <c r="AO23" s="8" t="s">
        <v>2369</v>
      </c>
      <c r="AP23" s="8" t="s">
        <v>2370</v>
      </c>
      <c r="AQ23" s="8" t="s">
        <v>969</v>
      </c>
      <c r="AR23" s="8" t="s">
        <v>2371</v>
      </c>
      <c r="AS23" s="8" t="s">
        <v>2372</v>
      </c>
      <c r="AT23" s="8" t="s">
        <v>1211</v>
      </c>
      <c r="AU23" s="8">
        <v>2012.0</v>
      </c>
      <c r="AV23" s="8">
        <v>2.0</v>
      </c>
      <c r="AW23" s="8">
        <v>8.0</v>
      </c>
      <c r="AX23" s="8" t="s">
        <v>969</v>
      </c>
      <c r="AY23" s="8" t="s">
        <v>969</v>
      </c>
      <c r="AZ23" s="8" t="s">
        <v>969</v>
      </c>
      <c r="BA23" s="8" t="s">
        <v>969</v>
      </c>
      <c r="BB23" s="8">
        <v>619.0</v>
      </c>
      <c r="BC23" s="8">
        <v>622.0</v>
      </c>
      <c r="BD23" s="8" t="s">
        <v>969</v>
      </c>
      <c r="BE23" s="8" t="s">
        <v>2533</v>
      </c>
      <c r="BF23" s="13" t="str">
        <f>HYPERLINK("http://dx.doi.org/10.1038/NCLIMATE1514","http://dx.doi.org/10.1038/NCLIMATE1514")</f>
        <v>http://dx.doi.org/10.1038/NCLIMATE1514</v>
      </c>
      <c r="BG23" s="8" t="s">
        <v>969</v>
      </c>
      <c r="BH23" s="8" t="s">
        <v>969</v>
      </c>
      <c r="BI23" s="8">
        <v>4.0</v>
      </c>
      <c r="BJ23" s="8" t="s">
        <v>2374</v>
      </c>
      <c r="BK23" s="8" t="s">
        <v>1519</v>
      </c>
      <c r="BL23" s="8" t="s">
        <v>1038</v>
      </c>
      <c r="BM23" s="8" t="s">
        <v>2534</v>
      </c>
      <c r="BN23" s="8" t="s">
        <v>969</v>
      </c>
      <c r="BO23" s="8" t="s">
        <v>969</v>
      </c>
      <c r="BP23" s="8" t="s">
        <v>969</v>
      </c>
      <c r="BQ23" s="8" t="s">
        <v>969</v>
      </c>
      <c r="BR23" s="8" t="s">
        <v>3344</v>
      </c>
      <c r="BS23" s="8" t="s">
        <v>2535</v>
      </c>
      <c r="BT23" s="8" t="str">
        <f>HYPERLINK("https%3A%2F%2Fwww.webofscience.com%2Fwos%2Fwoscc%2Ffull-record%2FWOS:000307369300020","View Full Record in Web of Science")</f>
        <v>View Full Record in Web of Science</v>
      </c>
    </row>
    <row r="24" ht="12.75" customHeight="1">
      <c r="A24" s="8" t="s">
        <v>967</v>
      </c>
      <c r="B24" s="8" t="s">
        <v>1627</v>
      </c>
      <c r="C24" s="8" t="s">
        <v>969</v>
      </c>
      <c r="D24" s="8" t="s">
        <v>969</v>
      </c>
      <c r="E24" s="8" t="s">
        <v>969</v>
      </c>
      <c r="F24" s="8" t="s">
        <v>1628</v>
      </c>
      <c r="G24" s="8" t="s">
        <v>969</v>
      </c>
      <c r="H24" s="8" t="s">
        <v>969</v>
      </c>
      <c r="I24" s="8" t="s">
        <v>1629</v>
      </c>
      <c r="J24" s="8" t="s">
        <v>971</v>
      </c>
      <c r="K24" s="8" t="s">
        <v>969</v>
      </c>
      <c r="L24" s="8" t="s">
        <v>969</v>
      </c>
      <c r="M24" s="8" t="s">
        <v>972</v>
      </c>
      <c r="N24" s="8" t="s">
        <v>973</v>
      </c>
      <c r="O24" s="8" t="s">
        <v>969</v>
      </c>
      <c r="P24" s="8" t="s">
        <v>969</v>
      </c>
      <c r="Q24" s="8" t="s">
        <v>969</v>
      </c>
      <c r="R24" s="8" t="s">
        <v>969</v>
      </c>
      <c r="S24" s="8" t="s">
        <v>969</v>
      </c>
      <c r="T24" s="8" t="s">
        <v>1630</v>
      </c>
      <c r="U24" s="8" t="s">
        <v>1631</v>
      </c>
      <c r="V24" s="8" t="s">
        <v>1632</v>
      </c>
      <c r="W24" s="8" t="s">
        <v>1633</v>
      </c>
      <c r="X24" s="8" t="s">
        <v>1634</v>
      </c>
      <c r="Y24" s="8" t="s">
        <v>1635</v>
      </c>
      <c r="Z24" s="8" t="s">
        <v>1636</v>
      </c>
      <c r="AA24" s="8" t="s">
        <v>3088</v>
      </c>
      <c r="AB24" s="8" t="s">
        <v>3237</v>
      </c>
      <c r="AC24" s="8" t="s">
        <v>969</v>
      </c>
      <c r="AD24" s="8" t="s">
        <v>969</v>
      </c>
      <c r="AE24" s="8" t="s">
        <v>969</v>
      </c>
      <c r="AF24" s="8" t="s">
        <v>969</v>
      </c>
      <c r="AG24" s="8">
        <v>41.0</v>
      </c>
      <c r="AH24" s="8">
        <v>87.0</v>
      </c>
      <c r="AI24" s="8">
        <v>92.0</v>
      </c>
      <c r="AJ24" s="8">
        <v>1.0</v>
      </c>
      <c r="AK24" s="8">
        <v>48.0</v>
      </c>
      <c r="AL24" s="8" t="s">
        <v>1091</v>
      </c>
      <c r="AM24" s="8" t="s">
        <v>1092</v>
      </c>
      <c r="AN24" s="8" t="s">
        <v>1093</v>
      </c>
      <c r="AO24" s="8" t="s">
        <v>983</v>
      </c>
      <c r="AP24" s="8" t="s">
        <v>1094</v>
      </c>
      <c r="AQ24" s="8" t="s">
        <v>969</v>
      </c>
      <c r="AR24" s="8" t="s">
        <v>1095</v>
      </c>
      <c r="AS24" s="8" t="s">
        <v>985</v>
      </c>
      <c r="AT24" s="8" t="s">
        <v>1300</v>
      </c>
      <c r="AU24" s="8">
        <v>2006.0</v>
      </c>
      <c r="AV24" s="8">
        <v>12.0</v>
      </c>
      <c r="AW24" s="8">
        <v>9.0</v>
      </c>
      <c r="AX24" s="8" t="s">
        <v>969</v>
      </c>
      <c r="AY24" s="8" t="s">
        <v>969</v>
      </c>
      <c r="AZ24" s="8" t="s">
        <v>969</v>
      </c>
      <c r="BA24" s="8" t="s">
        <v>969</v>
      </c>
      <c r="BB24" s="8">
        <v>1788.0</v>
      </c>
      <c r="BC24" s="8">
        <v>1799.0</v>
      </c>
      <c r="BD24" s="8" t="s">
        <v>969</v>
      </c>
      <c r="BE24" s="8" t="s">
        <v>695</v>
      </c>
      <c r="BF24" s="13" t="str">
        <f>HYPERLINK("http://dx.doi.org/10.1111/j.1365-2486.2006.01231.x","http://dx.doi.org/10.1111/j.1365-2486.2006.01231.x")</f>
        <v>http://dx.doi.org/10.1111/j.1365-2486.2006.01231.x</v>
      </c>
      <c r="BG24" s="8" t="s">
        <v>969</v>
      </c>
      <c r="BH24" s="8" t="s">
        <v>969</v>
      </c>
      <c r="BI24" s="8">
        <v>12.0</v>
      </c>
      <c r="BJ24" s="8" t="s">
        <v>987</v>
      </c>
      <c r="BK24" s="8" t="s">
        <v>988</v>
      </c>
      <c r="BL24" s="8" t="s">
        <v>989</v>
      </c>
      <c r="BM24" s="8" t="s">
        <v>1639</v>
      </c>
      <c r="BN24" s="8" t="s">
        <v>969</v>
      </c>
      <c r="BO24" s="8" t="s">
        <v>1640</v>
      </c>
      <c r="BP24" s="8" t="s">
        <v>969</v>
      </c>
      <c r="BQ24" s="8" t="s">
        <v>969</v>
      </c>
      <c r="BR24" s="8" t="s">
        <v>3344</v>
      </c>
      <c r="BS24" s="8" t="s">
        <v>1641</v>
      </c>
      <c r="BT24" s="8" t="str">
        <f>HYPERLINK("https%3A%2F%2Fwww.webofscience.com%2Fwos%2Fwoscc%2Ffull-record%2FWOS:000240005300018","View Full Record in Web of Science")</f>
        <v>View Full Record in Web of Science</v>
      </c>
    </row>
    <row r="25" ht="12.75" customHeight="1">
      <c r="A25" s="8" t="s">
        <v>967</v>
      </c>
      <c r="B25" s="8" t="s">
        <v>1523</v>
      </c>
      <c r="C25" s="8" t="s">
        <v>969</v>
      </c>
      <c r="D25" s="8" t="s">
        <v>969</v>
      </c>
      <c r="E25" s="8" t="s">
        <v>969</v>
      </c>
      <c r="F25" s="8" t="s">
        <v>1523</v>
      </c>
      <c r="G25" s="8" t="s">
        <v>969</v>
      </c>
      <c r="H25" s="8" t="s">
        <v>969</v>
      </c>
      <c r="I25" s="8" t="s">
        <v>1524</v>
      </c>
      <c r="J25" s="8" t="s">
        <v>971</v>
      </c>
      <c r="K25" s="8" t="s">
        <v>969</v>
      </c>
      <c r="L25" s="8" t="s">
        <v>969</v>
      </c>
      <c r="M25" s="8" t="s">
        <v>972</v>
      </c>
      <c r="N25" s="8" t="s">
        <v>973</v>
      </c>
      <c r="O25" s="8" t="s">
        <v>969</v>
      </c>
      <c r="P25" s="8" t="s">
        <v>969</v>
      </c>
      <c r="Q25" s="8" t="s">
        <v>969</v>
      </c>
      <c r="R25" s="8" t="s">
        <v>969</v>
      </c>
      <c r="S25" s="8" t="s">
        <v>969</v>
      </c>
      <c r="T25" s="8" t="s">
        <v>1525</v>
      </c>
      <c r="U25" s="8" t="s">
        <v>1526</v>
      </c>
      <c r="V25" s="8" t="s">
        <v>1527</v>
      </c>
      <c r="W25" s="8" t="s">
        <v>1528</v>
      </c>
      <c r="X25" s="8" t="s">
        <v>3356</v>
      </c>
      <c r="Y25" s="8" t="s">
        <v>1530</v>
      </c>
      <c r="Z25" s="8" t="s">
        <v>1531</v>
      </c>
      <c r="AA25" s="8" t="s">
        <v>3357</v>
      </c>
      <c r="AB25" s="8" t="s">
        <v>3358</v>
      </c>
      <c r="AC25" s="8" t="s">
        <v>969</v>
      </c>
      <c r="AD25" s="8" t="s">
        <v>969</v>
      </c>
      <c r="AE25" s="8" t="s">
        <v>969</v>
      </c>
      <c r="AF25" s="8" t="s">
        <v>969</v>
      </c>
      <c r="AG25" s="8">
        <v>90.0</v>
      </c>
      <c r="AH25" s="8">
        <v>248.0</v>
      </c>
      <c r="AI25" s="8">
        <v>297.0</v>
      </c>
      <c r="AJ25" s="8">
        <v>0.0</v>
      </c>
      <c r="AK25" s="8">
        <v>130.0</v>
      </c>
      <c r="AL25" s="8" t="s">
        <v>1091</v>
      </c>
      <c r="AM25" s="8" t="s">
        <v>1092</v>
      </c>
      <c r="AN25" s="8" t="s">
        <v>1093</v>
      </c>
      <c r="AO25" s="8" t="s">
        <v>983</v>
      </c>
      <c r="AP25" s="8" t="s">
        <v>1094</v>
      </c>
      <c r="AQ25" s="8" t="s">
        <v>969</v>
      </c>
      <c r="AR25" s="8" t="s">
        <v>1095</v>
      </c>
      <c r="AS25" s="8" t="s">
        <v>985</v>
      </c>
      <c r="AT25" s="8" t="s">
        <v>1055</v>
      </c>
      <c r="AU25" s="8">
        <v>2006.0</v>
      </c>
      <c r="AV25" s="8">
        <v>12.0</v>
      </c>
      <c r="AW25" s="8">
        <v>3.0</v>
      </c>
      <c r="AX25" s="8" t="s">
        <v>969</v>
      </c>
      <c r="AY25" s="8" t="s">
        <v>969</v>
      </c>
      <c r="AZ25" s="8" t="s">
        <v>969</v>
      </c>
      <c r="BA25" s="8" t="s">
        <v>969</v>
      </c>
      <c r="BB25" s="8">
        <v>424.0</v>
      </c>
      <c r="BC25" s="8">
        <v>440.0</v>
      </c>
      <c r="BD25" s="8" t="s">
        <v>969</v>
      </c>
      <c r="BE25" s="8" t="s">
        <v>689</v>
      </c>
      <c r="BF25" s="13" t="str">
        <f>HYPERLINK("http://dx.doi.org/10.1111/j.1365-2486.2006.01115.x","http://dx.doi.org/10.1111/j.1365-2486.2006.01115.x")</f>
        <v>http://dx.doi.org/10.1111/j.1365-2486.2006.01115.x</v>
      </c>
      <c r="BG25" s="8" t="s">
        <v>969</v>
      </c>
      <c r="BH25" s="8" t="s">
        <v>969</v>
      </c>
      <c r="BI25" s="8">
        <v>17.0</v>
      </c>
      <c r="BJ25" s="8" t="s">
        <v>987</v>
      </c>
      <c r="BK25" s="8" t="s">
        <v>988</v>
      </c>
      <c r="BL25" s="8" t="s">
        <v>989</v>
      </c>
      <c r="BM25" s="8" t="s">
        <v>1534</v>
      </c>
      <c r="BN25" s="8" t="s">
        <v>969</v>
      </c>
      <c r="BO25" s="8" t="s">
        <v>969</v>
      </c>
      <c r="BP25" s="8" t="s">
        <v>969</v>
      </c>
      <c r="BQ25" s="8" t="s">
        <v>969</v>
      </c>
      <c r="BR25" s="8" t="s">
        <v>3344</v>
      </c>
      <c r="BS25" s="8" t="s">
        <v>1535</v>
      </c>
      <c r="BT25" s="8" t="str">
        <f>HYPERLINK("https%3A%2F%2Fwww.webofscience.com%2Fwos%2Fwoscc%2Ffull-record%2FWOS:000236023000002","View Full Record in Web of Science")</f>
        <v>View Full Record in Web of Science</v>
      </c>
    </row>
    <row r="26" ht="12.75" customHeight="1">
      <c r="A26" s="8" t="s">
        <v>967</v>
      </c>
      <c r="B26" s="8" t="s">
        <v>1229</v>
      </c>
      <c r="C26" s="8" t="s">
        <v>969</v>
      </c>
      <c r="D26" s="8" t="s">
        <v>969</v>
      </c>
      <c r="E26" s="8" t="s">
        <v>969</v>
      </c>
      <c r="F26" s="8" t="s">
        <v>1229</v>
      </c>
      <c r="G26" s="8" t="s">
        <v>969</v>
      </c>
      <c r="H26" s="8" t="s">
        <v>969</v>
      </c>
      <c r="I26" s="8" t="s">
        <v>1230</v>
      </c>
      <c r="J26" s="8" t="s">
        <v>1062</v>
      </c>
      <c r="K26" s="8" t="s">
        <v>969</v>
      </c>
      <c r="L26" s="8" t="s">
        <v>969</v>
      </c>
      <c r="M26" s="8" t="s">
        <v>972</v>
      </c>
      <c r="N26" s="8" t="s">
        <v>973</v>
      </c>
      <c r="O26" s="8" t="s">
        <v>969</v>
      </c>
      <c r="P26" s="8" t="s">
        <v>969</v>
      </c>
      <c r="Q26" s="8" t="s">
        <v>969</v>
      </c>
      <c r="R26" s="8" t="s">
        <v>969</v>
      </c>
      <c r="S26" s="8" t="s">
        <v>969</v>
      </c>
      <c r="T26" s="8" t="s">
        <v>969</v>
      </c>
      <c r="U26" s="8" t="s">
        <v>1231</v>
      </c>
      <c r="V26" s="8" t="s">
        <v>1232</v>
      </c>
      <c r="W26" s="8" t="s">
        <v>1233</v>
      </c>
      <c r="X26" s="8" t="s">
        <v>1234</v>
      </c>
      <c r="Y26" s="8" t="s">
        <v>1235</v>
      </c>
      <c r="Z26" s="8" t="s">
        <v>1236</v>
      </c>
      <c r="AA26" s="8" t="s">
        <v>3359</v>
      </c>
      <c r="AB26" s="8" t="s">
        <v>3360</v>
      </c>
      <c r="AC26" s="8" t="s">
        <v>1239</v>
      </c>
      <c r="AD26" s="8" t="s">
        <v>1240</v>
      </c>
      <c r="AE26" s="8" t="s">
        <v>969</v>
      </c>
      <c r="AF26" s="8" t="s">
        <v>969</v>
      </c>
      <c r="AG26" s="8">
        <v>30.0</v>
      </c>
      <c r="AH26" s="8">
        <v>5476.0</v>
      </c>
      <c r="AI26" s="8">
        <v>6619.0</v>
      </c>
      <c r="AJ26" s="8">
        <v>46.0</v>
      </c>
      <c r="AK26" s="8">
        <v>6063.0</v>
      </c>
      <c r="AL26" s="8" t="s">
        <v>1241</v>
      </c>
      <c r="AM26" s="8" t="s">
        <v>1242</v>
      </c>
      <c r="AN26" s="8" t="s">
        <v>1243</v>
      </c>
      <c r="AO26" s="8" t="s">
        <v>1073</v>
      </c>
      <c r="AP26" s="8" t="s">
        <v>1244</v>
      </c>
      <c r="AQ26" s="8" t="s">
        <v>969</v>
      </c>
      <c r="AR26" s="8" t="s">
        <v>1062</v>
      </c>
      <c r="AS26" s="8" t="s">
        <v>1074</v>
      </c>
      <c r="AT26" s="8" t="s">
        <v>1245</v>
      </c>
      <c r="AU26" s="8">
        <v>2004.0</v>
      </c>
      <c r="AV26" s="8">
        <v>427.0</v>
      </c>
      <c r="AW26" s="8">
        <v>6970.0</v>
      </c>
      <c r="AX26" s="8" t="s">
        <v>969</v>
      </c>
      <c r="AY26" s="8" t="s">
        <v>969</v>
      </c>
      <c r="AZ26" s="8" t="s">
        <v>969</v>
      </c>
      <c r="BA26" s="8" t="s">
        <v>969</v>
      </c>
      <c r="BB26" s="8">
        <v>145.0</v>
      </c>
      <c r="BC26" s="8">
        <v>148.0</v>
      </c>
      <c r="BD26" s="8" t="s">
        <v>969</v>
      </c>
      <c r="BE26" s="8" t="s">
        <v>593</v>
      </c>
      <c r="BF26" s="13" t="str">
        <f>HYPERLINK("http://dx.doi.org/10.1038/nature02121","http://dx.doi.org/10.1038/nature02121")</f>
        <v>http://dx.doi.org/10.1038/nature02121</v>
      </c>
      <c r="BG26" s="8" t="s">
        <v>969</v>
      </c>
      <c r="BH26" s="8" t="s">
        <v>969</v>
      </c>
      <c r="BI26" s="8">
        <v>4.0</v>
      </c>
      <c r="BJ26" s="8" t="s">
        <v>1076</v>
      </c>
      <c r="BK26" s="8" t="s">
        <v>988</v>
      </c>
      <c r="BL26" s="8" t="s">
        <v>1077</v>
      </c>
      <c r="BM26" s="8" t="s">
        <v>1246</v>
      </c>
      <c r="BN26" s="8">
        <v>1.4712274E7</v>
      </c>
      <c r="BO26" s="8" t="s">
        <v>1247</v>
      </c>
      <c r="BP26" s="8" t="s">
        <v>969</v>
      </c>
      <c r="BQ26" s="8" t="s">
        <v>969</v>
      </c>
      <c r="BR26" s="8" t="s">
        <v>3344</v>
      </c>
      <c r="BS26" s="8" t="s">
        <v>1248</v>
      </c>
      <c r="BT26" s="8" t="str">
        <f>HYPERLINK("https%3A%2F%2Fwww.webofscience.com%2Fwos%2Fwoscc%2Ffull-record%2FWOS:000187863900033","View Full Record in Web of Science")</f>
        <v>View Full Record in Web of Science</v>
      </c>
    </row>
    <row r="27" ht="12.75" customHeight="1">
      <c r="A27" s="8" t="s">
        <v>967</v>
      </c>
      <c r="B27" s="8" t="s">
        <v>1203</v>
      </c>
      <c r="C27" s="8" t="s">
        <v>969</v>
      </c>
      <c r="D27" s="8" t="s">
        <v>969</v>
      </c>
      <c r="E27" s="8" t="s">
        <v>969</v>
      </c>
      <c r="F27" s="8" t="s">
        <v>1203</v>
      </c>
      <c r="G27" s="8" t="s">
        <v>969</v>
      </c>
      <c r="H27" s="8" t="s">
        <v>969</v>
      </c>
      <c r="I27" s="8" t="s">
        <v>1204</v>
      </c>
      <c r="J27" s="8" t="s">
        <v>1025</v>
      </c>
      <c r="K27" s="8" t="s">
        <v>969</v>
      </c>
      <c r="L27" s="8" t="s">
        <v>969</v>
      </c>
      <c r="M27" s="8" t="s">
        <v>972</v>
      </c>
      <c r="N27" s="8" t="s">
        <v>973</v>
      </c>
      <c r="O27" s="8" t="s">
        <v>969</v>
      </c>
      <c r="P27" s="8" t="s">
        <v>969</v>
      </c>
      <c r="Q27" s="8" t="s">
        <v>969</v>
      </c>
      <c r="R27" s="8" t="s">
        <v>969</v>
      </c>
      <c r="S27" s="8" t="s">
        <v>969</v>
      </c>
      <c r="T27" s="8" t="s">
        <v>969</v>
      </c>
      <c r="U27" s="8" t="s">
        <v>1205</v>
      </c>
      <c r="V27" s="8" t="s">
        <v>1206</v>
      </c>
      <c r="W27" s="8" t="s">
        <v>1207</v>
      </c>
      <c r="X27" s="8" t="s">
        <v>1208</v>
      </c>
      <c r="Y27" s="8" t="s">
        <v>1209</v>
      </c>
      <c r="Z27" s="8" t="s">
        <v>969</v>
      </c>
      <c r="AA27" s="8" t="s">
        <v>969</v>
      </c>
      <c r="AB27" s="8" t="s">
        <v>969</v>
      </c>
      <c r="AC27" s="8" t="s">
        <v>969</v>
      </c>
      <c r="AD27" s="8" t="s">
        <v>969</v>
      </c>
      <c r="AE27" s="8" t="s">
        <v>969</v>
      </c>
      <c r="AF27" s="8" t="s">
        <v>969</v>
      </c>
      <c r="AG27" s="8">
        <v>26.0</v>
      </c>
      <c r="AH27" s="8">
        <v>236.0</v>
      </c>
      <c r="AI27" s="8">
        <v>277.0</v>
      </c>
      <c r="AJ27" s="8">
        <v>1.0</v>
      </c>
      <c r="AK27" s="8">
        <v>75.0</v>
      </c>
      <c r="AL27" s="8" t="s">
        <v>1031</v>
      </c>
      <c r="AM27" s="8" t="s">
        <v>1032</v>
      </c>
      <c r="AN27" s="8" t="s">
        <v>1210</v>
      </c>
      <c r="AO27" s="8" t="s">
        <v>1034</v>
      </c>
      <c r="AP27" s="8" t="s">
        <v>969</v>
      </c>
      <c r="AQ27" s="8" t="s">
        <v>969</v>
      </c>
      <c r="AR27" s="8" t="s">
        <v>1025</v>
      </c>
      <c r="AS27" s="8" t="s">
        <v>1035</v>
      </c>
      <c r="AT27" s="8" t="s">
        <v>1211</v>
      </c>
      <c r="AU27" s="8">
        <v>2003.0</v>
      </c>
      <c r="AV27" s="8">
        <v>59.0</v>
      </c>
      <c r="AW27" s="8">
        <v>3.0</v>
      </c>
      <c r="AX27" s="8" t="s">
        <v>969</v>
      </c>
      <c r="AY27" s="8" t="s">
        <v>969</v>
      </c>
      <c r="AZ27" s="8" t="s">
        <v>969</v>
      </c>
      <c r="BA27" s="8" t="s">
        <v>969</v>
      </c>
      <c r="BB27" s="8">
        <v>389.0</v>
      </c>
      <c r="BC27" s="8">
        <v>409.0</v>
      </c>
      <c r="BD27" s="8" t="s">
        <v>969</v>
      </c>
      <c r="BE27" s="8" t="s">
        <v>587</v>
      </c>
      <c r="BF27" s="13" t="str">
        <f>HYPERLINK("http://dx.doi.org/10.1023/A:1024847723344","http://dx.doi.org/10.1023/A:1024847723344")</f>
        <v>http://dx.doi.org/10.1023/A:1024847723344</v>
      </c>
      <c r="BG27" s="8" t="s">
        <v>969</v>
      </c>
      <c r="BH27" s="8" t="s">
        <v>969</v>
      </c>
      <c r="BI27" s="8">
        <v>21.0</v>
      </c>
      <c r="BJ27" s="8" t="s">
        <v>1037</v>
      </c>
      <c r="BK27" s="8" t="s">
        <v>988</v>
      </c>
      <c r="BL27" s="8" t="s">
        <v>1038</v>
      </c>
      <c r="BM27" s="8" t="s">
        <v>1212</v>
      </c>
      <c r="BN27" s="8" t="s">
        <v>969</v>
      </c>
      <c r="BO27" s="8" t="s">
        <v>969</v>
      </c>
      <c r="BP27" s="8" t="s">
        <v>969</v>
      </c>
      <c r="BQ27" s="8" t="s">
        <v>969</v>
      </c>
      <c r="BR27" s="8" t="s">
        <v>3344</v>
      </c>
      <c r="BS27" s="8" t="s">
        <v>1213</v>
      </c>
      <c r="BT27" s="8" t="str">
        <f>HYPERLINK("https%3A%2F%2Fwww.webofscience.com%2Fwos%2Fwoscc%2Ffull-record%2FWOS:000184319800006","View Full Record in Web of Science")</f>
        <v>View Full Record in Web of Science</v>
      </c>
    </row>
    <row r="28" ht="12.75" customHeight="1">
      <c r="A28" s="8" t="s">
        <v>967</v>
      </c>
      <c r="B28" s="8" t="s">
        <v>2306</v>
      </c>
      <c r="C28" s="8" t="s">
        <v>969</v>
      </c>
      <c r="D28" s="8" t="s">
        <v>969</v>
      </c>
      <c r="E28" s="8" t="s">
        <v>969</v>
      </c>
      <c r="F28" s="8" t="s">
        <v>2307</v>
      </c>
      <c r="G28" s="8" t="s">
        <v>969</v>
      </c>
      <c r="H28" s="8" t="s">
        <v>969</v>
      </c>
      <c r="I28" s="8" t="s">
        <v>2308</v>
      </c>
      <c r="J28" s="8" t="s">
        <v>2309</v>
      </c>
      <c r="K28" s="8" t="s">
        <v>969</v>
      </c>
      <c r="L28" s="8" t="s">
        <v>969</v>
      </c>
      <c r="M28" s="8" t="s">
        <v>972</v>
      </c>
      <c r="N28" s="8" t="s">
        <v>973</v>
      </c>
      <c r="O28" s="8" t="s">
        <v>969</v>
      </c>
      <c r="P28" s="8" t="s">
        <v>969</v>
      </c>
      <c r="Q28" s="8" t="s">
        <v>969</v>
      </c>
      <c r="R28" s="8" t="s">
        <v>969</v>
      </c>
      <c r="S28" s="8" t="s">
        <v>969</v>
      </c>
      <c r="T28" s="8" t="s">
        <v>2310</v>
      </c>
      <c r="U28" s="8" t="s">
        <v>2311</v>
      </c>
      <c r="V28" s="8" t="s">
        <v>2312</v>
      </c>
      <c r="W28" s="8" t="s">
        <v>2313</v>
      </c>
      <c r="X28" s="8" t="s">
        <v>2423</v>
      </c>
      <c r="Y28" s="8" t="s">
        <v>2315</v>
      </c>
      <c r="Z28" s="8" t="s">
        <v>2316</v>
      </c>
      <c r="AA28" s="8" t="s">
        <v>3254</v>
      </c>
      <c r="AB28" s="8" t="s">
        <v>2318</v>
      </c>
      <c r="AC28" s="8" t="s">
        <v>2319</v>
      </c>
      <c r="AD28" s="8" t="s">
        <v>2319</v>
      </c>
      <c r="AE28" s="8" t="s">
        <v>2320</v>
      </c>
      <c r="AF28" s="8" t="s">
        <v>969</v>
      </c>
      <c r="AG28" s="8">
        <v>43.0</v>
      </c>
      <c r="AH28" s="8">
        <v>165.0</v>
      </c>
      <c r="AI28" s="8">
        <v>187.0</v>
      </c>
      <c r="AJ28" s="8">
        <v>1.0</v>
      </c>
      <c r="AK28" s="8">
        <v>150.0</v>
      </c>
      <c r="AL28" s="8" t="s">
        <v>1091</v>
      </c>
      <c r="AM28" s="8" t="s">
        <v>1092</v>
      </c>
      <c r="AN28" s="8" t="s">
        <v>1093</v>
      </c>
      <c r="AO28" s="8" t="s">
        <v>2321</v>
      </c>
      <c r="AP28" s="8" t="s">
        <v>2322</v>
      </c>
      <c r="AQ28" s="8" t="s">
        <v>969</v>
      </c>
      <c r="AR28" s="8" t="s">
        <v>2323</v>
      </c>
      <c r="AS28" s="8" t="s">
        <v>2324</v>
      </c>
      <c r="AT28" s="8" t="s">
        <v>1112</v>
      </c>
      <c r="AU28" s="8">
        <v>2011.0</v>
      </c>
      <c r="AV28" s="8">
        <v>56.0</v>
      </c>
      <c r="AW28" s="8">
        <v>10.0</v>
      </c>
      <c r="AX28" s="8" t="s">
        <v>969</v>
      </c>
      <c r="AY28" s="8" t="s">
        <v>969</v>
      </c>
      <c r="AZ28" s="8" t="s">
        <v>969</v>
      </c>
      <c r="BA28" s="8" t="s">
        <v>969</v>
      </c>
      <c r="BB28" s="8">
        <v>2009.0</v>
      </c>
      <c r="BC28" s="8">
        <v>2020.0</v>
      </c>
      <c r="BD28" s="8" t="s">
        <v>969</v>
      </c>
      <c r="BE28" s="8" t="s">
        <v>680</v>
      </c>
      <c r="BF28" s="13" t="str">
        <f>HYPERLINK("http://dx.doi.org/10.1111/j.1365-2427.2011.02631.x","http://dx.doi.org/10.1111/j.1365-2427.2011.02631.x")</f>
        <v>http://dx.doi.org/10.1111/j.1365-2427.2011.02631.x</v>
      </c>
      <c r="BG28" s="8" t="s">
        <v>969</v>
      </c>
      <c r="BH28" s="8" t="s">
        <v>969</v>
      </c>
      <c r="BI28" s="8">
        <v>12.0</v>
      </c>
      <c r="BJ28" s="8" t="s">
        <v>2325</v>
      </c>
      <c r="BK28" s="8" t="s">
        <v>988</v>
      </c>
      <c r="BL28" s="8" t="s">
        <v>2111</v>
      </c>
      <c r="BM28" s="8" t="s">
        <v>2326</v>
      </c>
      <c r="BN28" s="8" t="s">
        <v>969</v>
      </c>
      <c r="BO28" s="8" t="s">
        <v>969</v>
      </c>
      <c r="BP28" s="8" t="s">
        <v>969</v>
      </c>
      <c r="BQ28" s="8" t="s">
        <v>969</v>
      </c>
      <c r="BR28" s="8" t="s">
        <v>3344</v>
      </c>
      <c r="BS28" s="8" t="s">
        <v>2327</v>
      </c>
      <c r="BT28" s="8" t="str">
        <f>HYPERLINK("https%3A%2F%2Fwww.webofscience.com%2Fwos%2Fwoscc%2Ffull-record%2FWOS:000295013800006","View Full Record in Web of Science")</f>
        <v>View Full Record in Web of Science</v>
      </c>
    </row>
    <row r="29" ht="12.75" customHeight="1">
      <c r="A29" s="8" t="s">
        <v>967</v>
      </c>
      <c r="B29" s="8" t="s">
        <v>2087</v>
      </c>
      <c r="C29" s="8" t="s">
        <v>969</v>
      </c>
      <c r="D29" s="8" t="s">
        <v>969</v>
      </c>
      <c r="E29" s="8" t="s">
        <v>969</v>
      </c>
      <c r="F29" s="8" t="s">
        <v>2088</v>
      </c>
      <c r="G29" s="8" t="s">
        <v>969</v>
      </c>
      <c r="H29" s="8" t="s">
        <v>969</v>
      </c>
      <c r="I29" s="8" t="s">
        <v>2089</v>
      </c>
      <c r="J29" s="8" t="s">
        <v>2090</v>
      </c>
      <c r="K29" s="8" t="s">
        <v>969</v>
      </c>
      <c r="L29" s="8" t="s">
        <v>969</v>
      </c>
      <c r="M29" s="8" t="s">
        <v>972</v>
      </c>
      <c r="N29" s="8" t="s">
        <v>973</v>
      </c>
      <c r="O29" s="8" t="s">
        <v>969</v>
      </c>
      <c r="P29" s="8" t="s">
        <v>969</v>
      </c>
      <c r="Q29" s="8" t="s">
        <v>969</v>
      </c>
      <c r="R29" s="8" t="s">
        <v>969</v>
      </c>
      <c r="S29" s="8" t="s">
        <v>969</v>
      </c>
      <c r="T29" s="8" t="s">
        <v>2091</v>
      </c>
      <c r="U29" s="8" t="s">
        <v>2092</v>
      </c>
      <c r="V29" s="8" t="s">
        <v>2093</v>
      </c>
      <c r="W29" s="8" t="s">
        <v>2094</v>
      </c>
      <c r="X29" s="8" t="s">
        <v>2095</v>
      </c>
      <c r="Y29" s="8" t="s">
        <v>2096</v>
      </c>
      <c r="Z29" s="8" t="s">
        <v>2097</v>
      </c>
      <c r="AA29" s="8" t="s">
        <v>3282</v>
      </c>
      <c r="AB29" s="8" t="s">
        <v>3283</v>
      </c>
      <c r="AC29" s="8" t="s">
        <v>2100</v>
      </c>
      <c r="AD29" s="8" t="s">
        <v>2101</v>
      </c>
      <c r="AE29" s="8" t="s">
        <v>2102</v>
      </c>
      <c r="AF29" s="8" t="s">
        <v>969</v>
      </c>
      <c r="AG29" s="8">
        <v>56.0</v>
      </c>
      <c r="AH29" s="8">
        <v>145.0</v>
      </c>
      <c r="AI29" s="8">
        <v>163.0</v>
      </c>
      <c r="AJ29" s="8">
        <v>1.0</v>
      </c>
      <c r="AK29" s="8">
        <v>88.0</v>
      </c>
      <c r="AL29" s="8" t="s">
        <v>2103</v>
      </c>
      <c r="AM29" s="8" t="s">
        <v>2104</v>
      </c>
      <c r="AN29" s="8" t="s">
        <v>2105</v>
      </c>
      <c r="AO29" s="8" t="s">
        <v>2106</v>
      </c>
      <c r="AP29" s="8" t="s">
        <v>2107</v>
      </c>
      <c r="AQ29" s="8" t="s">
        <v>969</v>
      </c>
      <c r="AR29" s="8" t="s">
        <v>2108</v>
      </c>
      <c r="AS29" s="8" t="s">
        <v>2109</v>
      </c>
      <c r="AT29" s="8" t="s">
        <v>1055</v>
      </c>
      <c r="AU29" s="8">
        <v>2009.0</v>
      </c>
      <c r="AV29" s="8">
        <v>71.0</v>
      </c>
      <c r="AW29" s="8">
        <v>1.0</v>
      </c>
      <c r="AX29" s="8" t="s">
        <v>969</v>
      </c>
      <c r="AY29" s="8" t="s">
        <v>969</v>
      </c>
      <c r="AZ29" s="8" t="s">
        <v>969</v>
      </c>
      <c r="BA29" s="8" t="s">
        <v>969</v>
      </c>
      <c r="BB29" s="8">
        <v>3.0</v>
      </c>
      <c r="BC29" s="8">
        <v>14.0</v>
      </c>
      <c r="BD29" s="8" t="s">
        <v>969</v>
      </c>
      <c r="BE29" s="8" t="s">
        <v>508</v>
      </c>
      <c r="BF29" s="13" t="str">
        <f>HYPERLINK("http://dx.doi.org/10.1007/s00027-009-9159-5","http://dx.doi.org/10.1007/s00027-009-9159-5")</f>
        <v>http://dx.doi.org/10.1007/s00027-009-9159-5</v>
      </c>
      <c r="BG29" s="8" t="s">
        <v>969</v>
      </c>
      <c r="BH29" s="8" t="s">
        <v>969</v>
      </c>
      <c r="BI29" s="8">
        <v>12.0</v>
      </c>
      <c r="BJ29" s="8" t="s">
        <v>2110</v>
      </c>
      <c r="BK29" s="8" t="s">
        <v>988</v>
      </c>
      <c r="BL29" s="8" t="s">
        <v>2111</v>
      </c>
      <c r="BM29" s="8" t="s">
        <v>2112</v>
      </c>
      <c r="BN29" s="8" t="s">
        <v>969</v>
      </c>
      <c r="BO29" s="8" t="s">
        <v>969</v>
      </c>
      <c r="BP29" s="8" t="s">
        <v>969</v>
      </c>
      <c r="BQ29" s="8" t="s">
        <v>969</v>
      </c>
      <c r="BR29" s="8" t="s">
        <v>3344</v>
      </c>
      <c r="BS29" s="8" t="s">
        <v>2113</v>
      </c>
      <c r="BT29" s="8" t="str">
        <f>HYPERLINK("https%3A%2F%2Fwww.webofscience.com%2Fwos%2Fwoscc%2Ffull-record%2FWOS:000265087700002","View Full Record in Web of Science")</f>
        <v>View Full Record in Web of Science</v>
      </c>
    </row>
    <row r="30" ht="12.75" customHeight="1">
      <c r="A30" s="8" t="s">
        <v>967</v>
      </c>
      <c r="B30" s="8" t="s">
        <v>1659</v>
      </c>
      <c r="C30" s="8" t="s">
        <v>969</v>
      </c>
      <c r="D30" s="8" t="s">
        <v>969</v>
      </c>
      <c r="E30" s="8" t="s">
        <v>969</v>
      </c>
      <c r="F30" s="8" t="s">
        <v>1660</v>
      </c>
      <c r="G30" s="8" t="s">
        <v>969</v>
      </c>
      <c r="H30" s="8" t="s">
        <v>969</v>
      </c>
      <c r="I30" s="8" t="s">
        <v>1661</v>
      </c>
      <c r="J30" s="8" t="s">
        <v>1662</v>
      </c>
      <c r="K30" s="8" t="s">
        <v>969</v>
      </c>
      <c r="L30" s="8" t="s">
        <v>969</v>
      </c>
      <c r="M30" s="8" t="s">
        <v>972</v>
      </c>
      <c r="N30" s="8" t="s">
        <v>973</v>
      </c>
      <c r="O30" s="8" t="s">
        <v>969</v>
      </c>
      <c r="P30" s="8" t="s">
        <v>969</v>
      </c>
      <c r="Q30" s="8" t="s">
        <v>969</v>
      </c>
      <c r="R30" s="8" t="s">
        <v>969</v>
      </c>
      <c r="S30" s="8" t="s">
        <v>969</v>
      </c>
      <c r="T30" s="8" t="s">
        <v>1663</v>
      </c>
      <c r="U30" s="8" t="s">
        <v>1664</v>
      </c>
      <c r="V30" s="8" t="s">
        <v>1665</v>
      </c>
      <c r="W30" s="8" t="s">
        <v>1649</v>
      </c>
      <c r="X30" s="8" t="s">
        <v>1650</v>
      </c>
      <c r="Y30" s="8" t="s">
        <v>1666</v>
      </c>
      <c r="Z30" s="8" t="s">
        <v>1667</v>
      </c>
      <c r="AA30" s="8" t="s">
        <v>1668</v>
      </c>
      <c r="AB30" s="8" t="s">
        <v>1669</v>
      </c>
      <c r="AC30" s="8" t="s">
        <v>969</v>
      </c>
      <c r="AD30" s="8" t="s">
        <v>969</v>
      </c>
      <c r="AE30" s="8" t="s">
        <v>969</v>
      </c>
      <c r="AF30" s="8" t="s">
        <v>969</v>
      </c>
      <c r="AG30" s="8">
        <v>52.0</v>
      </c>
      <c r="AH30" s="8">
        <v>35.0</v>
      </c>
      <c r="AI30" s="8">
        <v>37.0</v>
      </c>
      <c r="AJ30" s="8">
        <v>0.0</v>
      </c>
      <c r="AK30" s="8">
        <v>41.0</v>
      </c>
      <c r="AL30" s="8" t="s">
        <v>1670</v>
      </c>
      <c r="AM30" s="8" t="s">
        <v>1671</v>
      </c>
      <c r="AN30" s="8" t="s">
        <v>1672</v>
      </c>
      <c r="AO30" s="8" t="s">
        <v>1673</v>
      </c>
      <c r="AP30" s="8" t="s">
        <v>1674</v>
      </c>
      <c r="AQ30" s="8" t="s">
        <v>969</v>
      </c>
      <c r="AR30" s="8" t="s">
        <v>1675</v>
      </c>
      <c r="AS30" s="8" t="s">
        <v>1676</v>
      </c>
      <c r="AT30" s="8" t="s">
        <v>969</v>
      </c>
      <c r="AU30" s="8">
        <v>2007.0</v>
      </c>
      <c r="AV30" s="8">
        <v>15.0</v>
      </c>
      <c r="AW30" s="8">
        <v>1.0</v>
      </c>
      <c r="AX30" s="8" t="s">
        <v>969</v>
      </c>
      <c r="AY30" s="8" t="s">
        <v>969</v>
      </c>
      <c r="AZ30" s="8" t="s">
        <v>969</v>
      </c>
      <c r="BA30" s="8" t="s">
        <v>969</v>
      </c>
      <c r="BB30" s="8">
        <v>41.0</v>
      </c>
      <c r="BC30" s="8">
        <v>53.0</v>
      </c>
      <c r="BD30" s="8" t="s">
        <v>969</v>
      </c>
      <c r="BE30" s="8" t="s">
        <v>578</v>
      </c>
      <c r="BF30" s="13" t="str">
        <f>HYPERLINK("http://dx.doi.org/10.1016/j.jnc.2006.09.001","http://dx.doi.org/10.1016/j.jnc.2006.09.001")</f>
        <v>http://dx.doi.org/10.1016/j.jnc.2006.09.001</v>
      </c>
      <c r="BG30" s="8" t="s">
        <v>969</v>
      </c>
      <c r="BH30" s="8" t="s">
        <v>969</v>
      </c>
      <c r="BI30" s="8">
        <v>13.0</v>
      </c>
      <c r="BJ30" s="8" t="s">
        <v>1286</v>
      </c>
      <c r="BK30" s="8" t="s">
        <v>988</v>
      </c>
      <c r="BL30" s="8" t="s">
        <v>989</v>
      </c>
      <c r="BM30" s="8" t="s">
        <v>1677</v>
      </c>
      <c r="BN30" s="8" t="s">
        <v>969</v>
      </c>
      <c r="BO30" s="8" t="s">
        <v>969</v>
      </c>
      <c r="BP30" s="8" t="s">
        <v>969</v>
      </c>
      <c r="BQ30" s="8" t="s">
        <v>969</v>
      </c>
      <c r="BR30" s="8" t="s">
        <v>3344</v>
      </c>
      <c r="BS30" s="8" t="s">
        <v>1678</v>
      </c>
      <c r="BT30" s="8" t="str">
        <f>HYPERLINK("https%3A%2F%2Fwww.webofscience.com%2Fwos%2Fwoscc%2Ffull-record%2FWOS:000245122300004","View Full Record in Web of Science")</f>
        <v>View Full Record in Web of Science</v>
      </c>
    </row>
    <row r="31" ht="12.75" customHeight="1">
      <c r="A31" s="8" t="s">
        <v>967</v>
      </c>
      <c r="B31" s="8" t="s">
        <v>1476</v>
      </c>
      <c r="C31" s="8" t="s">
        <v>969</v>
      </c>
      <c r="D31" s="8" t="s">
        <v>969</v>
      </c>
      <c r="E31" s="8" t="s">
        <v>969</v>
      </c>
      <c r="F31" s="8" t="s">
        <v>1476</v>
      </c>
      <c r="G31" s="8" t="s">
        <v>969</v>
      </c>
      <c r="H31" s="8" t="s">
        <v>969</v>
      </c>
      <c r="I31" s="8" t="s">
        <v>1477</v>
      </c>
      <c r="J31" s="8" t="s">
        <v>1377</v>
      </c>
      <c r="K31" s="8" t="s">
        <v>969</v>
      </c>
      <c r="L31" s="8" t="s">
        <v>969</v>
      </c>
      <c r="M31" s="8" t="s">
        <v>972</v>
      </c>
      <c r="N31" s="8" t="s">
        <v>973</v>
      </c>
      <c r="O31" s="8" t="s">
        <v>969</v>
      </c>
      <c r="P31" s="8" t="s">
        <v>969</v>
      </c>
      <c r="Q31" s="8" t="s">
        <v>969</v>
      </c>
      <c r="R31" s="8" t="s">
        <v>969</v>
      </c>
      <c r="S31" s="8" t="s">
        <v>969</v>
      </c>
      <c r="T31" s="8" t="s">
        <v>1478</v>
      </c>
      <c r="U31" s="8" t="s">
        <v>1479</v>
      </c>
      <c r="V31" s="8" t="s">
        <v>1480</v>
      </c>
      <c r="W31" s="8" t="s">
        <v>1481</v>
      </c>
      <c r="X31" s="8" t="s">
        <v>1482</v>
      </c>
      <c r="Y31" s="8" t="s">
        <v>1483</v>
      </c>
      <c r="Z31" s="8" t="s">
        <v>1484</v>
      </c>
      <c r="AA31" s="8" t="s">
        <v>1485</v>
      </c>
      <c r="AB31" s="8" t="s">
        <v>3361</v>
      </c>
      <c r="AC31" s="8" t="s">
        <v>969</v>
      </c>
      <c r="AD31" s="8" t="s">
        <v>969</v>
      </c>
      <c r="AE31" s="8" t="s">
        <v>969</v>
      </c>
      <c r="AF31" s="8" t="s">
        <v>969</v>
      </c>
      <c r="AG31" s="8">
        <v>40.0</v>
      </c>
      <c r="AH31" s="8">
        <v>128.0</v>
      </c>
      <c r="AI31" s="8">
        <v>157.0</v>
      </c>
      <c r="AJ31" s="8">
        <v>1.0</v>
      </c>
      <c r="AK31" s="8">
        <v>48.0</v>
      </c>
      <c r="AL31" s="8" t="s">
        <v>1387</v>
      </c>
      <c r="AM31" s="8" t="s">
        <v>1388</v>
      </c>
      <c r="AN31" s="8" t="s">
        <v>1389</v>
      </c>
      <c r="AO31" s="8" t="s">
        <v>1390</v>
      </c>
      <c r="AP31" s="8" t="s">
        <v>1391</v>
      </c>
      <c r="AQ31" s="8" t="s">
        <v>969</v>
      </c>
      <c r="AR31" s="8" t="s">
        <v>1392</v>
      </c>
      <c r="AS31" s="8" t="s">
        <v>1393</v>
      </c>
      <c r="AT31" s="8" t="s">
        <v>1487</v>
      </c>
      <c r="AU31" s="8">
        <v>2005.0</v>
      </c>
      <c r="AV31" s="8">
        <v>102.0</v>
      </c>
      <c r="AW31" s="8">
        <v>45.0</v>
      </c>
      <c r="AX31" s="8" t="s">
        <v>969</v>
      </c>
      <c r="AY31" s="8" t="s">
        <v>969</v>
      </c>
      <c r="AZ31" s="8" t="s">
        <v>969</v>
      </c>
      <c r="BA31" s="8" t="s">
        <v>969</v>
      </c>
      <c r="BB31" s="8">
        <v>16281.0</v>
      </c>
      <c r="BC31" s="8">
        <v>16286.0</v>
      </c>
      <c r="BD31" s="8" t="s">
        <v>969</v>
      </c>
      <c r="BE31" s="8" t="s">
        <v>638</v>
      </c>
      <c r="BF31" s="13" t="str">
        <f>HYPERLINK("http://dx.doi.org/10.1073/pnas.0501427102","http://dx.doi.org/10.1073/pnas.0501427102")</f>
        <v>http://dx.doi.org/10.1073/pnas.0501427102</v>
      </c>
      <c r="BG31" s="8" t="s">
        <v>969</v>
      </c>
      <c r="BH31" s="8" t="s">
        <v>969</v>
      </c>
      <c r="BI31" s="8">
        <v>6.0</v>
      </c>
      <c r="BJ31" s="8" t="s">
        <v>1076</v>
      </c>
      <c r="BK31" s="8" t="s">
        <v>988</v>
      </c>
      <c r="BL31" s="8" t="s">
        <v>1077</v>
      </c>
      <c r="BM31" s="8" t="s">
        <v>1488</v>
      </c>
      <c r="BN31" s="8">
        <v>1.626075E7</v>
      </c>
      <c r="BO31" s="8" t="s">
        <v>1227</v>
      </c>
      <c r="BP31" s="8" t="s">
        <v>969</v>
      </c>
      <c r="BQ31" s="8" t="s">
        <v>969</v>
      </c>
      <c r="BR31" s="8" t="s">
        <v>3344</v>
      </c>
      <c r="BS31" s="8" t="s">
        <v>1489</v>
      </c>
      <c r="BT31" s="8" t="str">
        <f>HYPERLINK("https%3A%2F%2Fwww.webofscience.com%2Fwos%2Fwoscc%2Ffull-record%2FWOS:000233283700029","View Full Record in Web of Science")</f>
        <v>View Full Record in Web of Science</v>
      </c>
    </row>
    <row r="32" ht="12.75" customHeight="1">
      <c r="A32" s="8" t="s">
        <v>967</v>
      </c>
      <c r="B32" s="8" t="s">
        <v>998</v>
      </c>
      <c r="C32" s="8" t="s">
        <v>969</v>
      </c>
      <c r="D32" s="8" t="s">
        <v>969</v>
      </c>
      <c r="E32" s="8" t="s">
        <v>969</v>
      </c>
      <c r="F32" s="8" t="s">
        <v>998</v>
      </c>
      <c r="G32" s="8" t="s">
        <v>969</v>
      </c>
      <c r="H32" s="8" t="s">
        <v>969</v>
      </c>
      <c r="I32" s="8" t="s">
        <v>999</v>
      </c>
      <c r="J32" s="8" t="s">
        <v>1000</v>
      </c>
      <c r="K32" s="8" t="s">
        <v>969</v>
      </c>
      <c r="L32" s="8" t="s">
        <v>969</v>
      </c>
      <c r="M32" s="8" t="s">
        <v>972</v>
      </c>
      <c r="N32" s="8" t="s">
        <v>973</v>
      </c>
      <c r="O32" s="8" t="s">
        <v>969</v>
      </c>
      <c r="P32" s="8" t="s">
        <v>969</v>
      </c>
      <c r="Q32" s="8" t="s">
        <v>969</v>
      </c>
      <c r="R32" s="8" t="s">
        <v>969</v>
      </c>
      <c r="S32" s="8" t="s">
        <v>969</v>
      </c>
      <c r="T32" s="8" t="s">
        <v>1001</v>
      </c>
      <c r="U32" s="8" t="s">
        <v>1002</v>
      </c>
      <c r="V32" s="8" t="s">
        <v>1003</v>
      </c>
      <c r="W32" s="8" t="s">
        <v>1004</v>
      </c>
      <c r="X32" s="8" t="s">
        <v>1005</v>
      </c>
      <c r="Y32" s="8" t="s">
        <v>1006</v>
      </c>
      <c r="Z32" s="8" t="s">
        <v>1007</v>
      </c>
      <c r="AA32" s="8" t="s">
        <v>3135</v>
      </c>
      <c r="AB32" s="8" t="s">
        <v>3136</v>
      </c>
      <c r="AC32" s="8" t="s">
        <v>969</v>
      </c>
      <c r="AD32" s="8" t="s">
        <v>969</v>
      </c>
      <c r="AE32" s="8" t="s">
        <v>969</v>
      </c>
      <c r="AF32" s="8" t="s">
        <v>969</v>
      </c>
      <c r="AG32" s="8">
        <v>93.0</v>
      </c>
      <c r="AH32" s="8">
        <v>55.0</v>
      </c>
      <c r="AI32" s="8">
        <v>60.0</v>
      </c>
      <c r="AJ32" s="8">
        <v>1.0</v>
      </c>
      <c r="AK32" s="8">
        <v>30.0</v>
      </c>
      <c r="AL32" s="8" t="s">
        <v>1010</v>
      </c>
      <c r="AM32" s="8" t="s">
        <v>1011</v>
      </c>
      <c r="AN32" s="8" t="s">
        <v>1012</v>
      </c>
      <c r="AO32" s="8" t="s">
        <v>1013</v>
      </c>
      <c r="AP32" s="8" t="s">
        <v>969</v>
      </c>
      <c r="AQ32" s="8" t="s">
        <v>969</v>
      </c>
      <c r="AR32" s="8" t="s">
        <v>1014</v>
      </c>
      <c r="AS32" s="8" t="s">
        <v>1015</v>
      </c>
      <c r="AT32" s="8" t="s">
        <v>1016</v>
      </c>
      <c r="AU32" s="8">
        <v>1998.0</v>
      </c>
      <c r="AV32" s="8">
        <v>25.0</v>
      </c>
      <c r="AW32" s="8">
        <v>1.0</v>
      </c>
      <c r="AX32" s="8" t="s">
        <v>969</v>
      </c>
      <c r="AY32" s="8" t="s">
        <v>969</v>
      </c>
      <c r="AZ32" s="8" t="s">
        <v>969</v>
      </c>
      <c r="BA32" s="8" t="s">
        <v>969</v>
      </c>
      <c r="BB32" s="8">
        <v>111.0</v>
      </c>
      <c r="BC32" s="8">
        <v>122.0</v>
      </c>
      <c r="BD32" s="8" t="s">
        <v>969</v>
      </c>
      <c r="BE32" s="8" t="s">
        <v>620</v>
      </c>
      <c r="BF32" s="13" t="str">
        <f>HYPERLINK("http://dx.doi.org/10.1046/j.1365-2699.1998.251192.x","http://dx.doi.org/10.1046/j.1365-2699.1998.251192.x")</f>
        <v>http://dx.doi.org/10.1046/j.1365-2699.1998.251192.x</v>
      </c>
      <c r="BG32" s="8" t="s">
        <v>969</v>
      </c>
      <c r="BH32" s="8" t="s">
        <v>969</v>
      </c>
      <c r="BI32" s="8">
        <v>12.0</v>
      </c>
      <c r="BJ32" s="8" t="s">
        <v>1017</v>
      </c>
      <c r="BK32" s="8" t="s">
        <v>988</v>
      </c>
      <c r="BL32" s="8" t="s">
        <v>1018</v>
      </c>
      <c r="BM32" s="8" t="s">
        <v>1019</v>
      </c>
      <c r="BN32" s="8" t="s">
        <v>969</v>
      </c>
      <c r="BO32" s="8" t="s">
        <v>969</v>
      </c>
      <c r="BP32" s="8" t="s">
        <v>969</v>
      </c>
      <c r="BQ32" s="8" t="s">
        <v>969</v>
      </c>
      <c r="BR32" s="8" t="s">
        <v>3344</v>
      </c>
      <c r="BS32" s="8" t="s">
        <v>1020</v>
      </c>
      <c r="BT32" s="8" t="str">
        <f>HYPERLINK("https%3A%2F%2Fwww.webofscience.com%2Fwos%2Fwoscc%2Ffull-record%2FWOS:000073382800011","View Full Record in Web of Science")</f>
        <v>View Full Record in Web of Science</v>
      </c>
    </row>
    <row r="33" ht="12.75" customHeight="1">
      <c r="A33" s="8" t="s">
        <v>967</v>
      </c>
      <c r="B33" s="8" t="s">
        <v>2114</v>
      </c>
      <c r="C33" s="8" t="s">
        <v>969</v>
      </c>
      <c r="D33" s="8" t="s">
        <v>969</v>
      </c>
      <c r="E33" s="8" t="s">
        <v>969</v>
      </c>
      <c r="F33" s="8" t="s">
        <v>2115</v>
      </c>
      <c r="G33" s="8" t="s">
        <v>969</v>
      </c>
      <c r="H33" s="8" t="s">
        <v>969</v>
      </c>
      <c r="I33" s="8" t="s">
        <v>2116</v>
      </c>
      <c r="J33" s="8" t="s">
        <v>971</v>
      </c>
      <c r="K33" s="8" t="s">
        <v>969</v>
      </c>
      <c r="L33" s="8" t="s">
        <v>969</v>
      </c>
      <c r="M33" s="8" t="s">
        <v>972</v>
      </c>
      <c r="N33" s="8" t="s">
        <v>973</v>
      </c>
      <c r="O33" s="8" t="s">
        <v>969</v>
      </c>
      <c r="P33" s="8" t="s">
        <v>969</v>
      </c>
      <c r="Q33" s="8" t="s">
        <v>969</v>
      </c>
      <c r="R33" s="8" t="s">
        <v>969</v>
      </c>
      <c r="S33" s="8" t="s">
        <v>969</v>
      </c>
      <c r="T33" s="8" t="s">
        <v>2117</v>
      </c>
      <c r="U33" s="8" t="s">
        <v>2118</v>
      </c>
      <c r="V33" s="8" t="s">
        <v>2119</v>
      </c>
      <c r="W33" s="8" t="s">
        <v>2120</v>
      </c>
      <c r="X33" s="8" t="s">
        <v>3262</v>
      </c>
      <c r="Y33" s="8" t="s">
        <v>2122</v>
      </c>
      <c r="Z33" s="8" t="s">
        <v>2123</v>
      </c>
      <c r="AA33" s="8" t="s">
        <v>3362</v>
      </c>
      <c r="AB33" s="8" t="s">
        <v>3363</v>
      </c>
      <c r="AC33" s="8" t="s">
        <v>2126</v>
      </c>
      <c r="AD33" s="8" t="s">
        <v>2127</v>
      </c>
      <c r="AE33" s="8" t="s">
        <v>2128</v>
      </c>
      <c r="AF33" s="8" t="s">
        <v>969</v>
      </c>
      <c r="AG33" s="8">
        <v>73.0</v>
      </c>
      <c r="AH33" s="8">
        <v>449.0</v>
      </c>
      <c r="AI33" s="8">
        <v>501.0</v>
      </c>
      <c r="AJ33" s="8">
        <v>2.0</v>
      </c>
      <c r="AK33" s="8">
        <v>300.0</v>
      </c>
      <c r="AL33" s="8" t="s">
        <v>1091</v>
      </c>
      <c r="AM33" s="8" t="s">
        <v>1092</v>
      </c>
      <c r="AN33" s="8" t="s">
        <v>1093</v>
      </c>
      <c r="AO33" s="8" t="s">
        <v>983</v>
      </c>
      <c r="AP33" s="8" t="s">
        <v>1094</v>
      </c>
      <c r="AQ33" s="8" t="s">
        <v>969</v>
      </c>
      <c r="AR33" s="8" t="s">
        <v>1095</v>
      </c>
      <c r="AS33" s="8" t="s">
        <v>985</v>
      </c>
      <c r="AT33" s="8" t="s">
        <v>1285</v>
      </c>
      <c r="AU33" s="8">
        <v>2009.0</v>
      </c>
      <c r="AV33" s="8">
        <v>15.0</v>
      </c>
      <c r="AW33" s="8">
        <v>6.0</v>
      </c>
      <c r="AX33" s="8" t="s">
        <v>969</v>
      </c>
      <c r="AY33" s="8" t="s">
        <v>969</v>
      </c>
      <c r="AZ33" s="8" t="s">
        <v>969</v>
      </c>
      <c r="BA33" s="8" t="s">
        <v>969</v>
      </c>
      <c r="BB33" s="8">
        <v>1557.0</v>
      </c>
      <c r="BC33" s="8">
        <v>1569.0</v>
      </c>
      <c r="BD33" s="8" t="s">
        <v>969</v>
      </c>
      <c r="BE33" s="8" t="s">
        <v>713</v>
      </c>
      <c r="BF33" s="13" t="str">
        <f>HYPERLINK("http://dx.doi.org/10.1111/j.1365-2486.2008.01766.x","http://dx.doi.org/10.1111/j.1365-2486.2008.01766.x")</f>
        <v>http://dx.doi.org/10.1111/j.1365-2486.2008.01766.x</v>
      </c>
      <c r="BG33" s="8" t="s">
        <v>969</v>
      </c>
      <c r="BH33" s="8" t="s">
        <v>969</v>
      </c>
      <c r="BI33" s="8">
        <v>13.0</v>
      </c>
      <c r="BJ33" s="8" t="s">
        <v>987</v>
      </c>
      <c r="BK33" s="8" t="s">
        <v>988</v>
      </c>
      <c r="BL33" s="8" t="s">
        <v>989</v>
      </c>
      <c r="BM33" s="8" t="s">
        <v>2129</v>
      </c>
      <c r="BN33" s="8" t="s">
        <v>969</v>
      </c>
      <c r="BO33" s="8" t="s">
        <v>969</v>
      </c>
      <c r="BP33" s="8" t="s">
        <v>969</v>
      </c>
      <c r="BQ33" s="8" t="s">
        <v>969</v>
      </c>
      <c r="BR33" s="8" t="s">
        <v>3344</v>
      </c>
      <c r="BS33" s="8" t="s">
        <v>2130</v>
      </c>
      <c r="BT33" s="8" t="str">
        <f>HYPERLINK("https%3A%2F%2Fwww.webofscience.com%2Fwos%2Fwoscc%2Ffull-record%2FWOS:000265771400016","View Full Record in Web of Science")</f>
        <v>View Full Record in Web of Science</v>
      </c>
    </row>
    <row r="34" ht="12.75" customHeight="1">
      <c r="A34" s="8" t="s">
        <v>967</v>
      </c>
      <c r="B34" s="8" t="s">
        <v>2070</v>
      </c>
      <c r="C34" s="8" t="s">
        <v>969</v>
      </c>
      <c r="D34" s="8" t="s">
        <v>969</v>
      </c>
      <c r="E34" s="8" t="s">
        <v>969</v>
      </c>
      <c r="F34" s="8" t="s">
        <v>2071</v>
      </c>
      <c r="G34" s="8" t="s">
        <v>969</v>
      </c>
      <c r="H34" s="8" t="s">
        <v>969</v>
      </c>
      <c r="I34" s="8" t="s">
        <v>2072</v>
      </c>
      <c r="J34" s="8" t="s">
        <v>1273</v>
      </c>
      <c r="K34" s="8" t="s">
        <v>969</v>
      </c>
      <c r="L34" s="8" t="s">
        <v>969</v>
      </c>
      <c r="M34" s="8" t="s">
        <v>972</v>
      </c>
      <c r="N34" s="8" t="s">
        <v>973</v>
      </c>
      <c r="O34" s="8" t="s">
        <v>969</v>
      </c>
      <c r="P34" s="8" t="s">
        <v>969</v>
      </c>
      <c r="Q34" s="8" t="s">
        <v>969</v>
      </c>
      <c r="R34" s="8" t="s">
        <v>969</v>
      </c>
      <c r="S34" s="8" t="s">
        <v>969</v>
      </c>
      <c r="T34" s="8" t="s">
        <v>969</v>
      </c>
      <c r="U34" s="8" t="s">
        <v>2073</v>
      </c>
      <c r="V34" s="8" t="s">
        <v>2074</v>
      </c>
      <c r="W34" s="8" t="s">
        <v>2075</v>
      </c>
      <c r="X34" s="8" t="s">
        <v>2076</v>
      </c>
      <c r="Y34" s="8" t="s">
        <v>2077</v>
      </c>
      <c r="Z34" s="8" t="s">
        <v>2078</v>
      </c>
      <c r="AA34" s="8" t="s">
        <v>3364</v>
      </c>
      <c r="AB34" s="8" t="s">
        <v>3365</v>
      </c>
      <c r="AC34" s="8" t="s">
        <v>2081</v>
      </c>
      <c r="AD34" s="8" t="s">
        <v>2082</v>
      </c>
      <c r="AE34" s="8" t="s">
        <v>2083</v>
      </c>
      <c r="AF34" s="8" t="s">
        <v>969</v>
      </c>
      <c r="AG34" s="8">
        <v>55.0</v>
      </c>
      <c r="AH34" s="8">
        <v>239.0</v>
      </c>
      <c r="AI34" s="8">
        <v>267.0</v>
      </c>
      <c r="AJ34" s="8">
        <v>2.0</v>
      </c>
      <c r="AK34" s="8">
        <v>122.0</v>
      </c>
      <c r="AL34" s="8" t="s">
        <v>1091</v>
      </c>
      <c r="AM34" s="8" t="s">
        <v>1092</v>
      </c>
      <c r="AN34" s="8" t="s">
        <v>1093</v>
      </c>
      <c r="AO34" s="8" t="s">
        <v>1282</v>
      </c>
      <c r="AP34" s="8" t="s">
        <v>1283</v>
      </c>
      <c r="AQ34" s="8" t="s">
        <v>969</v>
      </c>
      <c r="AR34" s="8" t="s">
        <v>1273</v>
      </c>
      <c r="AS34" s="8" t="s">
        <v>1284</v>
      </c>
      <c r="AT34" s="8" t="s">
        <v>1036</v>
      </c>
      <c r="AU34" s="8">
        <v>2009.0</v>
      </c>
      <c r="AV34" s="8">
        <v>32.0</v>
      </c>
      <c r="AW34" s="8">
        <v>1.0</v>
      </c>
      <c r="AX34" s="8" t="s">
        <v>969</v>
      </c>
      <c r="AY34" s="8" t="s">
        <v>969</v>
      </c>
      <c r="AZ34" s="8" t="s">
        <v>969</v>
      </c>
      <c r="BA34" s="8" t="s">
        <v>969</v>
      </c>
      <c r="BB34" s="8">
        <v>34.0</v>
      </c>
      <c r="BC34" s="8">
        <v>45.0</v>
      </c>
      <c r="BD34" s="8" t="s">
        <v>969</v>
      </c>
      <c r="BE34" s="8" t="s">
        <v>782</v>
      </c>
      <c r="BF34" s="13" t="str">
        <f>HYPERLINK("http://dx.doi.org/10.1111/j.1600-0587.2009.05789.x","http://dx.doi.org/10.1111/j.1600-0587.2009.05789.x")</f>
        <v>http://dx.doi.org/10.1111/j.1600-0587.2009.05789.x</v>
      </c>
      <c r="BG34" s="8" t="s">
        <v>969</v>
      </c>
      <c r="BH34" s="8" t="s">
        <v>969</v>
      </c>
      <c r="BI34" s="8">
        <v>12.0</v>
      </c>
      <c r="BJ34" s="8" t="s">
        <v>1286</v>
      </c>
      <c r="BK34" s="8" t="s">
        <v>988</v>
      </c>
      <c r="BL34" s="8" t="s">
        <v>989</v>
      </c>
      <c r="BM34" s="8" t="s">
        <v>2084</v>
      </c>
      <c r="BN34" s="8" t="s">
        <v>969</v>
      </c>
      <c r="BO34" s="8" t="s">
        <v>2085</v>
      </c>
      <c r="BP34" s="8" t="s">
        <v>969</v>
      </c>
      <c r="BQ34" s="8" t="s">
        <v>969</v>
      </c>
      <c r="BR34" s="8" t="s">
        <v>3344</v>
      </c>
      <c r="BS34" s="8" t="s">
        <v>2086</v>
      </c>
      <c r="BT34" s="8" t="str">
        <f>HYPERLINK("https%3A%2F%2Fwww.webofscience.com%2Fwos%2Fwoscc%2Ffull-record%2FWOS:000264880300005","View Full Record in Web of Science")</f>
        <v>View Full Record in Web of Science</v>
      </c>
    </row>
    <row r="35" ht="12.75" customHeight="1">
      <c r="A35" s="8" t="s">
        <v>967</v>
      </c>
      <c r="B35" s="8" t="s">
        <v>1971</v>
      </c>
      <c r="C35" s="8" t="s">
        <v>969</v>
      </c>
      <c r="D35" s="8" t="s">
        <v>969</v>
      </c>
      <c r="E35" s="8" t="s">
        <v>969</v>
      </c>
      <c r="F35" s="8" t="s">
        <v>1972</v>
      </c>
      <c r="G35" s="8" t="s">
        <v>969</v>
      </c>
      <c r="H35" s="8" t="s">
        <v>969</v>
      </c>
      <c r="I35" s="8" t="s">
        <v>1973</v>
      </c>
      <c r="J35" s="8" t="s">
        <v>1974</v>
      </c>
      <c r="K35" s="8" t="s">
        <v>969</v>
      </c>
      <c r="L35" s="8" t="s">
        <v>969</v>
      </c>
      <c r="M35" s="8" t="s">
        <v>972</v>
      </c>
      <c r="N35" s="8" t="s">
        <v>973</v>
      </c>
      <c r="O35" s="8" t="s">
        <v>969</v>
      </c>
      <c r="P35" s="8" t="s">
        <v>969</v>
      </c>
      <c r="Q35" s="8" t="s">
        <v>969</v>
      </c>
      <c r="R35" s="8" t="s">
        <v>969</v>
      </c>
      <c r="S35" s="8" t="s">
        <v>969</v>
      </c>
      <c r="T35" s="8" t="s">
        <v>969</v>
      </c>
      <c r="U35" s="8" t="s">
        <v>969</v>
      </c>
      <c r="V35" s="8" t="s">
        <v>1975</v>
      </c>
      <c r="W35" s="8" t="s">
        <v>1976</v>
      </c>
      <c r="X35" s="8" t="s">
        <v>1977</v>
      </c>
      <c r="Y35" s="8" t="s">
        <v>1978</v>
      </c>
      <c r="Z35" s="8" t="s">
        <v>1979</v>
      </c>
      <c r="AA35" s="8" t="s">
        <v>1980</v>
      </c>
      <c r="AB35" s="8" t="s">
        <v>1981</v>
      </c>
      <c r="AC35" s="8" t="s">
        <v>1982</v>
      </c>
      <c r="AD35" s="8" t="s">
        <v>1983</v>
      </c>
      <c r="AE35" s="8" t="s">
        <v>1984</v>
      </c>
      <c r="AF35" s="8" t="s">
        <v>969</v>
      </c>
      <c r="AG35" s="8">
        <v>47.0</v>
      </c>
      <c r="AH35" s="8">
        <v>220.0</v>
      </c>
      <c r="AI35" s="8">
        <v>245.0</v>
      </c>
      <c r="AJ35" s="8">
        <v>0.0</v>
      </c>
      <c r="AK35" s="8">
        <v>96.0</v>
      </c>
      <c r="AL35" s="8" t="s">
        <v>1985</v>
      </c>
      <c r="AM35" s="8" t="s">
        <v>1986</v>
      </c>
      <c r="AN35" s="8" t="s">
        <v>1987</v>
      </c>
      <c r="AO35" s="8" t="s">
        <v>1988</v>
      </c>
      <c r="AP35" s="8" t="s">
        <v>969</v>
      </c>
      <c r="AQ35" s="8" t="s">
        <v>969</v>
      </c>
      <c r="AR35" s="8" t="s">
        <v>1974</v>
      </c>
      <c r="AS35" s="8" t="s">
        <v>1989</v>
      </c>
      <c r="AT35" s="8" t="s">
        <v>1990</v>
      </c>
      <c r="AU35" s="8">
        <v>2008.0</v>
      </c>
      <c r="AV35" s="8">
        <v>3.0</v>
      </c>
      <c r="AW35" s="8">
        <v>1.0</v>
      </c>
      <c r="AX35" s="8" t="s">
        <v>969</v>
      </c>
      <c r="AY35" s="8" t="s">
        <v>969</v>
      </c>
      <c r="AZ35" s="8" t="s">
        <v>969</v>
      </c>
      <c r="BA35" s="8" t="s">
        <v>969</v>
      </c>
      <c r="BB35" s="8" t="s">
        <v>969</v>
      </c>
      <c r="BC35" s="8" t="s">
        <v>969</v>
      </c>
      <c r="BD35" s="8" t="s">
        <v>1991</v>
      </c>
      <c r="BE35" s="8" t="s">
        <v>809</v>
      </c>
      <c r="BF35" s="13" t="str">
        <f>HYPERLINK("http://dx.doi.org/10.1371/journal.pone.0001439","http://dx.doi.org/10.1371/journal.pone.0001439")</f>
        <v>http://dx.doi.org/10.1371/journal.pone.0001439</v>
      </c>
      <c r="BG35" s="8" t="s">
        <v>969</v>
      </c>
      <c r="BH35" s="8" t="s">
        <v>969</v>
      </c>
      <c r="BI35" s="8">
        <v>11.0</v>
      </c>
      <c r="BJ35" s="8" t="s">
        <v>1076</v>
      </c>
      <c r="BK35" s="8" t="s">
        <v>988</v>
      </c>
      <c r="BL35" s="8" t="s">
        <v>1077</v>
      </c>
      <c r="BM35" s="8" t="s">
        <v>1992</v>
      </c>
      <c r="BN35" s="8">
        <v>1.819725E7</v>
      </c>
      <c r="BO35" s="8" t="s">
        <v>1993</v>
      </c>
      <c r="BP35" s="8" t="s">
        <v>969</v>
      </c>
      <c r="BQ35" s="8" t="s">
        <v>969</v>
      </c>
      <c r="BR35" s="8" t="s">
        <v>3344</v>
      </c>
      <c r="BS35" s="8" t="s">
        <v>1994</v>
      </c>
      <c r="BT35" s="8" t="str">
        <f>HYPERLINK("https%3A%2F%2Fwww.webofscience.com%2Fwos%2Fwoscc%2Ffull-record%2FWOS:000260503800011","View Full Record in Web of Science")</f>
        <v>View Full Record in Web of Science</v>
      </c>
    </row>
    <row r="36" ht="12.75" customHeight="1">
      <c r="A36" s="8" t="s">
        <v>967</v>
      </c>
      <c r="B36" s="8" t="s">
        <v>1502</v>
      </c>
      <c r="C36" s="8" t="s">
        <v>969</v>
      </c>
      <c r="D36" s="8" t="s">
        <v>969</v>
      </c>
      <c r="E36" s="8" t="s">
        <v>969</v>
      </c>
      <c r="F36" s="8" t="s">
        <v>1502</v>
      </c>
      <c r="G36" s="8" t="s">
        <v>969</v>
      </c>
      <c r="H36" s="8" t="s">
        <v>969</v>
      </c>
      <c r="I36" s="8" t="s">
        <v>1503</v>
      </c>
      <c r="J36" s="8" t="s">
        <v>1504</v>
      </c>
      <c r="K36" s="8" t="s">
        <v>969</v>
      </c>
      <c r="L36" s="8" t="s">
        <v>969</v>
      </c>
      <c r="M36" s="8" t="s">
        <v>972</v>
      </c>
      <c r="N36" s="8" t="s">
        <v>973</v>
      </c>
      <c r="O36" s="8" t="s">
        <v>969</v>
      </c>
      <c r="P36" s="8" t="s">
        <v>969</v>
      </c>
      <c r="Q36" s="8" t="s">
        <v>969</v>
      </c>
      <c r="R36" s="8" t="s">
        <v>969</v>
      </c>
      <c r="S36" s="8" t="s">
        <v>969</v>
      </c>
      <c r="T36" s="8" t="s">
        <v>1505</v>
      </c>
      <c r="U36" s="8" t="s">
        <v>1506</v>
      </c>
      <c r="V36" s="8" t="s">
        <v>1507</v>
      </c>
      <c r="W36" s="8" t="s">
        <v>1508</v>
      </c>
      <c r="X36" s="8" t="s">
        <v>1509</v>
      </c>
      <c r="Y36" s="8" t="s">
        <v>1510</v>
      </c>
      <c r="Z36" s="8" t="s">
        <v>1511</v>
      </c>
      <c r="AA36" s="8" t="s">
        <v>1512</v>
      </c>
      <c r="AB36" s="8" t="s">
        <v>1513</v>
      </c>
      <c r="AC36" s="8" t="s">
        <v>969</v>
      </c>
      <c r="AD36" s="8" t="s">
        <v>969</v>
      </c>
      <c r="AE36" s="8" t="s">
        <v>969</v>
      </c>
      <c r="AF36" s="8" t="s">
        <v>969</v>
      </c>
      <c r="AG36" s="8">
        <v>43.0</v>
      </c>
      <c r="AH36" s="8">
        <v>39.0</v>
      </c>
      <c r="AI36" s="8">
        <v>51.0</v>
      </c>
      <c r="AJ36" s="8">
        <v>0.0</v>
      </c>
      <c r="AK36" s="8">
        <v>22.0</v>
      </c>
      <c r="AL36" s="8" t="s">
        <v>1192</v>
      </c>
      <c r="AM36" s="8" t="s">
        <v>1193</v>
      </c>
      <c r="AN36" s="8" t="s">
        <v>1194</v>
      </c>
      <c r="AO36" s="8" t="s">
        <v>1514</v>
      </c>
      <c r="AP36" s="8" t="s">
        <v>1515</v>
      </c>
      <c r="AQ36" s="8" t="s">
        <v>969</v>
      </c>
      <c r="AR36" s="8" t="s">
        <v>1516</v>
      </c>
      <c r="AS36" s="8" t="s">
        <v>1517</v>
      </c>
      <c r="AT36" s="8" t="s">
        <v>1036</v>
      </c>
      <c r="AU36" s="8">
        <v>2006.0</v>
      </c>
      <c r="AV36" s="8">
        <v>16.0</v>
      </c>
      <c r="AW36" s="8">
        <v>1.0</v>
      </c>
      <c r="AX36" s="8" t="s">
        <v>969</v>
      </c>
      <c r="AY36" s="8" t="s">
        <v>969</v>
      </c>
      <c r="AZ36" s="8" t="s">
        <v>969</v>
      </c>
      <c r="BA36" s="8" t="s">
        <v>969</v>
      </c>
      <c r="BB36" s="8">
        <v>19.0</v>
      </c>
      <c r="BC36" s="8">
        <v>28.0</v>
      </c>
      <c r="BD36" s="8" t="s">
        <v>969</v>
      </c>
      <c r="BE36" s="8" t="s">
        <v>575</v>
      </c>
      <c r="BF36" s="13" t="str">
        <f>HYPERLINK("http://dx.doi.org/10.1016/j.gloenvcha.2005.11.001","http://dx.doi.org/10.1016/j.gloenvcha.2005.11.001")</f>
        <v>http://dx.doi.org/10.1016/j.gloenvcha.2005.11.001</v>
      </c>
      <c r="BG36" s="8" t="s">
        <v>969</v>
      </c>
      <c r="BH36" s="8" t="s">
        <v>969</v>
      </c>
      <c r="BI36" s="8">
        <v>10.0</v>
      </c>
      <c r="BJ36" s="8" t="s">
        <v>1518</v>
      </c>
      <c r="BK36" s="8" t="s">
        <v>1519</v>
      </c>
      <c r="BL36" s="8" t="s">
        <v>1520</v>
      </c>
      <c r="BM36" s="8" t="s">
        <v>1521</v>
      </c>
      <c r="BN36" s="8" t="s">
        <v>969</v>
      </c>
      <c r="BO36" s="8" t="s">
        <v>969</v>
      </c>
      <c r="BP36" s="8" t="s">
        <v>969</v>
      </c>
      <c r="BQ36" s="8" t="s">
        <v>969</v>
      </c>
      <c r="BR36" s="8" t="s">
        <v>3344</v>
      </c>
      <c r="BS36" s="8" t="s">
        <v>1522</v>
      </c>
      <c r="BT36" s="8" t="str">
        <f>HYPERLINK("https%3A%2F%2Fwww.webofscience.com%2Fwos%2Fwoscc%2Ffull-record%2FWOS:000235424500004","View Full Record in Web of Science")</f>
        <v>View Full Record in Web of Science</v>
      </c>
    </row>
    <row r="37" ht="12.75" customHeight="1">
      <c r="A37" s="8" t="s">
        <v>967</v>
      </c>
      <c r="B37" s="8" t="s">
        <v>1375</v>
      </c>
      <c r="C37" s="8" t="s">
        <v>969</v>
      </c>
      <c r="D37" s="8" t="s">
        <v>969</v>
      </c>
      <c r="E37" s="8" t="s">
        <v>969</v>
      </c>
      <c r="F37" s="8" t="s">
        <v>1375</v>
      </c>
      <c r="G37" s="8" t="s">
        <v>969</v>
      </c>
      <c r="H37" s="8" t="s">
        <v>969</v>
      </c>
      <c r="I37" s="8" t="s">
        <v>1376</v>
      </c>
      <c r="J37" s="8" t="s">
        <v>1377</v>
      </c>
      <c r="K37" s="8" t="s">
        <v>969</v>
      </c>
      <c r="L37" s="8" t="s">
        <v>969</v>
      </c>
      <c r="M37" s="8" t="s">
        <v>972</v>
      </c>
      <c r="N37" s="8" t="s">
        <v>973</v>
      </c>
      <c r="O37" s="8" t="s">
        <v>969</v>
      </c>
      <c r="P37" s="8" t="s">
        <v>969</v>
      </c>
      <c r="Q37" s="8" t="s">
        <v>969</v>
      </c>
      <c r="R37" s="8" t="s">
        <v>969</v>
      </c>
      <c r="S37" s="8" t="s">
        <v>969</v>
      </c>
      <c r="T37" s="8" t="s">
        <v>1378</v>
      </c>
      <c r="U37" s="8" t="s">
        <v>1379</v>
      </c>
      <c r="V37" s="8" t="s">
        <v>1380</v>
      </c>
      <c r="W37" s="8" t="s">
        <v>1381</v>
      </c>
      <c r="X37" s="8" t="s">
        <v>3366</v>
      </c>
      <c r="Y37" s="8" t="s">
        <v>1383</v>
      </c>
      <c r="Z37" s="8" t="s">
        <v>1384</v>
      </c>
      <c r="AA37" s="8" t="s">
        <v>3367</v>
      </c>
      <c r="AB37" s="8" t="s">
        <v>1386</v>
      </c>
      <c r="AC37" s="8" t="s">
        <v>969</v>
      </c>
      <c r="AD37" s="8" t="s">
        <v>969</v>
      </c>
      <c r="AE37" s="8" t="s">
        <v>969</v>
      </c>
      <c r="AF37" s="8" t="s">
        <v>969</v>
      </c>
      <c r="AG37" s="8">
        <v>40.0</v>
      </c>
      <c r="AH37" s="8">
        <v>1873.0</v>
      </c>
      <c r="AI37" s="8">
        <v>2174.0</v>
      </c>
      <c r="AJ37" s="8">
        <v>9.0</v>
      </c>
      <c r="AK37" s="8">
        <v>913.0</v>
      </c>
      <c r="AL37" s="8" t="s">
        <v>1387</v>
      </c>
      <c r="AM37" s="8" t="s">
        <v>1388</v>
      </c>
      <c r="AN37" s="8" t="s">
        <v>1389</v>
      </c>
      <c r="AO37" s="8" t="s">
        <v>1390</v>
      </c>
      <c r="AP37" s="8" t="s">
        <v>1391</v>
      </c>
      <c r="AQ37" s="8" t="s">
        <v>969</v>
      </c>
      <c r="AR37" s="8" t="s">
        <v>1392</v>
      </c>
      <c r="AS37" s="8" t="s">
        <v>1393</v>
      </c>
      <c r="AT37" s="8" t="s">
        <v>1394</v>
      </c>
      <c r="AU37" s="8">
        <v>2005.0</v>
      </c>
      <c r="AV37" s="8">
        <v>102.0</v>
      </c>
      <c r="AW37" s="8">
        <v>23.0</v>
      </c>
      <c r="AX37" s="8" t="s">
        <v>969</v>
      </c>
      <c r="AY37" s="8" t="s">
        <v>969</v>
      </c>
      <c r="AZ37" s="8" t="s">
        <v>969</v>
      </c>
      <c r="BA37" s="8" t="s">
        <v>969</v>
      </c>
      <c r="BB37" s="8">
        <v>8245.0</v>
      </c>
      <c r="BC37" s="8">
        <v>8250.0</v>
      </c>
      <c r="BD37" s="8" t="s">
        <v>969</v>
      </c>
      <c r="BE37" s="8" t="s">
        <v>635</v>
      </c>
      <c r="BF37" s="13" t="str">
        <f>HYPERLINK("http://dx.doi.org/10.1073/pnas.0409902102","http://dx.doi.org/10.1073/pnas.0409902102")</f>
        <v>http://dx.doi.org/10.1073/pnas.0409902102</v>
      </c>
      <c r="BG37" s="8" t="s">
        <v>969</v>
      </c>
      <c r="BH37" s="8" t="s">
        <v>969</v>
      </c>
      <c r="BI37" s="8">
        <v>6.0</v>
      </c>
      <c r="BJ37" s="8" t="s">
        <v>1076</v>
      </c>
      <c r="BK37" s="8" t="s">
        <v>988</v>
      </c>
      <c r="BL37" s="8" t="s">
        <v>1077</v>
      </c>
      <c r="BM37" s="8" t="s">
        <v>1395</v>
      </c>
      <c r="BN37" s="8">
        <v>1.5919825E7</v>
      </c>
      <c r="BO37" s="8" t="s">
        <v>1227</v>
      </c>
      <c r="BP37" s="8" t="s">
        <v>969</v>
      </c>
      <c r="BQ37" s="8" t="s">
        <v>969</v>
      </c>
      <c r="BR37" s="8" t="s">
        <v>3344</v>
      </c>
      <c r="BS37" s="8" t="s">
        <v>1396</v>
      </c>
      <c r="BT37" s="8" t="str">
        <f>HYPERLINK("https%3A%2F%2Fwww.webofscience.com%2Fwos%2Fwoscc%2Ffull-record%2FWOS:000229650500032","View Full Record in Web of Science")</f>
        <v>View Full Record in Web of Science</v>
      </c>
    </row>
    <row r="38" ht="12.75" customHeight="1">
      <c r="A38" s="8" t="s">
        <v>967</v>
      </c>
      <c r="B38" s="8" t="s">
        <v>1324</v>
      </c>
      <c r="C38" s="8" t="s">
        <v>969</v>
      </c>
      <c r="D38" s="8" t="s">
        <v>969</v>
      </c>
      <c r="E38" s="8" t="s">
        <v>969</v>
      </c>
      <c r="F38" s="8" t="s">
        <v>1324</v>
      </c>
      <c r="G38" s="8" t="s">
        <v>969</v>
      </c>
      <c r="H38" s="8" t="s">
        <v>969</v>
      </c>
      <c r="I38" s="8" t="s">
        <v>1325</v>
      </c>
      <c r="J38" s="8" t="s">
        <v>1326</v>
      </c>
      <c r="K38" s="8" t="s">
        <v>969</v>
      </c>
      <c r="L38" s="8" t="s">
        <v>969</v>
      </c>
      <c r="M38" s="8" t="s">
        <v>972</v>
      </c>
      <c r="N38" s="8" t="s">
        <v>973</v>
      </c>
      <c r="O38" s="8" t="s">
        <v>969</v>
      </c>
      <c r="P38" s="8" t="s">
        <v>969</v>
      </c>
      <c r="Q38" s="8" t="s">
        <v>969</v>
      </c>
      <c r="R38" s="8" t="s">
        <v>969</v>
      </c>
      <c r="S38" s="8" t="s">
        <v>969</v>
      </c>
      <c r="T38" s="8" t="s">
        <v>1327</v>
      </c>
      <c r="U38" s="8" t="s">
        <v>1328</v>
      </c>
      <c r="V38" s="8" t="s">
        <v>1329</v>
      </c>
      <c r="W38" s="8" t="s">
        <v>1330</v>
      </c>
      <c r="X38" s="8" t="s">
        <v>1331</v>
      </c>
      <c r="Y38" s="8" t="s">
        <v>1332</v>
      </c>
      <c r="Z38" s="8" t="s">
        <v>1333</v>
      </c>
      <c r="AA38" s="8" t="s">
        <v>3368</v>
      </c>
      <c r="AB38" s="8" t="s">
        <v>3369</v>
      </c>
      <c r="AC38" s="8" t="s">
        <v>969</v>
      </c>
      <c r="AD38" s="8" t="s">
        <v>969</v>
      </c>
      <c r="AE38" s="8" t="s">
        <v>969</v>
      </c>
      <c r="AF38" s="8" t="s">
        <v>969</v>
      </c>
      <c r="AG38" s="8">
        <v>30.0</v>
      </c>
      <c r="AH38" s="8">
        <v>292.0</v>
      </c>
      <c r="AI38" s="8">
        <v>330.0</v>
      </c>
      <c r="AJ38" s="8">
        <v>1.0</v>
      </c>
      <c r="AK38" s="8">
        <v>109.0</v>
      </c>
      <c r="AL38" s="8" t="s">
        <v>1091</v>
      </c>
      <c r="AM38" s="8" t="s">
        <v>1092</v>
      </c>
      <c r="AN38" s="8" t="s">
        <v>1093</v>
      </c>
      <c r="AO38" s="8" t="s">
        <v>1336</v>
      </c>
      <c r="AP38" s="8" t="s">
        <v>1337</v>
      </c>
      <c r="AQ38" s="8" t="s">
        <v>969</v>
      </c>
      <c r="AR38" s="8" t="s">
        <v>1338</v>
      </c>
      <c r="AS38" s="8" t="s">
        <v>1339</v>
      </c>
      <c r="AT38" s="8" t="s">
        <v>1112</v>
      </c>
      <c r="AU38" s="8">
        <v>2004.0</v>
      </c>
      <c r="AV38" s="8">
        <v>18.0</v>
      </c>
      <c r="AW38" s="8">
        <v>5.0</v>
      </c>
      <c r="AX38" s="8" t="s">
        <v>969</v>
      </c>
      <c r="AY38" s="8" t="s">
        <v>969</v>
      </c>
      <c r="AZ38" s="8" t="s">
        <v>969</v>
      </c>
      <c r="BA38" s="8" t="s">
        <v>969</v>
      </c>
      <c r="BB38" s="8">
        <v>625.0</v>
      </c>
      <c r="BC38" s="8">
        <v>630.0</v>
      </c>
      <c r="BD38" s="8" t="s">
        <v>969</v>
      </c>
      <c r="BE38" s="8" t="s">
        <v>674</v>
      </c>
      <c r="BF38" s="13" t="str">
        <f>HYPERLINK("http://dx.doi.org/10.1111/j.0269-8463.2004.00903.x","http://dx.doi.org/10.1111/j.0269-8463.2004.00903.x")</f>
        <v>http://dx.doi.org/10.1111/j.0269-8463.2004.00903.x</v>
      </c>
      <c r="BG38" s="8" t="s">
        <v>969</v>
      </c>
      <c r="BH38" s="8" t="s">
        <v>969</v>
      </c>
      <c r="BI38" s="8">
        <v>6.0</v>
      </c>
      <c r="BJ38" s="8" t="s">
        <v>1267</v>
      </c>
      <c r="BK38" s="8" t="s">
        <v>988</v>
      </c>
      <c r="BL38" s="8" t="s">
        <v>1268</v>
      </c>
      <c r="BM38" s="8" t="s">
        <v>1340</v>
      </c>
      <c r="BN38" s="8" t="s">
        <v>969</v>
      </c>
      <c r="BO38" s="8" t="s">
        <v>1341</v>
      </c>
      <c r="BP38" s="8" t="s">
        <v>969</v>
      </c>
      <c r="BQ38" s="8" t="s">
        <v>969</v>
      </c>
      <c r="BR38" s="8" t="s">
        <v>3344</v>
      </c>
      <c r="BS38" s="8" t="s">
        <v>1342</v>
      </c>
      <c r="BT38" s="8" t="str">
        <f>HYPERLINK("https%3A%2F%2Fwww.webofscience.com%2Fwos%2Fwoscc%2Ffull-record%2FWOS:000224000900001","View Full Record in Web of Science")</f>
        <v>View Full Record in Web of Science</v>
      </c>
    </row>
    <row r="39" ht="12.75" customHeight="1">
      <c r="A39" s="8" t="s">
        <v>967</v>
      </c>
      <c r="B39" s="8" t="s">
        <v>2288</v>
      </c>
      <c r="C39" s="8" t="s">
        <v>969</v>
      </c>
      <c r="D39" s="8" t="s">
        <v>969</v>
      </c>
      <c r="E39" s="8" t="s">
        <v>969</v>
      </c>
      <c r="F39" s="8" t="s">
        <v>2289</v>
      </c>
      <c r="G39" s="8" t="s">
        <v>969</v>
      </c>
      <c r="H39" s="8" t="s">
        <v>969</v>
      </c>
      <c r="I39" s="8" t="s">
        <v>2290</v>
      </c>
      <c r="J39" s="8" t="s">
        <v>1377</v>
      </c>
      <c r="K39" s="8" t="s">
        <v>969</v>
      </c>
      <c r="L39" s="8" t="s">
        <v>969</v>
      </c>
      <c r="M39" s="8" t="s">
        <v>972</v>
      </c>
      <c r="N39" s="8" t="s">
        <v>973</v>
      </c>
      <c r="O39" s="8" t="s">
        <v>969</v>
      </c>
      <c r="P39" s="8" t="s">
        <v>969</v>
      </c>
      <c r="Q39" s="8" t="s">
        <v>969</v>
      </c>
      <c r="R39" s="8" t="s">
        <v>969</v>
      </c>
      <c r="S39" s="8" t="s">
        <v>969</v>
      </c>
      <c r="T39" s="8" t="s">
        <v>2291</v>
      </c>
      <c r="U39" s="8" t="s">
        <v>2292</v>
      </c>
      <c r="V39" s="8" t="s">
        <v>2293</v>
      </c>
      <c r="W39" s="8" t="s">
        <v>2294</v>
      </c>
      <c r="X39" s="8" t="s">
        <v>2295</v>
      </c>
      <c r="Y39" s="8" t="s">
        <v>2296</v>
      </c>
      <c r="Z39" s="8" t="s">
        <v>2297</v>
      </c>
      <c r="AA39" s="8" t="s">
        <v>3370</v>
      </c>
      <c r="AB39" s="8" t="s">
        <v>3141</v>
      </c>
      <c r="AC39" s="8" t="s">
        <v>2300</v>
      </c>
      <c r="AD39" s="8" t="s">
        <v>2301</v>
      </c>
      <c r="AE39" s="8" t="s">
        <v>2302</v>
      </c>
      <c r="AF39" s="8" t="s">
        <v>969</v>
      </c>
      <c r="AG39" s="8">
        <v>48.0</v>
      </c>
      <c r="AH39" s="8">
        <v>474.0</v>
      </c>
      <c r="AI39" s="8">
        <v>570.0</v>
      </c>
      <c r="AJ39" s="8">
        <v>3.0</v>
      </c>
      <c r="AK39" s="8">
        <v>327.0</v>
      </c>
      <c r="AL39" s="8" t="s">
        <v>1387</v>
      </c>
      <c r="AM39" s="8" t="s">
        <v>1388</v>
      </c>
      <c r="AN39" s="8" t="s">
        <v>1389</v>
      </c>
      <c r="AO39" s="8" t="s">
        <v>1390</v>
      </c>
      <c r="AP39" s="8" t="s">
        <v>1391</v>
      </c>
      <c r="AQ39" s="8" t="s">
        <v>969</v>
      </c>
      <c r="AR39" s="8" t="s">
        <v>1392</v>
      </c>
      <c r="AS39" s="8" t="s">
        <v>1393</v>
      </c>
      <c r="AT39" s="8" t="s">
        <v>2303</v>
      </c>
      <c r="AU39" s="8">
        <v>2011.0</v>
      </c>
      <c r="AV39" s="8">
        <v>108.0</v>
      </c>
      <c r="AW39" s="8">
        <v>34.0</v>
      </c>
      <c r="AX39" s="8" t="s">
        <v>969</v>
      </c>
      <c r="AY39" s="8" t="s">
        <v>969</v>
      </c>
      <c r="AZ39" s="8" t="s">
        <v>969</v>
      </c>
      <c r="BA39" s="8" t="s">
        <v>969</v>
      </c>
      <c r="BB39" s="8">
        <v>14175.0</v>
      </c>
      <c r="BC39" s="8">
        <v>14180.0</v>
      </c>
      <c r="BD39" s="8" t="s">
        <v>969</v>
      </c>
      <c r="BE39" s="8" t="s">
        <v>641</v>
      </c>
      <c r="BF39" s="13" t="str">
        <f>HYPERLINK("http://dx.doi.org/10.1073/pnas.1103097108","http://dx.doi.org/10.1073/pnas.1103097108")</f>
        <v>http://dx.doi.org/10.1073/pnas.1103097108</v>
      </c>
      <c r="BG39" s="8" t="s">
        <v>969</v>
      </c>
      <c r="BH39" s="8" t="s">
        <v>969</v>
      </c>
      <c r="BI39" s="8">
        <v>6.0</v>
      </c>
      <c r="BJ39" s="8" t="s">
        <v>1076</v>
      </c>
      <c r="BK39" s="8" t="s">
        <v>988</v>
      </c>
      <c r="BL39" s="8" t="s">
        <v>1077</v>
      </c>
      <c r="BM39" s="8" t="s">
        <v>2304</v>
      </c>
      <c r="BN39" s="8">
        <v>2.1844354E7</v>
      </c>
      <c r="BO39" s="8" t="s">
        <v>1227</v>
      </c>
      <c r="BP39" s="8" t="s">
        <v>969</v>
      </c>
      <c r="BQ39" s="8" t="s">
        <v>969</v>
      </c>
      <c r="BR39" s="8" t="s">
        <v>3344</v>
      </c>
      <c r="BS39" s="8" t="s">
        <v>2305</v>
      </c>
      <c r="BT39" s="8" t="str">
        <f>HYPERLINK("https%3A%2F%2Fwww.webofscience.com%2Fwos%2Fwoscc%2Ffull-record%2FWOS:000294163500063","View Full Record in Web of Science")</f>
        <v>View Full Record in Web of Science</v>
      </c>
    </row>
    <row r="40" ht="12.75" customHeight="1">
      <c r="A40" s="8" t="s">
        <v>967</v>
      </c>
      <c r="B40" s="8" t="s">
        <v>1768</v>
      </c>
      <c r="C40" s="8" t="s">
        <v>969</v>
      </c>
      <c r="D40" s="8" t="s">
        <v>969</v>
      </c>
      <c r="E40" s="8" t="s">
        <v>969</v>
      </c>
      <c r="F40" s="8" t="s">
        <v>1769</v>
      </c>
      <c r="G40" s="8" t="s">
        <v>969</v>
      </c>
      <c r="H40" s="8" t="s">
        <v>969</v>
      </c>
      <c r="I40" s="8" t="s">
        <v>1770</v>
      </c>
      <c r="J40" s="8" t="s">
        <v>1538</v>
      </c>
      <c r="K40" s="8" t="s">
        <v>969</v>
      </c>
      <c r="L40" s="8" t="s">
        <v>969</v>
      </c>
      <c r="M40" s="8" t="s">
        <v>972</v>
      </c>
      <c r="N40" s="8" t="s">
        <v>973</v>
      </c>
      <c r="O40" s="8" t="s">
        <v>969</v>
      </c>
      <c r="P40" s="8" t="s">
        <v>969</v>
      </c>
      <c r="Q40" s="8" t="s">
        <v>969</v>
      </c>
      <c r="R40" s="8" t="s">
        <v>969</v>
      </c>
      <c r="S40" s="8" t="s">
        <v>969</v>
      </c>
      <c r="T40" s="8" t="s">
        <v>1771</v>
      </c>
      <c r="U40" s="8" t="s">
        <v>1772</v>
      </c>
      <c r="V40" s="8" t="s">
        <v>1773</v>
      </c>
      <c r="W40" s="8" t="s">
        <v>1774</v>
      </c>
      <c r="X40" s="8" t="s">
        <v>1775</v>
      </c>
      <c r="Y40" s="8" t="s">
        <v>1776</v>
      </c>
      <c r="Z40" s="8" t="s">
        <v>1777</v>
      </c>
      <c r="AA40" s="8" t="s">
        <v>3371</v>
      </c>
      <c r="AB40" s="8" t="s">
        <v>3372</v>
      </c>
      <c r="AC40" s="8" t="s">
        <v>969</v>
      </c>
      <c r="AD40" s="8" t="s">
        <v>969</v>
      </c>
      <c r="AE40" s="8" t="s">
        <v>969</v>
      </c>
      <c r="AF40" s="8" t="s">
        <v>969</v>
      </c>
      <c r="AG40" s="8">
        <v>54.0</v>
      </c>
      <c r="AH40" s="8">
        <v>478.0</v>
      </c>
      <c r="AI40" s="8">
        <v>596.0</v>
      </c>
      <c r="AJ40" s="8">
        <v>2.0</v>
      </c>
      <c r="AK40" s="8">
        <v>433.0</v>
      </c>
      <c r="AL40" s="8" t="s">
        <v>1010</v>
      </c>
      <c r="AM40" s="8" t="s">
        <v>1092</v>
      </c>
      <c r="AN40" s="8" t="s">
        <v>1093</v>
      </c>
      <c r="AO40" s="8" t="s">
        <v>1548</v>
      </c>
      <c r="AP40" s="8" t="s">
        <v>1549</v>
      </c>
      <c r="AQ40" s="8" t="s">
        <v>969</v>
      </c>
      <c r="AR40" s="8" t="s">
        <v>1550</v>
      </c>
      <c r="AS40" s="8" t="s">
        <v>1551</v>
      </c>
      <c r="AT40" s="8" t="s">
        <v>1036</v>
      </c>
      <c r="AU40" s="8">
        <v>2008.0</v>
      </c>
      <c r="AV40" s="8">
        <v>22.0</v>
      </c>
      <c r="AW40" s="8">
        <v>1.0</v>
      </c>
      <c r="AX40" s="8" t="s">
        <v>969</v>
      </c>
      <c r="AY40" s="8" t="s">
        <v>969</v>
      </c>
      <c r="AZ40" s="8" t="s">
        <v>969</v>
      </c>
      <c r="BA40" s="8" t="s">
        <v>969</v>
      </c>
      <c r="BB40" s="8">
        <v>140.0</v>
      </c>
      <c r="BC40" s="8">
        <v>150.0</v>
      </c>
      <c r="BD40" s="8" t="s">
        <v>969</v>
      </c>
      <c r="BE40" s="8" t="s">
        <v>779</v>
      </c>
      <c r="BF40" s="13" t="str">
        <f>HYPERLINK("http://dx.doi.org/10.1111/j.1523-1739.2007.00852.x","http://dx.doi.org/10.1111/j.1523-1739.2007.00852.x")</f>
        <v>http://dx.doi.org/10.1111/j.1523-1739.2007.00852.x</v>
      </c>
      <c r="BG40" s="8" t="s">
        <v>969</v>
      </c>
      <c r="BH40" s="8" t="s">
        <v>969</v>
      </c>
      <c r="BI40" s="8">
        <v>11.0</v>
      </c>
      <c r="BJ40" s="8" t="s">
        <v>987</v>
      </c>
      <c r="BK40" s="8" t="s">
        <v>988</v>
      </c>
      <c r="BL40" s="8" t="s">
        <v>989</v>
      </c>
      <c r="BM40" s="8" t="s">
        <v>1780</v>
      </c>
      <c r="BN40" s="8">
        <v>1.8254859E7</v>
      </c>
      <c r="BO40" s="8" t="s">
        <v>1247</v>
      </c>
      <c r="BP40" s="8" t="s">
        <v>969</v>
      </c>
      <c r="BQ40" s="8" t="s">
        <v>969</v>
      </c>
      <c r="BR40" s="8" t="s">
        <v>3344</v>
      </c>
      <c r="BS40" s="8" t="s">
        <v>1781</v>
      </c>
      <c r="BT40" s="8" t="str">
        <f>HYPERLINK("https%3A%2F%2Fwww.webofscience.com%2Fwos%2Fwoscc%2Ffull-record%2FWOS:000252895700016","View Full Record in Web of Science")</f>
        <v>View Full Record in Web of Science</v>
      </c>
    </row>
    <row r="41" ht="12.75" customHeight="1">
      <c r="A41" s="8" t="s">
        <v>967</v>
      </c>
      <c r="B41" s="8" t="s">
        <v>1271</v>
      </c>
      <c r="C41" s="8" t="s">
        <v>969</v>
      </c>
      <c r="D41" s="8" t="s">
        <v>969</v>
      </c>
      <c r="E41" s="8" t="s">
        <v>969</v>
      </c>
      <c r="F41" s="8" t="s">
        <v>1271</v>
      </c>
      <c r="G41" s="8" t="s">
        <v>969</v>
      </c>
      <c r="H41" s="8" t="s">
        <v>969</v>
      </c>
      <c r="I41" s="8" t="s">
        <v>1272</v>
      </c>
      <c r="J41" s="8" t="s">
        <v>1273</v>
      </c>
      <c r="K41" s="8" t="s">
        <v>969</v>
      </c>
      <c r="L41" s="8" t="s">
        <v>969</v>
      </c>
      <c r="M41" s="8" t="s">
        <v>972</v>
      </c>
      <c r="N41" s="8" t="s">
        <v>973</v>
      </c>
      <c r="O41" s="8" t="s">
        <v>969</v>
      </c>
      <c r="P41" s="8" t="s">
        <v>969</v>
      </c>
      <c r="Q41" s="8" t="s">
        <v>969</v>
      </c>
      <c r="R41" s="8" t="s">
        <v>969</v>
      </c>
      <c r="S41" s="8" t="s">
        <v>969</v>
      </c>
      <c r="T41" s="8" t="s">
        <v>969</v>
      </c>
      <c r="U41" s="8" t="s">
        <v>1274</v>
      </c>
      <c r="V41" s="8" t="s">
        <v>1275</v>
      </c>
      <c r="W41" s="8" t="s">
        <v>1276</v>
      </c>
      <c r="X41" s="8" t="s">
        <v>1277</v>
      </c>
      <c r="Y41" s="8" t="s">
        <v>1278</v>
      </c>
      <c r="Z41" s="8" t="s">
        <v>1279</v>
      </c>
      <c r="AA41" s="8" t="s">
        <v>1280</v>
      </c>
      <c r="AB41" s="8" t="s">
        <v>1281</v>
      </c>
      <c r="AC41" s="8" t="s">
        <v>969</v>
      </c>
      <c r="AD41" s="8" t="s">
        <v>969</v>
      </c>
      <c r="AE41" s="8" t="s">
        <v>969</v>
      </c>
      <c r="AF41" s="8" t="s">
        <v>969</v>
      </c>
      <c r="AG41" s="8">
        <v>83.0</v>
      </c>
      <c r="AH41" s="8">
        <v>207.0</v>
      </c>
      <c r="AI41" s="8">
        <v>232.0</v>
      </c>
      <c r="AJ41" s="8">
        <v>0.0</v>
      </c>
      <c r="AK41" s="8">
        <v>94.0</v>
      </c>
      <c r="AL41" s="8" t="s">
        <v>1091</v>
      </c>
      <c r="AM41" s="8" t="s">
        <v>1092</v>
      </c>
      <c r="AN41" s="8" t="s">
        <v>1093</v>
      </c>
      <c r="AO41" s="8" t="s">
        <v>1282</v>
      </c>
      <c r="AP41" s="8" t="s">
        <v>1283</v>
      </c>
      <c r="AQ41" s="8" t="s">
        <v>969</v>
      </c>
      <c r="AR41" s="8" t="s">
        <v>1273</v>
      </c>
      <c r="AS41" s="8" t="s">
        <v>1284</v>
      </c>
      <c r="AT41" s="8" t="s">
        <v>1285</v>
      </c>
      <c r="AU41" s="8">
        <v>2004.0</v>
      </c>
      <c r="AV41" s="8">
        <v>27.0</v>
      </c>
      <c r="AW41" s="8">
        <v>3.0</v>
      </c>
      <c r="AX41" s="8" t="s">
        <v>969</v>
      </c>
      <c r="AY41" s="8" t="s">
        <v>969</v>
      </c>
      <c r="AZ41" s="8" t="s">
        <v>969</v>
      </c>
      <c r="BA41" s="8" t="s">
        <v>969</v>
      </c>
      <c r="BB41" s="8">
        <v>366.0</v>
      </c>
      <c r="BC41" s="8">
        <v>380.0</v>
      </c>
      <c r="BD41" s="8" t="s">
        <v>969</v>
      </c>
      <c r="BE41" s="8" t="s">
        <v>677</v>
      </c>
      <c r="BF41" s="13" t="str">
        <f>HYPERLINK("http://dx.doi.org/10.1111/j.0906-7590.2004.03823.x","http://dx.doi.org/10.1111/j.0906-7590.2004.03823.x")</f>
        <v>http://dx.doi.org/10.1111/j.0906-7590.2004.03823.x</v>
      </c>
      <c r="BG41" s="8" t="s">
        <v>969</v>
      </c>
      <c r="BH41" s="8" t="s">
        <v>969</v>
      </c>
      <c r="BI41" s="8">
        <v>15.0</v>
      </c>
      <c r="BJ41" s="8" t="s">
        <v>1286</v>
      </c>
      <c r="BK41" s="8" t="s">
        <v>988</v>
      </c>
      <c r="BL41" s="8" t="s">
        <v>989</v>
      </c>
      <c r="BM41" s="8" t="s">
        <v>1287</v>
      </c>
      <c r="BN41" s="8" t="s">
        <v>969</v>
      </c>
      <c r="BO41" s="8" t="s">
        <v>969</v>
      </c>
      <c r="BP41" s="8" t="s">
        <v>969</v>
      </c>
      <c r="BQ41" s="8" t="s">
        <v>969</v>
      </c>
      <c r="BR41" s="8" t="s">
        <v>3344</v>
      </c>
      <c r="BS41" s="8" t="s">
        <v>1288</v>
      </c>
      <c r="BT41" s="8" t="str">
        <f>HYPERLINK("https%3A%2F%2Fwww.webofscience.com%2Fwos%2Fwoscc%2Ffull-record%2FWOS:000221421200010","View Full Record in Web of Science")</f>
        <v>View Full Record in Web of Science</v>
      </c>
    </row>
    <row r="42" ht="12.75" customHeight="1">
      <c r="A42" s="8" t="s">
        <v>967</v>
      </c>
      <c r="B42" s="8" t="s">
        <v>2692</v>
      </c>
      <c r="C42" s="8" t="s">
        <v>969</v>
      </c>
      <c r="D42" s="8" t="s">
        <v>969</v>
      </c>
      <c r="E42" s="8" t="s">
        <v>969</v>
      </c>
      <c r="F42" s="8" t="s">
        <v>2693</v>
      </c>
      <c r="G42" s="8" t="s">
        <v>969</v>
      </c>
      <c r="H42" s="8" t="s">
        <v>969</v>
      </c>
      <c r="I42" s="8" t="s">
        <v>2694</v>
      </c>
      <c r="J42" s="8" t="s">
        <v>2695</v>
      </c>
      <c r="K42" s="8" t="s">
        <v>969</v>
      </c>
      <c r="L42" s="8" t="s">
        <v>969</v>
      </c>
      <c r="M42" s="8" t="s">
        <v>972</v>
      </c>
      <c r="N42" s="8" t="s">
        <v>973</v>
      </c>
      <c r="O42" s="8" t="s">
        <v>969</v>
      </c>
      <c r="P42" s="8" t="s">
        <v>969</v>
      </c>
      <c r="Q42" s="8" t="s">
        <v>969</v>
      </c>
      <c r="R42" s="8" t="s">
        <v>969</v>
      </c>
      <c r="S42" s="8" t="s">
        <v>969</v>
      </c>
      <c r="T42" s="8" t="s">
        <v>2696</v>
      </c>
      <c r="U42" s="8" t="s">
        <v>2697</v>
      </c>
      <c r="V42" s="8" t="s">
        <v>2698</v>
      </c>
      <c r="W42" s="8" t="s">
        <v>2699</v>
      </c>
      <c r="X42" s="8" t="s">
        <v>2700</v>
      </c>
      <c r="Y42" s="8" t="s">
        <v>2701</v>
      </c>
      <c r="Z42" s="8" t="s">
        <v>2225</v>
      </c>
      <c r="AA42" s="8" t="s">
        <v>3005</v>
      </c>
      <c r="AB42" s="8" t="s">
        <v>2227</v>
      </c>
      <c r="AC42" s="8" t="s">
        <v>2702</v>
      </c>
      <c r="AD42" s="8" t="s">
        <v>2703</v>
      </c>
      <c r="AE42" s="8" t="s">
        <v>2704</v>
      </c>
      <c r="AF42" s="8" t="s">
        <v>969</v>
      </c>
      <c r="AG42" s="8">
        <v>54.0</v>
      </c>
      <c r="AH42" s="8">
        <v>52.0</v>
      </c>
      <c r="AI42" s="8">
        <v>81.0</v>
      </c>
      <c r="AJ42" s="8">
        <v>5.0</v>
      </c>
      <c r="AK42" s="8">
        <v>152.0</v>
      </c>
      <c r="AL42" s="8" t="s">
        <v>2705</v>
      </c>
      <c r="AM42" s="8" t="s">
        <v>2706</v>
      </c>
      <c r="AN42" s="8" t="s">
        <v>2707</v>
      </c>
      <c r="AO42" s="8" t="s">
        <v>2708</v>
      </c>
      <c r="AP42" s="8" t="s">
        <v>2709</v>
      </c>
      <c r="AQ42" s="8" t="s">
        <v>969</v>
      </c>
      <c r="AR42" s="8" t="s">
        <v>2710</v>
      </c>
      <c r="AS42" s="8" t="s">
        <v>2711</v>
      </c>
      <c r="AT42" s="8" t="s">
        <v>1211</v>
      </c>
      <c r="AU42" s="8">
        <v>2013.0</v>
      </c>
      <c r="AV42" s="8">
        <v>13.0</v>
      </c>
      <c r="AW42" s="8">
        <v>4.0</v>
      </c>
      <c r="AX42" s="8" t="s">
        <v>969</v>
      </c>
      <c r="AY42" s="8" t="s">
        <v>969</v>
      </c>
      <c r="AZ42" s="8" t="s">
        <v>2350</v>
      </c>
      <c r="BA42" s="8" t="s">
        <v>969</v>
      </c>
      <c r="BB42" s="8">
        <v>843.0</v>
      </c>
      <c r="BC42" s="8">
        <v>852.0</v>
      </c>
      <c r="BD42" s="8" t="s">
        <v>969</v>
      </c>
      <c r="BE42" s="8" t="s">
        <v>515</v>
      </c>
      <c r="BF42" s="13" t="str">
        <f>HYPERLINK("http://dx.doi.org/10.1007/s10113-012-0344-z","http://dx.doi.org/10.1007/s10113-012-0344-z")</f>
        <v>http://dx.doi.org/10.1007/s10113-012-0344-z</v>
      </c>
      <c r="BG42" s="8" t="s">
        <v>969</v>
      </c>
      <c r="BH42" s="8" t="s">
        <v>969</v>
      </c>
      <c r="BI42" s="8">
        <v>10.0</v>
      </c>
      <c r="BJ42" s="8" t="s">
        <v>2712</v>
      </c>
      <c r="BK42" s="8" t="s">
        <v>1519</v>
      </c>
      <c r="BL42" s="8" t="s">
        <v>1268</v>
      </c>
      <c r="BM42" s="8" t="s">
        <v>2713</v>
      </c>
      <c r="BN42" s="8" t="s">
        <v>969</v>
      </c>
      <c r="BO42" s="8" t="s">
        <v>969</v>
      </c>
      <c r="BP42" s="8" t="s">
        <v>969</v>
      </c>
      <c r="BQ42" s="8" t="s">
        <v>969</v>
      </c>
      <c r="BR42" s="8" t="s">
        <v>3344</v>
      </c>
      <c r="BS42" s="8" t="s">
        <v>2714</v>
      </c>
      <c r="BT42" s="8" t="str">
        <f>HYPERLINK("https%3A%2F%2Fwww.webofscience.com%2Fwos%2Fwoscc%2Ffull-record%2FWOS:000322671700008","View Full Record in Web of Science")</f>
        <v>View Full Record in Web of Science</v>
      </c>
    </row>
    <row r="43" ht="12.75" customHeight="1">
      <c r="A43" s="8" t="s">
        <v>967</v>
      </c>
      <c r="B43" s="8" t="s">
        <v>2659</v>
      </c>
      <c r="C43" s="8" t="s">
        <v>969</v>
      </c>
      <c r="D43" s="8" t="s">
        <v>969</v>
      </c>
      <c r="E43" s="8" t="s">
        <v>969</v>
      </c>
      <c r="F43" s="8" t="s">
        <v>2660</v>
      </c>
      <c r="G43" s="8" t="s">
        <v>969</v>
      </c>
      <c r="H43" s="8" t="s">
        <v>969</v>
      </c>
      <c r="I43" s="8" t="s">
        <v>2661</v>
      </c>
      <c r="J43" s="8" t="s">
        <v>1974</v>
      </c>
      <c r="K43" s="8" t="s">
        <v>969</v>
      </c>
      <c r="L43" s="8" t="s">
        <v>969</v>
      </c>
      <c r="M43" s="8" t="s">
        <v>972</v>
      </c>
      <c r="N43" s="8" t="s">
        <v>973</v>
      </c>
      <c r="O43" s="8" t="s">
        <v>969</v>
      </c>
      <c r="P43" s="8" t="s">
        <v>969</v>
      </c>
      <c r="Q43" s="8" t="s">
        <v>969</v>
      </c>
      <c r="R43" s="8" t="s">
        <v>969</v>
      </c>
      <c r="S43" s="8" t="s">
        <v>969</v>
      </c>
      <c r="T43" s="8" t="s">
        <v>969</v>
      </c>
      <c r="U43" s="8" t="s">
        <v>2662</v>
      </c>
      <c r="V43" s="8" t="s">
        <v>2663</v>
      </c>
      <c r="W43" s="8" t="s">
        <v>2664</v>
      </c>
      <c r="X43" s="8" t="s">
        <v>2665</v>
      </c>
      <c r="Y43" s="8" t="s">
        <v>2666</v>
      </c>
      <c r="Z43" s="8" t="s">
        <v>2667</v>
      </c>
      <c r="AA43" s="8" t="s">
        <v>2668</v>
      </c>
      <c r="AB43" s="8" t="s">
        <v>969</v>
      </c>
      <c r="AC43" s="8" t="s">
        <v>2669</v>
      </c>
      <c r="AD43" s="8" t="s">
        <v>2669</v>
      </c>
      <c r="AE43" s="8" t="s">
        <v>2670</v>
      </c>
      <c r="AF43" s="8" t="s">
        <v>969</v>
      </c>
      <c r="AG43" s="8">
        <v>30.0</v>
      </c>
      <c r="AH43" s="8">
        <v>127.0</v>
      </c>
      <c r="AI43" s="8">
        <v>151.0</v>
      </c>
      <c r="AJ43" s="8">
        <v>1.0</v>
      </c>
      <c r="AK43" s="8">
        <v>92.0</v>
      </c>
      <c r="AL43" s="8" t="s">
        <v>1985</v>
      </c>
      <c r="AM43" s="8" t="s">
        <v>1986</v>
      </c>
      <c r="AN43" s="8" t="s">
        <v>1987</v>
      </c>
      <c r="AO43" s="8" t="s">
        <v>1988</v>
      </c>
      <c r="AP43" s="8" t="s">
        <v>969</v>
      </c>
      <c r="AQ43" s="8" t="s">
        <v>969</v>
      </c>
      <c r="AR43" s="8" t="s">
        <v>1974</v>
      </c>
      <c r="AS43" s="8" t="s">
        <v>1989</v>
      </c>
      <c r="AT43" s="8" t="s">
        <v>2671</v>
      </c>
      <c r="AU43" s="8">
        <v>2013.0</v>
      </c>
      <c r="AV43" s="8">
        <v>8.0</v>
      </c>
      <c r="AW43" s="8">
        <v>5.0</v>
      </c>
      <c r="AX43" s="8" t="s">
        <v>969</v>
      </c>
      <c r="AY43" s="8" t="s">
        <v>969</v>
      </c>
      <c r="AZ43" s="8" t="s">
        <v>969</v>
      </c>
      <c r="BA43" s="8" t="s">
        <v>969</v>
      </c>
      <c r="BB43" s="8" t="s">
        <v>969</v>
      </c>
      <c r="BC43" s="8" t="s">
        <v>969</v>
      </c>
      <c r="BD43" s="8" t="s">
        <v>2672</v>
      </c>
      <c r="BE43" s="8" t="s">
        <v>824</v>
      </c>
      <c r="BF43" s="13" t="str">
        <f>HYPERLINK("http://dx.doi.org/10.1371/journal.pone.0063883","http://dx.doi.org/10.1371/journal.pone.0063883")</f>
        <v>http://dx.doi.org/10.1371/journal.pone.0063883</v>
      </c>
      <c r="BG43" s="8" t="s">
        <v>969</v>
      </c>
      <c r="BH43" s="8" t="s">
        <v>969</v>
      </c>
      <c r="BI43" s="8">
        <v>12.0</v>
      </c>
      <c r="BJ43" s="8" t="s">
        <v>1076</v>
      </c>
      <c r="BK43" s="8" t="s">
        <v>988</v>
      </c>
      <c r="BL43" s="8" t="s">
        <v>1077</v>
      </c>
      <c r="BM43" s="8" t="s">
        <v>2673</v>
      </c>
      <c r="BN43" s="8">
        <v>2.3717503E7</v>
      </c>
      <c r="BO43" s="8" t="s">
        <v>1140</v>
      </c>
      <c r="BP43" s="8" t="s">
        <v>969</v>
      </c>
      <c r="BQ43" s="8" t="s">
        <v>969</v>
      </c>
      <c r="BR43" s="8" t="s">
        <v>3344</v>
      </c>
      <c r="BS43" s="8" t="s">
        <v>2674</v>
      </c>
      <c r="BT43" s="8" t="str">
        <f>HYPERLINK("https%3A%2F%2Fwww.webofscience.com%2Fwos%2Fwoscc%2Ffull-record%2FWOS:000320362700075","View Full Record in Web of Science")</f>
        <v>View Full Record in Web of Science</v>
      </c>
    </row>
    <row r="44" ht="12.75" customHeight="1">
      <c r="A44" s="8" t="s">
        <v>967</v>
      </c>
      <c r="B44" s="8" t="s">
        <v>2489</v>
      </c>
      <c r="C44" s="8" t="s">
        <v>969</v>
      </c>
      <c r="D44" s="8" t="s">
        <v>969</v>
      </c>
      <c r="E44" s="8" t="s">
        <v>969</v>
      </c>
      <c r="F44" s="8" t="s">
        <v>2490</v>
      </c>
      <c r="G44" s="8" t="s">
        <v>969</v>
      </c>
      <c r="H44" s="8" t="s">
        <v>969</v>
      </c>
      <c r="I44" s="8" t="s">
        <v>2491</v>
      </c>
      <c r="J44" s="8" t="s">
        <v>971</v>
      </c>
      <c r="K44" s="8" t="s">
        <v>969</v>
      </c>
      <c r="L44" s="8" t="s">
        <v>969</v>
      </c>
      <c r="M44" s="8" t="s">
        <v>972</v>
      </c>
      <c r="N44" s="8" t="s">
        <v>973</v>
      </c>
      <c r="O44" s="8" t="s">
        <v>969</v>
      </c>
      <c r="P44" s="8" t="s">
        <v>969</v>
      </c>
      <c r="Q44" s="8" t="s">
        <v>969</v>
      </c>
      <c r="R44" s="8" t="s">
        <v>969</v>
      </c>
      <c r="S44" s="8" t="s">
        <v>969</v>
      </c>
      <c r="T44" s="8" t="s">
        <v>2492</v>
      </c>
      <c r="U44" s="8" t="s">
        <v>2493</v>
      </c>
      <c r="V44" s="8" t="s">
        <v>2494</v>
      </c>
      <c r="W44" s="8" t="s">
        <v>2495</v>
      </c>
      <c r="X44" s="8" t="s">
        <v>2496</v>
      </c>
      <c r="Y44" s="8" t="s">
        <v>2497</v>
      </c>
      <c r="Z44" s="8" t="s">
        <v>2498</v>
      </c>
      <c r="AA44" s="8" t="s">
        <v>3248</v>
      </c>
      <c r="AB44" s="8" t="s">
        <v>2500</v>
      </c>
      <c r="AC44" s="8" t="s">
        <v>2501</v>
      </c>
      <c r="AD44" s="8" t="s">
        <v>2502</v>
      </c>
      <c r="AE44" s="8" t="s">
        <v>2503</v>
      </c>
      <c r="AF44" s="8" t="s">
        <v>969</v>
      </c>
      <c r="AG44" s="8">
        <v>66.0</v>
      </c>
      <c r="AH44" s="8">
        <v>63.0</v>
      </c>
      <c r="AI44" s="8">
        <v>75.0</v>
      </c>
      <c r="AJ44" s="8">
        <v>0.0</v>
      </c>
      <c r="AK44" s="8">
        <v>110.0</v>
      </c>
      <c r="AL44" s="8" t="s">
        <v>1091</v>
      </c>
      <c r="AM44" s="8" t="s">
        <v>1092</v>
      </c>
      <c r="AN44" s="8" t="s">
        <v>1093</v>
      </c>
      <c r="AO44" s="8" t="s">
        <v>983</v>
      </c>
      <c r="AP44" s="8" t="s">
        <v>1094</v>
      </c>
      <c r="AQ44" s="8" t="s">
        <v>969</v>
      </c>
      <c r="AR44" s="8" t="s">
        <v>1095</v>
      </c>
      <c r="AS44" s="8" t="s">
        <v>985</v>
      </c>
      <c r="AT44" s="8" t="s">
        <v>1285</v>
      </c>
      <c r="AU44" s="8">
        <v>2012.0</v>
      </c>
      <c r="AV44" s="8">
        <v>18.0</v>
      </c>
      <c r="AW44" s="8">
        <v>6.0</v>
      </c>
      <c r="AX44" s="8" t="s">
        <v>969</v>
      </c>
      <c r="AY44" s="8" t="s">
        <v>969</v>
      </c>
      <c r="AZ44" s="8" t="s">
        <v>969</v>
      </c>
      <c r="BA44" s="8" t="s">
        <v>969</v>
      </c>
      <c r="BB44" s="8">
        <v>1854.0</v>
      </c>
      <c r="BC44" s="8">
        <v>1865.0</v>
      </c>
      <c r="BD44" s="8" t="s">
        <v>969</v>
      </c>
      <c r="BE44" s="8" t="s">
        <v>731</v>
      </c>
      <c r="BF44" s="13" t="str">
        <f>HYPERLINK("http://dx.doi.org/10.1111/j.1365-2486.2012.02641.x","http://dx.doi.org/10.1111/j.1365-2486.2012.02641.x")</f>
        <v>http://dx.doi.org/10.1111/j.1365-2486.2012.02641.x</v>
      </c>
      <c r="BG44" s="8" t="s">
        <v>969</v>
      </c>
      <c r="BH44" s="8" t="s">
        <v>969</v>
      </c>
      <c r="BI44" s="8">
        <v>12.0</v>
      </c>
      <c r="BJ44" s="8" t="s">
        <v>987</v>
      </c>
      <c r="BK44" s="8" t="s">
        <v>988</v>
      </c>
      <c r="BL44" s="8" t="s">
        <v>989</v>
      </c>
      <c r="BM44" s="8" t="s">
        <v>2504</v>
      </c>
      <c r="BN44" s="8" t="s">
        <v>969</v>
      </c>
      <c r="BO44" s="8" t="s">
        <v>969</v>
      </c>
      <c r="BP44" s="8" t="s">
        <v>969</v>
      </c>
      <c r="BQ44" s="8" t="s">
        <v>969</v>
      </c>
      <c r="BR44" s="8" t="s">
        <v>3344</v>
      </c>
      <c r="BS44" s="8" t="s">
        <v>2505</v>
      </c>
      <c r="BT44" s="8" t="str">
        <f>HYPERLINK("https%3A%2F%2Fwww.webofscience.com%2Fwos%2Fwoscc%2Ffull-record%2FWOS:000303763600008","View Full Record in Web of Science")</f>
        <v>View Full Record in Web of Science</v>
      </c>
    </row>
    <row r="45" ht="12.75" customHeight="1">
      <c r="A45" s="8" t="s">
        <v>967</v>
      </c>
      <c r="B45" s="8" t="s">
        <v>2254</v>
      </c>
      <c r="C45" s="8" t="s">
        <v>969</v>
      </c>
      <c r="D45" s="8" t="s">
        <v>969</v>
      </c>
      <c r="E45" s="8" t="s">
        <v>969</v>
      </c>
      <c r="F45" s="8" t="s">
        <v>2255</v>
      </c>
      <c r="G45" s="8" t="s">
        <v>969</v>
      </c>
      <c r="H45" s="8" t="s">
        <v>969</v>
      </c>
      <c r="I45" s="8" t="s">
        <v>2256</v>
      </c>
      <c r="J45" s="8" t="s">
        <v>1799</v>
      </c>
      <c r="K45" s="8" t="s">
        <v>969</v>
      </c>
      <c r="L45" s="8" t="s">
        <v>969</v>
      </c>
      <c r="M45" s="8" t="s">
        <v>972</v>
      </c>
      <c r="N45" s="8" t="s">
        <v>973</v>
      </c>
      <c r="O45" s="8" t="s">
        <v>969</v>
      </c>
      <c r="P45" s="8" t="s">
        <v>969</v>
      </c>
      <c r="Q45" s="8" t="s">
        <v>969</v>
      </c>
      <c r="R45" s="8" t="s">
        <v>969</v>
      </c>
      <c r="S45" s="8" t="s">
        <v>969</v>
      </c>
      <c r="T45" s="8" t="s">
        <v>2257</v>
      </c>
      <c r="U45" s="8" t="s">
        <v>2258</v>
      </c>
      <c r="V45" s="8" t="s">
        <v>2259</v>
      </c>
      <c r="W45" s="8" t="s">
        <v>2260</v>
      </c>
      <c r="X45" s="8" t="s">
        <v>2261</v>
      </c>
      <c r="Y45" s="8" t="s">
        <v>2262</v>
      </c>
      <c r="Z45" s="8" t="s">
        <v>2263</v>
      </c>
      <c r="AA45" s="8" t="s">
        <v>3142</v>
      </c>
      <c r="AB45" s="8" t="s">
        <v>969</v>
      </c>
      <c r="AC45" s="8" t="s">
        <v>2265</v>
      </c>
      <c r="AD45" s="8" t="s">
        <v>2266</v>
      </c>
      <c r="AE45" s="8" t="s">
        <v>2267</v>
      </c>
      <c r="AF45" s="8" t="s">
        <v>969</v>
      </c>
      <c r="AG45" s="8">
        <v>67.0</v>
      </c>
      <c r="AH45" s="8">
        <v>91.0</v>
      </c>
      <c r="AI45" s="8">
        <v>112.0</v>
      </c>
      <c r="AJ45" s="8">
        <v>3.0</v>
      </c>
      <c r="AK45" s="8">
        <v>96.0</v>
      </c>
      <c r="AL45" s="8" t="s">
        <v>1813</v>
      </c>
      <c r="AM45" s="8" t="s">
        <v>1261</v>
      </c>
      <c r="AN45" s="8" t="s">
        <v>1814</v>
      </c>
      <c r="AO45" s="8" t="s">
        <v>1815</v>
      </c>
      <c r="AP45" s="8" t="s">
        <v>1816</v>
      </c>
      <c r="AQ45" s="8" t="s">
        <v>969</v>
      </c>
      <c r="AR45" s="8" t="s">
        <v>1817</v>
      </c>
      <c r="AS45" s="8" t="s">
        <v>1818</v>
      </c>
      <c r="AT45" s="8" t="s">
        <v>2268</v>
      </c>
      <c r="AU45" s="8">
        <v>2011.0</v>
      </c>
      <c r="AV45" s="8">
        <v>262.0</v>
      </c>
      <c r="AW45" s="8">
        <v>3.0</v>
      </c>
      <c r="AX45" s="8" t="s">
        <v>969</v>
      </c>
      <c r="AY45" s="8" t="s">
        <v>969</v>
      </c>
      <c r="AZ45" s="8" t="s">
        <v>969</v>
      </c>
      <c r="BA45" s="8" t="s">
        <v>969</v>
      </c>
      <c r="BB45" s="8">
        <v>307.0</v>
      </c>
      <c r="BC45" s="8">
        <v>316.0</v>
      </c>
      <c r="BD45" s="8" t="s">
        <v>969</v>
      </c>
      <c r="BE45" s="8" t="s">
        <v>572</v>
      </c>
      <c r="BF45" s="13" t="str">
        <f>HYPERLINK("http://dx.doi.org/10.1016/j.foreco.2011.03.036","http://dx.doi.org/10.1016/j.foreco.2011.03.036")</f>
        <v>http://dx.doi.org/10.1016/j.foreco.2011.03.036</v>
      </c>
      <c r="BG45" s="8" t="s">
        <v>969</v>
      </c>
      <c r="BH45" s="8" t="s">
        <v>969</v>
      </c>
      <c r="BI45" s="8">
        <v>10.0</v>
      </c>
      <c r="BJ45" s="8" t="s">
        <v>1820</v>
      </c>
      <c r="BK45" s="8" t="s">
        <v>988</v>
      </c>
      <c r="BL45" s="8" t="s">
        <v>1820</v>
      </c>
      <c r="BM45" s="8" t="s">
        <v>2269</v>
      </c>
      <c r="BN45" s="8" t="s">
        <v>969</v>
      </c>
      <c r="BO45" s="8" t="s">
        <v>969</v>
      </c>
      <c r="BP45" s="8" t="s">
        <v>969</v>
      </c>
      <c r="BQ45" s="8" t="s">
        <v>969</v>
      </c>
      <c r="BR45" s="8" t="s">
        <v>3344</v>
      </c>
      <c r="BS45" s="8" t="s">
        <v>2270</v>
      </c>
      <c r="BT45" s="8" t="str">
        <f>HYPERLINK("https%3A%2F%2Fwww.webofscience.com%2Fwos%2Fwoscc%2Ffull-record%2FWOS:000292428500001","View Full Record in Web of Science")</f>
        <v>View Full Record in Web of Science</v>
      </c>
    </row>
    <row r="46" ht="12.75" customHeight="1">
      <c r="A46" s="8" t="s">
        <v>967</v>
      </c>
      <c r="B46" s="8" t="s">
        <v>2147</v>
      </c>
      <c r="C46" s="8" t="s">
        <v>969</v>
      </c>
      <c r="D46" s="8" t="s">
        <v>969</v>
      </c>
      <c r="E46" s="8" t="s">
        <v>969</v>
      </c>
      <c r="F46" s="8" t="s">
        <v>2148</v>
      </c>
      <c r="G46" s="8" t="s">
        <v>969</v>
      </c>
      <c r="H46" s="8" t="s">
        <v>969</v>
      </c>
      <c r="I46" s="8" t="s">
        <v>2149</v>
      </c>
      <c r="J46" s="8" t="s">
        <v>1427</v>
      </c>
      <c r="K46" s="8" t="s">
        <v>969</v>
      </c>
      <c r="L46" s="8" t="s">
        <v>969</v>
      </c>
      <c r="M46" s="8" t="s">
        <v>972</v>
      </c>
      <c r="N46" s="8" t="s">
        <v>973</v>
      </c>
      <c r="O46" s="8" t="s">
        <v>969</v>
      </c>
      <c r="P46" s="8" t="s">
        <v>969</v>
      </c>
      <c r="Q46" s="8" t="s">
        <v>969</v>
      </c>
      <c r="R46" s="8" t="s">
        <v>969</v>
      </c>
      <c r="S46" s="8" t="s">
        <v>969</v>
      </c>
      <c r="T46" s="8" t="s">
        <v>2150</v>
      </c>
      <c r="U46" s="8" t="s">
        <v>2151</v>
      </c>
      <c r="V46" s="8" t="s">
        <v>2152</v>
      </c>
      <c r="W46" s="8" t="s">
        <v>2153</v>
      </c>
      <c r="X46" s="8" t="s">
        <v>2154</v>
      </c>
      <c r="Y46" s="8" t="s">
        <v>2155</v>
      </c>
      <c r="Z46" s="8" t="s">
        <v>2156</v>
      </c>
      <c r="AA46" s="8" t="s">
        <v>3286</v>
      </c>
      <c r="AB46" s="8" t="s">
        <v>3287</v>
      </c>
      <c r="AC46" s="8" t="s">
        <v>2159</v>
      </c>
      <c r="AD46" s="8" t="s">
        <v>2160</v>
      </c>
      <c r="AE46" s="8" t="s">
        <v>2161</v>
      </c>
      <c r="AF46" s="8" t="s">
        <v>969</v>
      </c>
      <c r="AG46" s="8">
        <v>67.0</v>
      </c>
      <c r="AH46" s="8">
        <v>103.0</v>
      </c>
      <c r="AI46" s="8">
        <v>117.0</v>
      </c>
      <c r="AJ46" s="8">
        <v>0.0</v>
      </c>
      <c r="AK46" s="8">
        <v>81.0</v>
      </c>
      <c r="AL46" s="8" t="s">
        <v>1091</v>
      </c>
      <c r="AM46" s="8" t="s">
        <v>1092</v>
      </c>
      <c r="AN46" s="8" t="s">
        <v>1093</v>
      </c>
      <c r="AO46" s="8" t="s">
        <v>1437</v>
      </c>
      <c r="AP46" s="8" t="s">
        <v>1499</v>
      </c>
      <c r="AQ46" s="8" t="s">
        <v>969</v>
      </c>
      <c r="AR46" s="8" t="s">
        <v>1438</v>
      </c>
      <c r="AS46" s="8" t="s">
        <v>1439</v>
      </c>
      <c r="AT46" s="8" t="s">
        <v>1016</v>
      </c>
      <c r="AU46" s="8">
        <v>2010.0</v>
      </c>
      <c r="AV46" s="8">
        <v>16.0</v>
      </c>
      <c r="AW46" s="8">
        <v>1.0</v>
      </c>
      <c r="AX46" s="8" t="s">
        <v>969</v>
      </c>
      <c r="AY46" s="8" t="s">
        <v>969</v>
      </c>
      <c r="AZ46" s="8" t="s">
        <v>969</v>
      </c>
      <c r="BA46" s="8" t="s">
        <v>969</v>
      </c>
      <c r="BB46" s="8">
        <v>187.0</v>
      </c>
      <c r="BC46" s="8">
        <v>201.0</v>
      </c>
      <c r="BD46" s="8" t="s">
        <v>969</v>
      </c>
      <c r="BE46" s="8" t="s">
        <v>761</v>
      </c>
      <c r="BF46" s="13" t="str">
        <f>HYPERLINK("http://dx.doi.org/10.1111/j.1472-4642.2009.00623.x","http://dx.doi.org/10.1111/j.1472-4642.2009.00623.x")</f>
        <v>http://dx.doi.org/10.1111/j.1472-4642.2009.00623.x</v>
      </c>
      <c r="BG46" s="8" t="s">
        <v>969</v>
      </c>
      <c r="BH46" s="8" t="s">
        <v>969</v>
      </c>
      <c r="BI46" s="8">
        <v>15.0</v>
      </c>
      <c r="BJ46" s="8" t="s">
        <v>1286</v>
      </c>
      <c r="BK46" s="8" t="s">
        <v>988</v>
      </c>
      <c r="BL46" s="8" t="s">
        <v>989</v>
      </c>
      <c r="BM46" s="8" t="s">
        <v>2162</v>
      </c>
      <c r="BN46" s="8" t="s">
        <v>969</v>
      </c>
      <c r="BO46" s="8" t="s">
        <v>969</v>
      </c>
      <c r="BP46" s="8" t="s">
        <v>969</v>
      </c>
      <c r="BQ46" s="8" t="s">
        <v>969</v>
      </c>
      <c r="BR46" s="8" t="s">
        <v>3344</v>
      </c>
      <c r="BS46" s="8" t="s">
        <v>2163</v>
      </c>
      <c r="BT46" s="8" t="str">
        <f>HYPERLINK("https%3A%2F%2Fwww.webofscience.com%2Fwos%2Fwoscc%2Ffull-record%2FWOS:000273723100018","View Full Record in Web of Science")</f>
        <v>View Full Record in Web of Science</v>
      </c>
    </row>
    <row r="47" ht="12.75" customHeight="1">
      <c r="A47" s="8" t="s">
        <v>967</v>
      </c>
      <c r="B47" s="8" t="s">
        <v>2131</v>
      </c>
      <c r="C47" s="8" t="s">
        <v>969</v>
      </c>
      <c r="D47" s="8" t="s">
        <v>969</v>
      </c>
      <c r="E47" s="8" t="s">
        <v>969</v>
      </c>
      <c r="F47" s="8" t="s">
        <v>2132</v>
      </c>
      <c r="G47" s="8" t="s">
        <v>969</v>
      </c>
      <c r="H47" s="8" t="s">
        <v>969</v>
      </c>
      <c r="I47" s="8" t="s">
        <v>2133</v>
      </c>
      <c r="J47" s="8" t="s">
        <v>2018</v>
      </c>
      <c r="K47" s="8" t="s">
        <v>969</v>
      </c>
      <c r="L47" s="8" t="s">
        <v>969</v>
      </c>
      <c r="M47" s="8" t="s">
        <v>972</v>
      </c>
      <c r="N47" s="8" t="s">
        <v>973</v>
      </c>
      <c r="O47" s="8" t="s">
        <v>969</v>
      </c>
      <c r="P47" s="8" t="s">
        <v>969</v>
      </c>
      <c r="Q47" s="8" t="s">
        <v>969</v>
      </c>
      <c r="R47" s="8" t="s">
        <v>969</v>
      </c>
      <c r="S47" s="8" t="s">
        <v>969</v>
      </c>
      <c r="T47" s="8" t="s">
        <v>2134</v>
      </c>
      <c r="U47" s="8" t="s">
        <v>2135</v>
      </c>
      <c r="V47" s="8" t="s">
        <v>2136</v>
      </c>
      <c r="W47" s="8" t="s">
        <v>2137</v>
      </c>
      <c r="X47" s="8" t="s">
        <v>3373</v>
      </c>
      <c r="Y47" s="8" t="s">
        <v>2139</v>
      </c>
      <c r="Z47" s="8" t="s">
        <v>2140</v>
      </c>
      <c r="AA47" s="8" t="s">
        <v>2141</v>
      </c>
      <c r="AB47" s="8" t="s">
        <v>969</v>
      </c>
      <c r="AC47" s="8" t="s">
        <v>2142</v>
      </c>
      <c r="AD47" s="8" t="s">
        <v>2143</v>
      </c>
      <c r="AE47" s="8" t="s">
        <v>2144</v>
      </c>
      <c r="AF47" s="8" t="s">
        <v>969</v>
      </c>
      <c r="AG47" s="8">
        <v>97.0</v>
      </c>
      <c r="AH47" s="8">
        <v>380.0</v>
      </c>
      <c r="AI47" s="8">
        <v>442.0</v>
      </c>
      <c r="AJ47" s="8">
        <v>1.0</v>
      </c>
      <c r="AK47" s="8">
        <v>288.0</v>
      </c>
      <c r="AL47" s="8" t="s">
        <v>1091</v>
      </c>
      <c r="AM47" s="8" t="s">
        <v>1092</v>
      </c>
      <c r="AN47" s="8" t="s">
        <v>1093</v>
      </c>
      <c r="AO47" s="8" t="s">
        <v>2033</v>
      </c>
      <c r="AP47" s="8" t="s">
        <v>2034</v>
      </c>
      <c r="AQ47" s="8" t="s">
        <v>969</v>
      </c>
      <c r="AR47" s="8" t="s">
        <v>2018</v>
      </c>
      <c r="AS47" s="8" t="s">
        <v>1267</v>
      </c>
      <c r="AT47" s="8" t="s">
        <v>1177</v>
      </c>
      <c r="AU47" s="8">
        <v>2009.0</v>
      </c>
      <c r="AV47" s="8">
        <v>90.0</v>
      </c>
      <c r="AW47" s="8">
        <v>5.0</v>
      </c>
      <c r="AX47" s="8" t="s">
        <v>969</v>
      </c>
      <c r="AY47" s="8" t="s">
        <v>969</v>
      </c>
      <c r="AZ47" s="8" t="s">
        <v>969</v>
      </c>
      <c r="BA47" s="8" t="s">
        <v>969</v>
      </c>
      <c r="BB47" s="8">
        <v>1301.0</v>
      </c>
      <c r="BC47" s="8">
        <v>1313.0</v>
      </c>
      <c r="BD47" s="8" t="s">
        <v>969</v>
      </c>
      <c r="BE47" s="8" t="s">
        <v>839</v>
      </c>
      <c r="BF47" s="13" t="str">
        <f>HYPERLINK("http://dx.doi.org/10.1890/08-0134.1","http://dx.doi.org/10.1890/08-0134.1")</f>
        <v>http://dx.doi.org/10.1890/08-0134.1</v>
      </c>
      <c r="BG47" s="8" t="s">
        <v>969</v>
      </c>
      <c r="BH47" s="8" t="s">
        <v>969</v>
      </c>
      <c r="BI47" s="8">
        <v>13.0</v>
      </c>
      <c r="BJ47" s="8" t="s">
        <v>1267</v>
      </c>
      <c r="BK47" s="8" t="s">
        <v>988</v>
      </c>
      <c r="BL47" s="8" t="s">
        <v>1268</v>
      </c>
      <c r="BM47" s="8" t="s">
        <v>2145</v>
      </c>
      <c r="BN47" s="8">
        <v>1.953755E7</v>
      </c>
      <c r="BO47" s="8" t="s">
        <v>969</v>
      </c>
      <c r="BP47" s="8" t="s">
        <v>969</v>
      </c>
      <c r="BQ47" s="8" t="s">
        <v>969</v>
      </c>
      <c r="BR47" s="8" t="s">
        <v>3344</v>
      </c>
      <c r="BS47" s="8" t="s">
        <v>2146</v>
      </c>
      <c r="BT47" s="8" t="str">
        <f>HYPERLINK("https%3A%2F%2Fwww.webofscience.com%2Fwos%2Fwoscc%2Ffull-record%2FWOS:000265816200012","View Full Record in Web of Science")</f>
        <v>View Full Record in Web of Science</v>
      </c>
    </row>
    <row r="48" ht="12.75" customHeight="1">
      <c r="A48" s="8" t="s">
        <v>967</v>
      </c>
      <c r="B48" s="8" t="s">
        <v>1742</v>
      </c>
      <c r="C48" s="8" t="s">
        <v>969</v>
      </c>
      <c r="D48" s="8" t="s">
        <v>969</v>
      </c>
      <c r="E48" s="8" t="s">
        <v>969</v>
      </c>
      <c r="F48" s="8" t="s">
        <v>1743</v>
      </c>
      <c r="G48" s="8" t="s">
        <v>969</v>
      </c>
      <c r="H48" s="8" t="s">
        <v>969</v>
      </c>
      <c r="I48" s="8" t="s">
        <v>1744</v>
      </c>
      <c r="J48" s="8" t="s">
        <v>1745</v>
      </c>
      <c r="K48" s="8" t="s">
        <v>969</v>
      </c>
      <c r="L48" s="8" t="s">
        <v>969</v>
      </c>
      <c r="M48" s="8" t="s">
        <v>972</v>
      </c>
      <c r="N48" s="8" t="s">
        <v>973</v>
      </c>
      <c r="O48" s="8" t="s">
        <v>969</v>
      </c>
      <c r="P48" s="8" t="s">
        <v>969</v>
      </c>
      <c r="Q48" s="8" t="s">
        <v>969</v>
      </c>
      <c r="R48" s="8" t="s">
        <v>969</v>
      </c>
      <c r="S48" s="8" t="s">
        <v>969</v>
      </c>
      <c r="T48" s="8" t="s">
        <v>1746</v>
      </c>
      <c r="U48" s="8" t="s">
        <v>1747</v>
      </c>
      <c r="V48" s="8" t="s">
        <v>1748</v>
      </c>
      <c r="W48" s="8" t="s">
        <v>1749</v>
      </c>
      <c r="X48" s="8" t="s">
        <v>1750</v>
      </c>
      <c r="Y48" s="8" t="s">
        <v>1751</v>
      </c>
      <c r="Z48" s="8" t="s">
        <v>1752</v>
      </c>
      <c r="AA48" s="8" t="s">
        <v>3168</v>
      </c>
      <c r="AB48" s="8" t="s">
        <v>3169</v>
      </c>
      <c r="AC48" s="8" t="s">
        <v>969</v>
      </c>
      <c r="AD48" s="8" t="s">
        <v>969</v>
      </c>
      <c r="AE48" s="8" t="s">
        <v>969</v>
      </c>
      <c r="AF48" s="8" t="s">
        <v>969</v>
      </c>
      <c r="AG48" s="8">
        <v>94.0</v>
      </c>
      <c r="AH48" s="8">
        <v>229.0</v>
      </c>
      <c r="AI48" s="8">
        <v>266.0</v>
      </c>
      <c r="AJ48" s="8">
        <v>1.0</v>
      </c>
      <c r="AK48" s="8">
        <v>120.0</v>
      </c>
      <c r="AL48" s="8" t="s">
        <v>1755</v>
      </c>
      <c r="AM48" s="8" t="s">
        <v>1756</v>
      </c>
      <c r="AN48" s="8" t="s">
        <v>1757</v>
      </c>
      <c r="AO48" s="8" t="s">
        <v>1758</v>
      </c>
      <c r="AP48" s="8" t="s">
        <v>1759</v>
      </c>
      <c r="AQ48" s="8" t="s">
        <v>969</v>
      </c>
      <c r="AR48" s="8" t="s">
        <v>1760</v>
      </c>
      <c r="AS48" s="8" t="s">
        <v>1761</v>
      </c>
      <c r="AT48" s="8" t="s">
        <v>1016</v>
      </c>
      <c r="AU48" s="8">
        <v>2008.0</v>
      </c>
      <c r="AV48" s="8">
        <v>171.0</v>
      </c>
      <c r="AW48" s="8">
        <v>1.0</v>
      </c>
      <c r="AX48" s="8" t="s">
        <v>969</v>
      </c>
      <c r="AY48" s="8" t="s">
        <v>969</v>
      </c>
      <c r="AZ48" s="8" t="s">
        <v>969</v>
      </c>
      <c r="BA48" s="8" t="s">
        <v>969</v>
      </c>
      <c r="BB48" s="8" t="s">
        <v>1762</v>
      </c>
      <c r="BC48" s="8" t="s">
        <v>1763</v>
      </c>
      <c r="BD48" s="8" t="s">
        <v>969</v>
      </c>
      <c r="BE48" s="8" t="s">
        <v>647</v>
      </c>
      <c r="BF48" s="13" t="str">
        <f>HYPERLINK("http://dx.doi.org/10.1086/523949","http://dx.doi.org/10.1086/523949")</f>
        <v>http://dx.doi.org/10.1086/523949</v>
      </c>
      <c r="BG48" s="8" t="s">
        <v>969</v>
      </c>
      <c r="BH48" s="8" t="s">
        <v>969</v>
      </c>
      <c r="BI48" s="8">
        <v>19.0</v>
      </c>
      <c r="BJ48" s="8" t="s">
        <v>1764</v>
      </c>
      <c r="BK48" s="8" t="s">
        <v>988</v>
      </c>
      <c r="BL48" s="8" t="s">
        <v>1765</v>
      </c>
      <c r="BM48" s="8" t="s">
        <v>1766</v>
      </c>
      <c r="BN48" s="8">
        <v>1.817114E7</v>
      </c>
      <c r="BO48" s="8" t="s">
        <v>969</v>
      </c>
      <c r="BP48" s="8" t="s">
        <v>969</v>
      </c>
      <c r="BQ48" s="8" t="s">
        <v>969</v>
      </c>
      <c r="BR48" s="8" t="s">
        <v>3344</v>
      </c>
      <c r="BS48" s="8" t="s">
        <v>1767</v>
      </c>
      <c r="BT48" s="8" t="str">
        <f>HYPERLINK("https%3A%2F%2Fwww.webofscience.com%2Fwos%2Fwoscc%2Ffull-record%2FWOS:000252191700017","View Full Record in Web of Science")</f>
        <v>View Full Record in Web of Science</v>
      </c>
    </row>
    <row r="49" ht="12.75" customHeight="1">
      <c r="A49" s="8" t="s">
        <v>967</v>
      </c>
      <c r="B49" s="8" t="s">
        <v>1717</v>
      </c>
      <c r="C49" s="8" t="s">
        <v>969</v>
      </c>
      <c r="D49" s="8" t="s">
        <v>969</v>
      </c>
      <c r="E49" s="8" t="s">
        <v>969</v>
      </c>
      <c r="F49" s="8" t="s">
        <v>1718</v>
      </c>
      <c r="G49" s="8" t="s">
        <v>969</v>
      </c>
      <c r="H49" s="8" t="s">
        <v>969</v>
      </c>
      <c r="I49" s="8" t="s">
        <v>1719</v>
      </c>
      <c r="J49" s="8" t="s">
        <v>1645</v>
      </c>
      <c r="K49" s="8" t="s">
        <v>969</v>
      </c>
      <c r="L49" s="8" t="s">
        <v>969</v>
      </c>
      <c r="M49" s="8" t="s">
        <v>972</v>
      </c>
      <c r="N49" s="8" t="s">
        <v>973</v>
      </c>
      <c r="O49" s="8" t="s">
        <v>969</v>
      </c>
      <c r="P49" s="8" t="s">
        <v>969</v>
      </c>
      <c r="Q49" s="8" t="s">
        <v>969</v>
      </c>
      <c r="R49" s="8" t="s">
        <v>969</v>
      </c>
      <c r="S49" s="8" t="s">
        <v>969</v>
      </c>
      <c r="T49" s="8" t="s">
        <v>1720</v>
      </c>
      <c r="U49" s="8" t="s">
        <v>1721</v>
      </c>
      <c r="V49" s="8" t="s">
        <v>1722</v>
      </c>
      <c r="W49" s="8" t="s">
        <v>1723</v>
      </c>
      <c r="X49" s="8" t="s">
        <v>1724</v>
      </c>
      <c r="Y49" s="8" t="s">
        <v>1067</v>
      </c>
      <c r="Z49" s="8" t="s">
        <v>1174</v>
      </c>
      <c r="AA49" s="8" t="s">
        <v>3303</v>
      </c>
      <c r="AB49" s="8" t="s">
        <v>3304</v>
      </c>
      <c r="AC49" s="8" t="s">
        <v>969</v>
      </c>
      <c r="AD49" s="8" t="s">
        <v>969</v>
      </c>
      <c r="AE49" s="8" t="s">
        <v>969</v>
      </c>
      <c r="AF49" s="8" t="s">
        <v>969</v>
      </c>
      <c r="AG49" s="8">
        <v>41.0</v>
      </c>
      <c r="AH49" s="8">
        <v>7.0</v>
      </c>
      <c r="AI49" s="8">
        <v>10.0</v>
      </c>
      <c r="AJ49" s="8">
        <v>1.0</v>
      </c>
      <c r="AK49" s="8">
        <v>26.0</v>
      </c>
      <c r="AL49" s="8" t="s">
        <v>1609</v>
      </c>
      <c r="AM49" s="8" t="s">
        <v>1032</v>
      </c>
      <c r="AN49" s="8" t="s">
        <v>1210</v>
      </c>
      <c r="AO49" s="8" t="s">
        <v>1653</v>
      </c>
      <c r="AP49" s="8" t="s">
        <v>1654</v>
      </c>
      <c r="AQ49" s="8" t="s">
        <v>969</v>
      </c>
      <c r="AR49" s="8" t="s">
        <v>1655</v>
      </c>
      <c r="AS49" s="8" t="s">
        <v>1656</v>
      </c>
      <c r="AT49" s="8" t="s">
        <v>986</v>
      </c>
      <c r="AU49" s="8">
        <v>2007.0</v>
      </c>
      <c r="AV49" s="8">
        <v>16.0</v>
      </c>
      <c r="AW49" s="8">
        <v>14.0</v>
      </c>
      <c r="AX49" s="8" t="s">
        <v>969</v>
      </c>
      <c r="AY49" s="8" t="s">
        <v>969</v>
      </c>
      <c r="AZ49" s="8" t="s">
        <v>969</v>
      </c>
      <c r="BA49" s="8" t="s">
        <v>969</v>
      </c>
      <c r="BB49" s="8">
        <v>3939.0</v>
      </c>
      <c r="BC49" s="8">
        <v>3950.0</v>
      </c>
      <c r="BD49" s="8" t="s">
        <v>969</v>
      </c>
      <c r="BE49" s="8" t="s">
        <v>524</v>
      </c>
      <c r="BF49" s="13" t="str">
        <f>HYPERLINK("http://dx.doi.org/10.1007/s10531-007-9152-z","http://dx.doi.org/10.1007/s10531-007-9152-z")</f>
        <v>http://dx.doi.org/10.1007/s10531-007-9152-z</v>
      </c>
      <c r="BG49" s="8" t="s">
        <v>969</v>
      </c>
      <c r="BH49" s="8" t="s">
        <v>969</v>
      </c>
      <c r="BI49" s="8">
        <v>12.0</v>
      </c>
      <c r="BJ49" s="8" t="s">
        <v>987</v>
      </c>
      <c r="BK49" s="8" t="s">
        <v>988</v>
      </c>
      <c r="BL49" s="8" t="s">
        <v>989</v>
      </c>
      <c r="BM49" s="8" t="s">
        <v>1727</v>
      </c>
      <c r="BN49" s="8" t="s">
        <v>969</v>
      </c>
      <c r="BO49" s="8" t="s">
        <v>969</v>
      </c>
      <c r="BP49" s="8" t="s">
        <v>969</v>
      </c>
      <c r="BQ49" s="8" t="s">
        <v>969</v>
      </c>
      <c r="BR49" s="8" t="s">
        <v>3344</v>
      </c>
      <c r="BS49" s="8" t="s">
        <v>1728</v>
      </c>
      <c r="BT49" s="8" t="str">
        <f>HYPERLINK("https%3A%2F%2Fwww.webofscience.com%2Fwos%2Fwoscc%2Ffull-record%2FWOS:000250833000001","View Full Record in Web of Science")</f>
        <v>View Full Record in Web of Science</v>
      </c>
    </row>
    <row r="50" ht="12.75" customHeight="1">
      <c r="A50" s="8" t="s">
        <v>967</v>
      </c>
      <c r="B50" s="8" t="s">
        <v>2954</v>
      </c>
      <c r="C50" s="8" t="s">
        <v>969</v>
      </c>
      <c r="D50" s="8" t="s">
        <v>969</v>
      </c>
      <c r="E50" s="8" t="s">
        <v>969</v>
      </c>
      <c r="F50" s="8" t="s">
        <v>2954</v>
      </c>
      <c r="G50" s="8" t="s">
        <v>969</v>
      </c>
      <c r="H50" s="8" t="s">
        <v>969</v>
      </c>
      <c r="I50" s="8" t="s">
        <v>2955</v>
      </c>
      <c r="J50" s="8" t="s">
        <v>2956</v>
      </c>
      <c r="K50" s="8" t="s">
        <v>969</v>
      </c>
      <c r="L50" s="8" t="s">
        <v>969</v>
      </c>
      <c r="M50" s="8" t="s">
        <v>972</v>
      </c>
      <c r="N50" s="8" t="s">
        <v>973</v>
      </c>
      <c r="O50" s="8" t="s">
        <v>969</v>
      </c>
      <c r="P50" s="8" t="s">
        <v>969</v>
      </c>
      <c r="Q50" s="8" t="s">
        <v>969</v>
      </c>
      <c r="R50" s="8" t="s">
        <v>969</v>
      </c>
      <c r="S50" s="8" t="s">
        <v>969</v>
      </c>
      <c r="T50" s="8" t="s">
        <v>969</v>
      </c>
      <c r="U50" s="8" t="s">
        <v>2957</v>
      </c>
      <c r="V50" s="8" t="s">
        <v>2958</v>
      </c>
      <c r="W50" s="8" t="s">
        <v>2959</v>
      </c>
      <c r="X50" s="8" t="s">
        <v>2960</v>
      </c>
      <c r="Y50" s="8" t="s">
        <v>2961</v>
      </c>
      <c r="Z50" s="8" t="s">
        <v>2962</v>
      </c>
      <c r="AA50" s="8" t="s">
        <v>3374</v>
      </c>
      <c r="AB50" s="8" t="s">
        <v>3375</v>
      </c>
      <c r="AC50" s="8" t="s">
        <v>969</v>
      </c>
      <c r="AD50" s="8" t="s">
        <v>969</v>
      </c>
      <c r="AE50" s="8" t="s">
        <v>969</v>
      </c>
      <c r="AF50" s="8" t="s">
        <v>969</v>
      </c>
      <c r="AG50" s="8">
        <v>89.0</v>
      </c>
      <c r="AH50" s="8">
        <v>66.0</v>
      </c>
      <c r="AI50" s="8">
        <v>80.0</v>
      </c>
      <c r="AJ50" s="8">
        <v>0.0</v>
      </c>
      <c r="AK50" s="8">
        <v>79.0</v>
      </c>
      <c r="AL50" s="8" t="s">
        <v>2965</v>
      </c>
      <c r="AM50" s="8" t="s">
        <v>2966</v>
      </c>
      <c r="AN50" s="8" t="s">
        <v>2967</v>
      </c>
      <c r="AO50" s="8" t="s">
        <v>2968</v>
      </c>
      <c r="AP50" s="8" t="s">
        <v>2969</v>
      </c>
      <c r="AQ50" s="8" t="s">
        <v>969</v>
      </c>
      <c r="AR50" s="8" t="s">
        <v>2956</v>
      </c>
      <c r="AS50" s="8" t="s">
        <v>2970</v>
      </c>
      <c r="AT50" s="8" t="s">
        <v>986</v>
      </c>
      <c r="AU50" s="8">
        <v>2004.0</v>
      </c>
      <c r="AV50" s="8">
        <v>75.0</v>
      </c>
      <c r="AW50" s="8">
        <v>4.0</v>
      </c>
      <c r="AX50" s="8" t="s">
        <v>969</v>
      </c>
      <c r="AY50" s="8" t="s">
        <v>969</v>
      </c>
      <c r="AZ50" s="8" t="s">
        <v>969</v>
      </c>
      <c r="BA50" s="8" t="s">
        <v>969</v>
      </c>
      <c r="BB50" s="8">
        <v>295.0</v>
      </c>
      <c r="BC50" s="8">
        <v>308.0</v>
      </c>
      <c r="BD50" s="8" t="s">
        <v>969</v>
      </c>
      <c r="BE50" s="8" t="s">
        <v>848</v>
      </c>
      <c r="BF50" s="13" t="str">
        <f>HYPERLINK("http://dx.doi.org/10.2989/00306520409485458","http://dx.doi.org/10.2989/00306520409485458")</f>
        <v>http://dx.doi.org/10.2989/00306520409485458</v>
      </c>
      <c r="BG50" s="8" t="s">
        <v>969</v>
      </c>
      <c r="BH50" s="8" t="s">
        <v>969</v>
      </c>
      <c r="BI50" s="8">
        <v>14.0</v>
      </c>
      <c r="BJ50" s="8" t="s">
        <v>2971</v>
      </c>
      <c r="BK50" s="8" t="s">
        <v>988</v>
      </c>
      <c r="BL50" s="8" t="s">
        <v>1321</v>
      </c>
      <c r="BM50" s="8" t="s">
        <v>2972</v>
      </c>
      <c r="BN50" s="8" t="s">
        <v>969</v>
      </c>
      <c r="BO50" s="8" t="s">
        <v>969</v>
      </c>
      <c r="BP50" s="8" t="s">
        <v>969</v>
      </c>
      <c r="BQ50" s="8" t="s">
        <v>969</v>
      </c>
      <c r="BR50" s="8" t="s">
        <v>3344</v>
      </c>
      <c r="BS50" s="8" t="s">
        <v>2973</v>
      </c>
      <c r="BT50" s="8" t="str">
        <f>HYPERLINK("https%3A%2F%2Fwww.webofscience.com%2Fwos%2Fwoscc%2Ffull-record%2FWOS:000226678100020","View Full Record in Web of Science")</f>
        <v>View Full Record in Web of Science</v>
      </c>
    </row>
    <row r="51" ht="12.75" customHeight="1">
      <c r="A51" s="8" t="s">
        <v>967</v>
      </c>
      <c r="B51" s="8" t="s">
        <v>2328</v>
      </c>
      <c r="C51" s="8" t="s">
        <v>969</v>
      </c>
      <c r="D51" s="8" t="s">
        <v>969</v>
      </c>
      <c r="E51" s="8" t="s">
        <v>969</v>
      </c>
      <c r="F51" s="8" t="s">
        <v>2329</v>
      </c>
      <c r="G51" s="8" t="s">
        <v>969</v>
      </c>
      <c r="H51" s="8" t="s">
        <v>969</v>
      </c>
      <c r="I51" s="8" t="s">
        <v>2330</v>
      </c>
      <c r="J51" s="8" t="s">
        <v>2331</v>
      </c>
      <c r="K51" s="8" t="s">
        <v>969</v>
      </c>
      <c r="L51" s="8" t="s">
        <v>969</v>
      </c>
      <c r="M51" s="8" t="s">
        <v>972</v>
      </c>
      <c r="N51" s="8" t="s">
        <v>973</v>
      </c>
      <c r="O51" s="8" t="s">
        <v>969</v>
      </c>
      <c r="P51" s="8" t="s">
        <v>969</v>
      </c>
      <c r="Q51" s="8" t="s">
        <v>969</v>
      </c>
      <c r="R51" s="8" t="s">
        <v>969</v>
      </c>
      <c r="S51" s="8" t="s">
        <v>969</v>
      </c>
      <c r="T51" s="8" t="s">
        <v>2332</v>
      </c>
      <c r="U51" s="8" t="s">
        <v>2333</v>
      </c>
      <c r="V51" s="8" t="s">
        <v>2334</v>
      </c>
      <c r="W51" s="8" t="s">
        <v>2335</v>
      </c>
      <c r="X51" s="8" t="s">
        <v>2336</v>
      </c>
      <c r="Y51" s="8" t="s">
        <v>2337</v>
      </c>
      <c r="Z51" s="8" t="s">
        <v>2338</v>
      </c>
      <c r="AA51" s="8" t="s">
        <v>3015</v>
      </c>
      <c r="AB51" s="8" t="s">
        <v>3376</v>
      </c>
      <c r="AC51" s="8" t="s">
        <v>2341</v>
      </c>
      <c r="AD51" s="8" t="s">
        <v>2341</v>
      </c>
      <c r="AE51" s="8" t="s">
        <v>2342</v>
      </c>
      <c r="AF51" s="8" t="s">
        <v>969</v>
      </c>
      <c r="AG51" s="8">
        <v>56.0</v>
      </c>
      <c r="AH51" s="8">
        <v>135.0</v>
      </c>
      <c r="AI51" s="8">
        <v>150.0</v>
      </c>
      <c r="AJ51" s="8">
        <v>1.0</v>
      </c>
      <c r="AK51" s="8">
        <v>89.0</v>
      </c>
      <c r="AL51" s="8" t="s">
        <v>2343</v>
      </c>
      <c r="AM51" s="8" t="s">
        <v>2344</v>
      </c>
      <c r="AN51" s="8" t="s">
        <v>2345</v>
      </c>
      <c r="AO51" s="8" t="s">
        <v>2346</v>
      </c>
      <c r="AP51" s="8" t="s">
        <v>2347</v>
      </c>
      <c r="AQ51" s="8" t="s">
        <v>969</v>
      </c>
      <c r="AR51" s="8" t="s">
        <v>2348</v>
      </c>
      <c r="AS51" s="8" t="s">
        <v>2349</v>
      </c>
      <c r="AT51" s="8" t="s">
        <v>969</v>
      </c>
      <c r="AU51" s="8">
        <v>2011.0</v>
      </c>
      <c r="AV51" s="8">
        <v>62.0</v>
      </c>
      <c r="AW51" s="8">
        <v>9.0</v>
      </c>
      <c r="AX51" s="8" t="s">
        <v>969</v>
      </c>
      <c r="AY51" s="8" t="s">
        <v>969</v>
      </c>
      <c r="AZ51" s="8" t="s">
        <v>2350</v>
      </c>
      <c r="BA51" s="8" t="s">
        <v>969</v>
      </c>
      <c r="BB51" s="8">
        <v>1043.0</v>
      </c>
      <c r="BC51" s="8">
        <v>1061.0</v>
      </c>
      <c r="BD51" s="8" t="s">
        <v>969</v>
      </c>
      <c r="BE51" s="8" t="s">
        <v>632</v>
      </c>
      <c r="BF51" s="13" t="str">
        <f>HYPERLINK("http://dx.doi.org/10.1071/MF10286","http://dx.doi.org/10.1071/MF10286")</f>
        <v>http://dx.doi.org/10.1071/MF10286</v>
      </c>
      <c r="BG51" s="8" t="s">
        <v>969</v>
      </c>
      <c r="BH51" s="8" t="s">
        <v>969</v>
      </c>
      <c r="BI51" s="8">
        <v>19.0</v>
      </c>
      <c r="BJ51" s="8" t="s">
        <v>2351</v>
      </c>
      <c r="BK51" s="8" t="s">
        <v>988</v>
      </c>
      <c r="BL51" s="8" t="s">
        <v>2352</v>
      </c>
      <c r="BM51" s="8" t="s">
        <v>2353</v>
      </c>
      <c r="BN51" s="8" t="s">
        <v>969</v>
      </c>
      <c r="BO51" s="8" t="s">
        <v>1441</v>
      </c>
      <c r="BP51" s="8" t="s">
        <v>969</v>
      </c>
      <c r="BQ51" s="8" t="s">
        <v>969</v>
      </c>
      <c r="BR51" s="8" t="s">
        <v>3344</v>
      </c>
      <c r="BS51" s="8" t="s">
        <v>2354</v>
      </c>
      <c r="BT51" s="8" t="str">
        <f>HYPERLINK("https%3A%2F%2Fwww.webofscience.com%2Fwos%2Fwoscc%2Ffull-record%2FWOS:000295083900006","View Full Record in Web of Science")</f>
        <v>View Full Record in Web of Science</v>
      </c>
    </row>
    <row r="52" ht="12.75" customHeight="1">
      <c r="A52" s="8" t="s">
        <v>967</v>
      </c>
      <c r="B52" s="8" t="s">
        <v>2015</v>
      </c>
      <c r="C52" s="8" t="s">
        <v>969</v>
      </c>
      <c r="D52" s="8" t="s">
        <v>969</v>
      </c>
      <c r="E52" s="8" t="s">
        <v>969</v>
      </c>
      <c r="F52" s="8" t="s">
        <v>2016</v>
      </c>
      <c r="G52" s="8" t="s">
        <v>969</v>
      </c>
      <c r="H52" s="8" t="s">
        <v>969</v>
      </c>
      <c r="I52" s="8" t="s">
        <v>2017</v>
      </c>
      <c r="J52" s="8" t="s">
        <v>2018</v>
      </c>
      <c r="K52" s="8" t="s">
        <v>969</v>
      </c>
      <c r="L52" s="8" t="s">
        <v>969</v>
      </c>
      <c r="M52" s="8" t="s">
        <v>972</v>
      </c>
      <c r="N52" s="8" t="s">
        <v>973</v>
      </c>
      <c r="O52" s="8" t="s">
        <v>969</v>
      </c>
      <c r="P52" s="8" t="s">
        <v>969</v>
      </c>
      <c r="Q52" s="8" t="s">
        <v>969</v>
      </c>
      <c r="R52" s="8" t="s">
        <v>969</v>
      </c>
      <c r="S52" s="8" t="s">
        <v>969</v>
      </c>
      <c r="T52" s="8" t="s">
        <v>2019</v>
      </c>
      <c r="U52" s="8" t="s">
        <v>2020</v>
      </c>
      <c r="V52" s="8" t="s">
        <v>2021</v>
      </c>
      <c r="W52" s="8" t="s">
        <v>2022</v>
      </c>
      <c r="X52" s="8" t="s">
        <v>2023</v>
      </c>
      <c r="Y52" s="8" t="s">
        <v>2024</v>
      </c>
      <c r="Z52" s="8" t="s">
        <v>2025</v>
      </c>
      <c r="AA52" s="8" t="s">
        <v>3377</v>
      </c>
      <c r="AB52" s="8" t="s">
        <v>3378</v>
      </c>
      <c r="AC52" s="8" t="s">
        <v>2028</v>
      </c>
      <c r="AD52" s="8" t="s">
        <v>2029</v>
      </c>
      <c r="AE52" s="8" t="s">
        <v>2030</v>
      </c>
      <c r="AF52" s="8" t="s">
        <v>969</v>
      </c>
      <c r="AG52" s="8">
        <v>49.0</v>
      </c>
      <c r="AH52" s="8">
        <v>334.0</v>
      </c>
      <c r="AI52" s="8">
        <v>384.0</v>
      </c>
      <c r="AJ52" s="8">
        <v>1.0</v>
      </c>
      <c r="AK52" s="8">
        <v>203.0</v>
      </c>
      <c r="AL52" s="8" t="s">
        <v>2031</v>
      </c>
      <c r="AM52" s="8" t="s">
        <v>1388</v>
      </c>
      <c r="AN52" s="8" t="s">
        <v>2032</v>
      </c>
      <c r="AO52" s="8" t="s">
        <v>2033</v>
      </c>
      <c r="AP52" s="8" t="s">
        <v>2034</v>
      </c>
      <c r="AQ52" s="8" t="s">
        <v>969</v>
      </c>
      <c r="AR52" s="8" t="s">
        <v>2018</v>
      </c>
      <c r="AS52" s="8" t="s">
        <v>1267</v>
      </c>
      <c r="AT52" s="8" t="s">
        <v>986</v>
      </c>
      <c r="AU52" s="8">
        <v>2008.0</v>
      </c>
      <c r="AV52" s="8">
        <v>89.0</v>
      </c>
      <c r="AW52" s="8">
        <v>12.0</v>
      </c>
      <c r="AX52" s="8" t="s">
        <v>969</v>
      </c>
      <c r="AY52" s="8" t="s">
        <v>969</v>
      </c>
      <c r="AZ52" s="8" t="s">
        <v>969</v>
      </c>
      <c r="BA52" s="8" t="s">
        <v>969</v>
      </c>
      <c r="BB52" s="8">
        <v>3472.0</v>
      </c>
      <c r="BC52" s="8">
        <v>3479.0</v>
      </c>
      <c r="BD52" s="8" t="s">
        <v>969</v>
      </c>
      <c r="BE52" s="8" t="s">
        <v>836</v>
      </c>
      <c r="BF52" s="13" t="str">
        <f>HYPERLINK("http://dx.doi.org/10.1890/07-1748.1","http://dx.doi.org/10.1890/07-1748.1")</f>
        <v>http://dx.doi.org/10.1890/07-1748.1</v>
      </c>
      <c r="BG52" s="8" t="s">
        <v>969</v>
      </c>
      <c r="BH52" s="8" t="s">
        <v>969</v>
      </c>
      <c r="BI52" s="8">
        <v>8.0</v>
      </c>
      <c r="BJ52" s="8" t="s">
        <v>1267</v>
      </c>
      <c r="BK52" s="8" t="s">
        <v>988</v>
      </c>
      <c r="BL52" s="8" t="s">
        <v>1268</v>
      </c>
      <c r="BM52" s="8" t="s">
        <v>2035</v>
      </c>
      <c r="BN52" s="8">
        <v>1.9137952E7</v>
      </c>
      <c r="BO52" s="8" t="s">
        <v>969</v>
      </c>
      <c r="BP52" s="8" t="s">
        <v>969</v>
      </c>
      <c r="BQ52" s="8" t="s">
        <v>969</v>
      </c>
      <c r="BR52" s="8" t="s">
        <v>3344</v>
      </c>
      <c r="BS52" s="8" t="s">
        <v>2036</v>
      </c>
      <c r="BT52" s="8" t="str">
        <f>HYPERLINK("https%3A%2F%2Fwww.webofscience.com%2Fwos%2Fwoscc%2Ffull-record%2FWOS:000261524000021","View Full Record in Web of Science")</f>
        <v>View Full Record in Web of Science</v>
      </c>
    </row>
    <row r="53" ht="12.75" customHeight="1">
      <c r="A53" s="8" t="s">
        <v>967</v>
      </c>
      <c r="B53" s="8" t="s">
        <v>1642</v>
      </c>
      <c r="C53" s="8" t="s">
        <v>969</v>
      </c>
      <c r="D53" s="8" t="s">
        <v>969</v>
      </c>
      <c r="E53" s="8" t="s">
        <v>969</v>
      </c>
      <c r="F53" s="8" t="s">
        <v>1643</v>
      </c>
      <c r="G53" s="8" t="s">
        <v>969</v>
      </c>
      <c r="H53" s="8" t="s">
        <v>969</v>
      </c>
      <c r="I53" s="8" t="s">
        <v>1644</v>
      </c>
      <c r="J53" s="8" t="s">
        <v>1645</v>
      </c>
      <c r="K53" s="8" t="s">
        <v>969</v>
      </c>
      <c r="L53" s="8" t="s">
        <v>969</v>
      </c>
      <c r="M53" s="8" t="s">
        <v>972</v>
      </c>
      <c r="N53" s="8" t="s">
        <v>973</v>
      </c>
      <c r="O53" s="8" t="s">
        <v>969</v>
      </c>
      <c r="P53" s="8" t="s">
        <v>969</v>
      </c>
      <c r="Q53" s="8" t="s">
        <v>969</v>
      </c>
      <c r="R53" s="8" t="s">
        <v>969</v>
      </c>
      <c r="S53" s="8" t="s">
        <v>969</v>
      </c>
      <c r="T53" s="8" t="s">
        <v>1646</v>
      </c>
      <c r="U53" s="8" t="s">
        <v>1647</v>
      </c>
      <c r="V53" s="8" t="s">
        <v>1648</v>
      </c>
      <c r="W53" s="8" t="s">
        <v>1649</v>
      </c>
      <c r="X53" s="8" t="s">
        <v>1650</v>
      </c>
      <c r="Y53" s="8" t="s">
        <v>1651</v>
      </c>
      <c r="Z53" s="8" t="s">
        <v>1652</v>
      </c>
      <c r="AA53" s="8" t="s">
        <v>1280</v>
      </c>
      <c r="AB53" s="8" t="s">
        <v>1281</v>
      </c>
      <c r="AC53" s="8" t="s">
        <v>969</v>
      </c>
      <c r="AD53" s="8" t="s">
        <v>969</v>
      </c>
      <c r="AE53" s="8" t="s">
        <v>969</v>
      </c>
      <c r="AF53" s="8" t="s">
        <v>969</v>
      </c>
      <c r="AG53" s="8">
        <v>62.0</v>
      </c>
      <c r="AH53" s="8">
        <v>43.0</v>
      </c>
      <c r="AI53" s="8">
        <v>49.0</v>
      </c>
      <c r="AJ53" s="8">
        <v>0.0</v>
      </c>
      <c r="AK53" s="8">
        <v>32.0</v>
      </c>
      <c r="AL53" s="8" t="s">
        <v>1609</v>
      </c>
      <c r="AM53" s="8" t="s">
        <v>1032</v>
      </c>
      <c r="AN53" s="8" t="s">
        <v>1210</v>
      </c>
      <c r="AO53" s="8" t="s">
        <v>1653</v>
      </c>
      <c r="AP53" s="8" t="s">
        <v>1654</v>
      </c>
      <c r="AQ53" s="8" t="s">
        <v>969</v>
      </c>
      <c r="AR53" s="8" t="s">
        <v>1655</v>
      </c>
      <c r="AS53" s="8" t="s">
        <v>1656</v>
      </c>
      <c r="AT53" s="8" t="s">
        <v>1300</v>
      </c>
      <c r="AU53" s="8">
        <v>2006.0</v>
      </c>
      <c r="AV53" s="8">
        <v>15.0</v>
      </c>
      <c r="AW53" s="8">
        <v>10.0</v>
      </c>
      <c r="AX53" s="8" t="s">
        <v>969</v>
      </c>
      <c r="AY53" s="8" t="s">
        <v>969</v>
      </c>
      <c r="AZ53" s="8" t="s">
        <v>969</v>
      </c>
      <c r="BA53" s="8" t="s">
        <v>969</v>
      </c>
      <c r="BB53" s="8">
        <v>3341.0</v>
      </c>
      <c r="BC53" s="8">
        <v>3356.0</v>
      </c>
      <c r="BD53" s="8" t="s">
        <v>969</v>
      </c>
      <c r="BE53" s="8" t="s">
        <v>521</v>
      </c>
      <c r="BF53" s="13" t="str">
        <f>HYPERLINK("http://dx.doi.org/10.1007/s10531-005-1345-8","http://dx.doi.org/10.1007/s10531-005-1345-8")</f>
        <v>http://dx.doi.org/10.1007/s10531-005-1345-8</v>
      </c>
      <c r="BG53" s="8" t="s">
        <v>969</v>
      </c>
      <c r="BH53" s="8" t="s">
        <v>969</v>
      </c>
      <c r="BI53" s="8">
        <v>16.0</v>
      </c>
      <c r="BJ53" s="8" t="s">
        <v>987</v>
      </c>
      <c r="BK53" s="8" t="s">
        <v>988</v>
      </c>
      <c r="BL53" s="8" t="s">
        <v>989</v>
      </c>
      <c r="BM53" s="8" t="s">
        <v>1657</v>
      </c>
      <c r="BN53" s="8" t="s">
        <v>969</v>
      </c>
      <c r="BO53" s="8" t="s">
        <v>969</v>
      </c>
      <c r="BP53" s="8" t="s">
        <v>969</v>
      </c>
      <c r="BQ53" s="8" t="s">
        <v>969</v>
      </c>
      <c r="BR53" s="8" t="s">
        <v>3344</v>
      </c>
      <c r="BS53" s="8" t="s">
        <v>1658</v>
      </c>
      <c r="BT53" s="8" t="str">
        <f>HYPERLINK("https%3A%2F%2Fwww.webofscience.com%2Fwos%2Fwoscc%2Ffull-record%2FWOS:000241791200014","View Full Record in Web of Science")</f>
        <v>View Full Record in Web of Science</v>
      </c>
    </row>
    <row r="54" ht="12.75" customHeight="1">
      <c r="A54" s="8" t="s">
        <v>967</v>
      </c>
      <c r="B54" s="8" t="s">
        <v>3090</v>
      </c>
      <c r="C54" s="8" t="s">
        <v>969</v>
      </c>
      <c r="D54" s="8" t="s">
        <v>969</v>
      </c>
      <c r="E54" s="8" t="s">
        <v>969</v>
      </c>
      <c r="F54" s="8" t="s">
        <v>3091</v>
      </c>
      <c r="G54" s="8" t="s">
        <v>969</v>
      </c>
      <c r="H54" s="8" t="s">
        <v>969</v>
      </c>
      <c r="I54" s="8" t="s">
        <v>3092</v>
      </c>
      <c r="J54" s="8" t="s">
        <v>3093</v>
      </c>
      <c r="K54" s="8" t="s">
        <v>969</v>
      </c>
      <c r="L54" s="8" t="s">
        <v>969</v>
      </c>
      <c r="M54" s="8" t="s">
        <v>972</v>
      </c>
      <c r="N54" s="8" t="s">
        <v>1145</v>
      </c>
      <c r="O54" s="8" t="s">
        <v>3094</v>
      </c>
      <c r="P54" s="8" t="s">
        <v>3095</v>
      </c>
      <c r="Q54" s="8" t="s">
        <v>3096</v>
      </c>
      <c r="R54" s="8" t="s">
        <v>3097</v>
      </c>
      <c r="S54" s="8" t="s">
        <v>3098</v>
      </c>
      <c r="T54" s="8" t="s">
        <v>969</v>
      </c>
      <c r="U54" s="8" t="s">
        <v>3099</v>
      </c>
      <c r="V54" s="8" t="s">
        <v>3100</v>
      </c>
      <c r="W54" s="8" t="s">
        <v>3101</v>
      </c>
      <c r="X54" s="8" t="s">
        <v>3102</v>
      </c>
      <c r="Y54" s="8" t="s">
        <v>3103</v>
      </c>
      <c r="Z54" s="8" t="s">
        <v>3104</v>
      </c>
      <c r="AA54" s="8" t="s">
        <v>3379</v>
      </c>
      <c r="AB54" s="8" t="s">
        <v>3380</v>
      </c>
      <c r="AC54" s="8" t="s">
        <v>969</v>
      </c>
      <c r="AD54" s="8" t="s">
        <v>969</v>
      </c>
      <c r="AE54" s="8" t="s">
        <v>969</v>
      </c>
      <c r="AF54" s="8" t="s">
        <v>969</v>
      </c>
      <c r="AG54" s="8">
        <v>151.0</v>
      </c>
      <c r="AH54" s="8">
        <v>179.0</v>
      </c>
      <c r="AI54" s="8">
        <v>236.0</v>
      </c>
      <c r="AJ54" s="8">
        <v>0.0</v>
      </c>
      <c r="AK54" s="8">
        <v>116.0</v>
      </c>
      <c r="AL54" s="8" t="s">
        <v>1091</v>
      </c>
      <c r="AM54" s="8" t="s">
        <v>1092</v>
      </c>
      <c r="AN54" s="8" t="s">
        <v>1093</v>
      </c>
      <c r="AO54" s="8" t="s">
        <v>3107</v>
      </c>
      <c r="AP54" s="8" t="s">
        <v>3108</v>
      </c>
      <c r="AQ54" s="8" t="s">
        <v>969</v>
      </c>
      <c r="AR54" s="8" t="s">
        <v>3093</v>
      </c>
      <c r="AS54" s="8" t="s">
        <v>3109</v>
      </c>
      <c r="AT54" s="8" t="s">
        <v>1055</v>
      </c>
      <c r="AU54" s="8">
        <v>2006.0</v>
      </c>
      <c r="AV54" s="8">
        <v>148.0</v>
      </c>
      <c r="AW54" s="8" t="s">
        <v>969</v>
      </c>
      <c r="AX54" s="8" t="s">
        <v>969</v>
      </c>
      <c r="AY54" s="8">
        <v>1.0</v>
      </c>
      <c r="AZ54" s="8" t="s">
        <v>969</v>
      </c>
      <c r="BA54" s="8" t="s">
        <v>969</v>
      </c>
      <c r="BB54" s="8">
        <v>8.0</v>
      </c>
      <c r="BC54" s="8">
        <v>28.0</v>
      </c>
      <c r="BD54" s="8" t="s">
        <v>969</v>
      </c>
      <c r="BE54" s="8" t="s">
        <v>767</v>
      </c>
      <c r="BF54" s="13" t="str">
        <f>HYPERLINK("http://dx.doi.org/10.1111/j.1474-919X.2006.00523.x","http://dx.doi.org/10.1111/j.1474-919X.2006.00523.x")</f>
        <v>http://dx.doi.org/10.1111/j.1474-919X.2006.00523.x</v>
      </c>
      <c r="BG54" s="8" t="s">
        <v>969</v>
      </c>
      <c r="BH54" s="8" t="s">
        <v>969</v>
      </c>
      <c r="BI54" s="8">
        <v>21.0</v>
      </c>
      <c r="BJ54" s="8" t="s">
        <v>2971</v>
      </c>
      <c r="BK54" s="8" t="s">
        <v>1164</v>
      </c>
      <c r="BL54" s="8" t="s">
        <v>1321</v>
      </c>
      <c r="BM54" s="8" t="s">
        <v>3110</v>
      </c>
      <c r="BN54" s="8" t="s">
        <v>969</v>
      </c>
      <c r="BO54" s="8" t="s">
        <v>969</v>
      </c>
      <c r="BP54" s="8" t="s">
        <v>969</v>
      </c>
      <c r="BQ54" s="8" t="s">
        <v>969</v>
      </c>
      <c r="BR54" s="8" t="s">
        <v>3344</v>
      </c>
      <c r="BS54" s="8" t="s">
        <v>3111</v>
      </c>
      <c r="BT54" s="8" t="str">
        <f>HYPERLINK("https%3A%2F%2Fwww.webofscience.com%2Fwos%2Fwoscc%2Ffull-record%2FWOS:000243474900003","View Full Record in Web of Science")</f>
        <v>View Full Record in Web of Science</v>
      </c>
    </row>
    <row r="55" ht="12.75" customHeight="1">
      <c r="A55" s="8" t="s">
        <v>967</v>
      </c>
      <c r="B55" s="8" t="s">
        <v>2587</v>
      </c>
      <c r="C55" s="8" t="s">
        <v>969</v>
      </c>
      <c r="D55" s="8" t="s">
        <v>969</v>
      </c>
      <c r="E55" s="8" t="s">
        <v>969</v>
      </c>
      <c r="F55" s="8" t="s">
        <v>2588</v>
      </c>
      <c r="G55" s="8" t="s">
        <v>969</v>
      </c>
      <c r="H55" s="8" t="s">
        <v>969</v>
      </c>
      <c r="I55" s="8" t="s">
        <v>2589</v>
      </c>
      <c r="J55" s="8" t="s">
        <v>1000</v>
      </c>
      <c r="K55" s="8" t="s">
        <v>969</v>
      </c>
      <c r="L55" s="8" t="s">
        <v>969</v>
      </c>
      <c r="M55" s="8" t="s">
        <v>972</v>
      </c>
      <c r="N55" s="8" t="s">
        <v>973</v>
      </c>
      <c r="O55" s="8" t="s">
        <v>969</v>
      </c>
      <c r="P55" s="8" t="s">
        <v>969</v>
      </c>
      <c r="Q55" s="8" t="s">
        <v>969</v>
      </c>
      <c r="R55" s="8" t="s">
        <v>969</v>
      </c>
      <c r="S55" s="8" t="s">
        <v>969</v>
      </c>
      <c r="T55" s="8" t="s">
        <v>2590</v>
      </c>
      <c r="U55" s="8" t="s">
        <v>2591</v>
      </c>
      <c r="V55" s="8" t="s">
        <v>2592</v>
      </c>
      <c r="W55" s="8" t="s">
        <v>2593</v>
      </c>
      <c r="X55" s="8" t="s">
        <v>3381</v>
      </c>
      <c r="Y55" s="8" t="s">
        <v>2595</v>
      </c>
      <c r="Z55" s="8" t="s">
        <v>2596</v>
      </c>
      <c r="AA55" s="8" t="s">
        <v>3382</v>
      </c>
      <c r="AB55" s="8" t="s">
        <v>3383</v>
      </c>
      <c r="AC55" s="8" t="s">
        <v>2599</v>
      </c>
      <c r="AD55" s="8" t="s">
        <v>2600</v>
      </c>
      <c r="AE55" s="8" t="s">
        <v>2601</v>
      </c>
      <c r="AF55" s="8" t="s">
        <v>969</v>
      </c>
      <c r="AG55" s="8">
        <v>52.0</v>
      </c>
      <c r="AH55" s="8">
        <v>102.0</v>
      </c>
      <c r="AI55" s="8">
        <v>106.0</v>
      </c>
      <c r="AJ55" s="8">
        <v>5.0</v>
      </c>
      <c r="AK55" s="8">
        <v>167.0</v>
      </c>
      <c r="AL55" s="8" t="s">
        <v>1091</v>
      </c>
      <c r="AM55" s="8" t="s">
        <v>1092</v>
      </c>
      <c r="AN55" s="8" t="s">
        <v>1093</v>
      </c>
      <c r="AO55" s="8" t="s">
        <v>1013</v>
      </c>
      <c r="AP55" s="8" t="s">
        <v>2602</v>
      </c>
      <c r="AQ55" s="8" t="s">
        <v>969</v>
      </c>
      <c r="AR55" s="8" t="s">
        <v>1014</v>
      </c>
      <c r="AS55" s="8" t="s">
        <v>1015</v>
      </c>
      <c r="AT55" s="8" t="s">
        <v>1055</v>
      </c>
      <c r="AU55" s="8">
        <v>2013.0</v>
      </c>
      <c r="AV55" s="8">
        <v>40.0</v>
      </c>
      <c r="AW55" s="8">
        <v>3.0</v>
      </c>
      <c r="AX55" s="8" t="s">
        <v>969</v>
      </c>
      <c r="AY55" s="8" t="s">
        <v>969</v>
      </c>
      <c r="AZ55" s="8" t="s">
        <v>969</v>
      </c>
      <c r="BA55" s="8" t="s">
        <v>969</v>
      </c>
      <c r="BB55" s="8">
        <v>534.0</v>
      </c>
      <c r="BC55" s="8">
        <v>547.0</v>
      </c>
      <c r="BD55" s="8" t="s">
        <v>969</v>
      </c>
      <c r="BE55" s="8" t="s">
        <v>791</v>
      </c>
      <c r="BF55" s="13" t="str">
        <f>HYPERLINK("http://dx.doi.org/10.1111/jbi.12013","http://dx.doi.org/10.1111/jbi.12013")</f>
        <v>http://dx.doi.org/10.1111/jbi.12013</v>
      </c>
      <c r="BG55" s="8" t="s">
        <v>969</v>
      </c>
      <c r="BH55" s="8" t="s">
        <v>969</v>
      </c>
      <c r="BI55" s="8">
        <v>14.0</v>
      </c>
      <c r="BJ55" s="8" t="s">
        <v>1017</v>
      </c>
      <c r="BK55" s="8" t="s">
        <v>988</v>
      </c>
      <c r="BL55" s="8" t="s">
        <v>1018</v>
      </c>
      <c r="BM55" s="8" t="s">
        <v>2603</v>
      </c>
      <c r="BN55" s="8" t="s">
        <v>969</v>
      </c>
      <c r="BO55" s="8" t="s">
        <v>969</v>
      </c>
      <c r="BP55" s="8" t="s">
        <v>969</v>
      </c>
      <c r="BQ55" s="8" t="s">
        <v>969</v>
      </c>
      <c r="BR55" s="8" t="s">
        <v>3344</v>
      </c>
      <c r="BS55" s="8" t="s">
        <v>2604</v>
      </c>
      <c r="BT55" s="8" t="str">
        <f>HYPERLINK("https%3A%2F%2Fwww.webofscience.com%2Fwos%2Fwoscc%2Ffull-record%2FWOS:000314922500011","View Full Record in Web of Science")</f>
        <v>View Full Record in Web of Science</v>
      </c>
    </row>
    <row r="56" ht="12.75" customHeight="1">
      <c r="A56" s="8" t="s">
        <v>967</v>
      </c>
      <c r="B56" s="8" t="s">
        <v>2506</v>
      </c>
      <c r="C56" s="8" t="s">
        <v>969</v>
      </c>
      <c r="D56" s="8" t="s">
        <v>969</v>
      </c>
      <c r="E56" s="8" t="s">
        <v>969</v>
      </c>
      <c r="F56" s="8" t="s">
        <v>2507</v>
      </c>
      <c r="G56" s="8" t="s">
        <v>969</v>
      </c>
      <c r="H56" s="8" t="s">
        <v>969</v>
      </c>
      <c r="I56" s="8" t="s">
        <v>2508</v>
      </c>
      <c r="J56" s="8" t="s">
        <v>1377</v>
      </c>
      <c r="K56" s="8" t="s">
        <v>969</v>
      </c>
      <c r="L56" s="8" t="s">
        <v>969</v>
      </c>
      <c r="M56" s="8" t="s">
        <v>972</v>
      </c>
      <c r="N56" s="8" t="s">
        <v>973</v>
      </c>
      <c r="O56" s="8" t="s">
        <v>969</v>
      </c>
      <c r="P56" s="8" t="s">
        <v>969</v>
      </c>
      <c r="Q56" s="8" t="s">
        <v>969</v>
      </c>
      <c r="R56" s="8" t="s">
        <v>969</v>
      </c>
      <c r="S56" s="8" t="s">
        <v>969</v>
      </c>
      <c r="T56" s="8" t="s">
        <v>969</v>
      </c>
      <c r="U56" s="8" t="s">
        <v>2509</v>
      </c>
      <c r="V56" s="8" t="s">
        <v>2510</v>
      </c>
      <c r="W56" s="8" t="s">
        <v>2511</v>
      </c>
      <c r="X56" s="8" t="s">
        <v>2406</v>
      </c>
      <c r="Y56" s="8" t="s">
        <v>2512</v>
      </c>
      <c r="Z56" s="8" t="s">
        <v>2513</v>
      </c>
      <c r="AA56" s="8" t="s">
        <v>969</v>
      </c>
      <c r="AB56" s="8" t="s">
        <v>2514</v>
      </c>
      <c r="AC56" s="8" t="s">
        <v>969</v>
      </c>
      <c r="AD56" s="8" t="s">
        <v>969</v>
      </c>
      <c r="AE56" s="8" t="s">
        <v>969</v>
      </c>
      <c r="AF56" s="8" t="s">
        <v>969</v>
      </c>
      <c r="AG56" s="8">
        <v>35.0</v>
      </c>
      <c r="AH56" s="8">
        <v>464.0</v>
      </c>
      <c r="AI56" s="8">
        <v>531.0</v>
      </c>
      <c r="AJ56" s="8">
        <v>3.0</v>
      </c>
      <c r="AK56" s="8">
        <v>225.0</v>
      </c>
      <c r="AL56" s="8" t="s">
        <v>1387</v>
      </c>
      <c r="AM56" s="8" t="s">
        <v>1388</v>
      </c>
      <c r="AN56" s="8" t="s">
        <v>1389</v>
      </c>
      <c r="AO56" s="8" t="s">
        <v>1390</v>
      </c>
      <c r="AP56" s="8" t="s">
        <v>1391</v>
      </c>
      <c r="AQ56" s="8" t="s">
        <v>969</v>
      </c>
      <c r="AR56" s="8" t="s">
        <v>1392</v>
      </c>
      <c r="AS56" s="8" t="s">
        <v>1393</v>
      </c>
      <c r="AT56" s="8" t="s">
        <v>2515</v>
      </c>
      <c r="AU56" s="8">
        <v>2012.0</v>
      </c>
      <c r="AV56" s="8">
        <v>109.0</v>
      </c>
      <c r="AW56" s="8">
        <v>22.0</v>
      </c>
      <c r="AX56" s="8" t="s">
        <v>969</v>
      </c>
      <c r="AY56" s="8" t="s">
        <v>969</v>
      </c>
      <c r="AZ56" s="8" t="s">
        <v>969</v>
      </c>
      <c r="BA56" s="8" t="s">
        <v>969</v>
      </c>
      <c r="BB56" s="8">
        <v>8606.0</v>
      </c>
      <c r="BC56" s="8">
        <v>8611.0</v>
      </c>
      <c r="BD56" s="8" t="s">
        <v>969</v>
      </c>
      <c r="BE56" s="8" t="s">
        <v>644</v>
      </c>
      <c r="BF56" s="13" t="str">
        <f>HYPERLINK("http://dx.doi.org/10.1073/pnas.1116791109","http://dx.doi.org/10.1073/pnas.1116791109")</f>
        <v>http://dx.doi.org/10.1073/pnas.1116791109</v>
      </c>
      <c r="BG56" s="8" t="s">
        <v>969</v>
      </c>
      <c r="BH56" s="8" t="s">
        <v>969</v>
      </c>
      <c r="BI56" s="8">
        <v>6.0</v>
      </c>
      <c r="BJ56" s="8" t="s">
        <v>1076</v>
      </c>
      <c r="BK56" s="8" t="s">
        <v>988</v>
      </c>
      <c r="BL56" s="8" t="s">
        <v>1077</v>
      </c>
      <c r="BM56" s="8" t="s">
        <v>2516</v>
      </c>
      <c r="BN56" s="8">
        <v>2.2586104E7</v>
      </c>
      <c r="BO56" s="8" t="s">
        <v>2517</v>
      </c>
      <c r="BP56" s="8" t="s">
        <v>969</v>
      </c>
      <c r="BQ56" s="8" t="s">
        <v>969</v>
      </c>
      <c r="BR56" s="8" t="s">
        <v>3344</v>
      </c>
      <c r="BS56" s="8" t="s">
        <v>2518</v>
      </c>
      <c r="BT56" s="8" t="str">
        <f>HYPERLINK("https%3A%2F%2Fwww.webofscience.com%2Fwos%2Fwoscc%2Ffull-record%2FWOS:000304881700053","View Full Record in Web of Science")</f>
        <v>View Full Record in Web of Science</v>
      </c>
    </row>
    <row r="57" ht="12.75" customHeight="1">
      <c r="A57" s="8" t="s">
        <v>967</v>
      </c>
      <c r="B57" s="8" t="s">
        <v>2215</v>
      </c>
      <c r="C57" s="8" t="s">
        <v>969</v>
      </c>
      <c r="D57" s="8" t="s">
        <v>969</v>
      </c>
      <c r="E57" s="8" t="s">
        <v>969</v>
      </c>
      <c r="F57" s="8" t="s">
        <v>2216</v>
      </c>
      <c r="G57" s="8" t="s">
        <v>969</v>
      </c>
      <c r="H57" s="8" t="s">
        <v>969</v>
      </c>
      <c r="I57" s="8" t="s">
        <v>2217</v>
      </c>
      <c r="J57" s="8" t="s">
        <v>2218</v>
      </c>
      <c r="K57" s="8" t="s">
        <v>969</v>
      </c>
      <c r="L57" s="8" t="s">
        <v>969</v>
      </c>
      <c r="M57" s="8" t="s">
        <v>972</v>
      </c>
      <c r="N57" s="8" t="s">
        <v>973</v>
      </c>
      <c r="O57" s="8" t="s">
        <v>969</v>
      </c>
      <c r="P57" s="8" t="s">
        <v>969</v>
      </c>
      <c r="Q57" s="8" t="s">
        <v>969</v>
      </c>
      <c r="R57" s="8" t="s">
        <v>969</v>
      </c>
      <c r="S57" s="8" t="s">
        <v>969</v>
      </c>
      <c r="T57" s="8" t="s">
        <v>2219</v>
      </c>
      <c r="U57" s="8" t="s">
        <v>2220</v>
      </c>
      <c r="V57" s="8" t="s">
        <v>2221</v>
      </c>
      <c r="W57" s="8" t="s">
        <v>2222</v>
      </c>
      <c r="X57" s="8" t="s">
        <v>2223</v>
      </c>
      <c r="Y57" s="8" t="s">
        <v>2224</v>
      </c>
      <c r="Z57" s="8" t="s">
        <v>2225</v>
      </c>
      <c r="AA57" s="8" t="s">
        <v>3005</v>
      </c>
      <c r="AB57" s="8" t="s">
        <v>2227</v>
      </c>
      <c r="AC57" s="8" t="s">
        <v>2228</v>
      </c>
      <c r="AD57" s="8" t="s">
        <v>2229</v>
      </c>
      <c r="AE57" s="8" t="s">
        <v>2230</v>
      </c>
      <c r="AF57" s="8" t="s">
        <v>969</v>
      </c>
      <c r="AG57" s="8">
        <v>41.0</v>
      </c>
      <c r="AH57" s="8">
        <v>26.0</v>
      </c>
      <c r="AI57" s="8">
        <v>36.0</v>
      </c>
      <c r="AJ57" s="8">
        <v>1.0</v>
      </c>
      <c r="AK57" s="8">
        <v>57.0</v>
      </c>
      <c r="AL57" s="8" t="s">
        <v>1091</v>
      </c>
      <c r="AM57" s="8" t="s">
        <v>1092</v>
      </c>
      <c r="AN57" s="8" t="s">
        <v>1093</v>
      </c>
      <c r="AO57" s="8" t="s">
        <v>2231</v>
      </c>
      <c r="AP57" s="8" t="s">
        <v>2232</v>
      </c>
      <c r="AQ57" s="8" t="s">
        <v>969</v>
      </c>
      <c r="AR57" s="8" t="s">
        <v>2233</v>
      </c>
      <c r="AS57" s="8" t="s">
        <v>2234</v>
      </c>
      <c r="AT57" s="8" t="s">
        <v>1285</v>
      </c>
      <c r="AU57" s="8">
        <v>2010.0</v>
      </c>
      <c r="AV57" s="8">
        <v>5.0</v>
      </c>
      <c r="AW57" s="8">
        <v>2.0</v>
      </c>
      <c r="AX57" s="8" t="s">
        <v>969</v>
      </c>
      <c r="AY57" s="8" t="s">
        <v>969</v>
      </c>
      <c r="AZ57" s="8" t="s">
        <v>969</v>
      </c>
      <c r="BA57" s="8" t="s">
        <v>969</v>
      </c>
      <c r="BB57" s="8">
        <v>154.0</v>
      </c>
      <c r="BC57" s="8">
        <v>163.0</v>
      </c>
      <c r="BD57" s="8" t="s">
        <v>969</v>
      </c>
      <c r="BE57" s="8" t="s">
        <v>788</v>
      </c>
      <c r="BF57" s="13" t="str">
        <f>HYPERLINK("http://dx.doi.org/10.1111/j.1749-4877.2010.00198.x","http://dx.doi.org/10.1111/j.1749-4877.2010.00198.x")</f>
        <v>http://dx.doi.org/10.1111/j.1749-4877.2010.00198.x</v>
      </c>
      <c r="BG57" s="8" t="s">
        <v>969</v>
      </c>
      <c r="BH57" s="8" t="s">
        <v>969</v>
      </c>
      <c r="BI57" s="8">
        <v>10.0</v>
      </c>
      <c r="BJ57" s="8" t="s">
        <v>1321</v>
      </c>
      <c r="BK57" s="8" t="s">
        <v>988</v>
      </c>
      <c r="BL57" s="8" t="s">
        <v>1321</v>
      </c>
      <c r="BM57" s="8" t="s">
        <v>2235</v>
      </c>
      <c r="BN57" s="8">
        <v>2.1392333E7</v>
      </c>
      <c r="BO57" s="8" t="s">
        <v>969</v>
      </c>
      <c r="BP57" s="8" t="s">
        <v>969</v>
      </c>
      <c r="BQ57" s="8" t="s">
        <v>969</v>
      </c>
      <c r="BR57" s="8" t="s">
        <v>3344</v>
      </c>
      <c r="BS57" s="8" t="s">
        <v>2236</v>
      </c>
      <c r="BT57" s="8" t="str">
        <f>HYPERLINK("https%3A%2F%2Fwww.webofscience.com%2Fwos%2Fwoscc%2Ffull-record%2FWOS:000278345400009","View Full Record in Web of Science")</f>
        <v>View Full Record in Web of Science</v>
      </c>
    </row>
    <row r="58" ht="12.75" customHeight="1">
      <c r="A58" s="8" t="s">
        <v>967</v>
      </c>
      <c r="B58" s="8" t="s">
        <v>2198</v>
      </c>
      <c r="C58" s="8" t="s">
        <v>969</v>
      </c>
      <c r="D58" s="8" t="s">
        <v>969</v>
      </c>
      <c r="E58" s="8" t="s">
        <v>969</v>
      </c>
      <c r="F58" s="8" t="s">
        <v>2199</v>
      </c>
      <c r="G58" s="8" t="s">
        <v>969</v>
      </c>
      <c r="H58" s="8" t="s">
        <v>969</v>
      </c>
      <c r="I58" s="8" t="s">
        <v>2200</v>
      </c>
      <c r="J58" s="8" t="s">
        <v>1951</v>
      </c>
      <c r="K58" s="8" t="s">
        <v>969</v>
      </c>
      <c r="L58" s="8" t="s">
        <v>969</v>
      </c>
      <c r="M58" s="8" t="s">
        <v>972</v>
      </c>
      <c r="N58" s="8" t="s">
        <v>973</v>
      </c>
      <c r="O58" s="8" t="s">
        <v>969</v>
      </c>
      <c r="P58" s="8" t="s">
        <v>969</v>
      </c>
      <c r="Q58" s="8" t="s">
        <v>969</v>
      </c>
      <c r="R58" s="8" t="s">
        <v>969</v>
      </c>
      <c r="S58" s="8" t="s">
        <v>969</v>
      </c>
      <c r="T58" s="8" t="s">
        <v>969</v>
      </c>
      <c r="U58" s="8" t="s">
        <v>2201</v>
      </c>
      <c r="V58" s="8" t="s">
        <v>2202</v>
      </c>
      <c r="W58" s="8" t="s">
        <v>2203</v>
      </c>
      <c r="X58" s="8" t="s">
        <v>3384</v>
      </c>
      <c r="Y58" s="8" t="s">
        <v>2205</v>
      </c>
      <c r="Z58" s="8" t="s">
        <v>2206</v>
      </c>
      <c r="AA58" s="8" t="s">
        <v>3385</v>
      </c>
      <c r="AB58" s="8" t="s">
        <v>3386</v>
      </c>
      <c r="AC58" s="8" t="s">
        <v>2209</v>
      </c>
      <c r="AD58" s="8" t="s">
        <v>2210</v>
      </c>
      <c r="AE58" s="8" t="s">
        <v>2211</v>
      </c>
      <c r="AF58" s="8" t="s">
        <v>969</v>
      </c>
      <c r="AG58" s="8">
        <v>28.0</v>
      </c>
      <c r="AH58" s="8">
        <v>1536.0</v>
      </c>
      <c r="AI58" s="8">
        <v>1775.0</v>
      </c>
      <c r="AJ58" s="8">
        <v>8.0</v>
      </c>
      <c r="AK58" s="8">
        <v>775.0</v>
      </c>
      <c r="AL58" s="8" t="s">
        <v>1963</v>
      </c>
      <c r="AM58" s="8" t="s">
        <v>1388</v>
      </c>
      <c r="AN58" s="8" t="s">
        <v>1964</v>
      </c>
      <c r="AO58" s="8" t="s">
        <v>1965</v>
      </c>
      <c r="AP58" s="8" t="s">
        <v>1966</v>
      </c>
      <c r="AQ58" s="8" t="s">
        <v>969</v>
      </c>
      <c r="AR58" s="8" t="s">
        <v>1951</v>
      </c>
      <c r="AS58" s="8" t="s">
        <v>1967</v>
      </c>
      <c r="AT58" s="8" t="s">
        <v>2212</v>
      </c>
      <c r="AU58" s="8">
        <v>2010.0</v>
      </c>
      <c r="AV58" s="8">
        <v>328.0</v>
      </c>
      <c r="AW58" s="8">
        <v>5980.0</v>
      </c>
      <c r="AX58" s="8" t="s">
        <v>969</v>
      </c>
      <c r="AY58" s="8" t="s">
        <v>969</v>
      </c>
      <c r="AZ58" s="8" t="s">
        <v>969</v>
      </c>
      <c r="BA58" s="8" t="s">
        <v>969</v>
      </c>
      <c r="BB58" s="8">
        <v>894.0</v>
      </c>
      <c r="BC58" s="8">
        <v>899.0</v>
      </c>
      <c r="BD58" s="8" t="s">
        <v>969</v>
      </c>
      <c r="BE58" s="8" t="s">
        <v>800</v>
      </c>
      <c r="BF58" s="13" t="str">
        <f>HYPERLINK("http://dx.doi.org/10.1126/science.1184695","http://dx.doi.org/10.1126/science.1184695")</f>
        <v>http://dx.doi.org/10.1126/science.1184695</v>
      </c>
      <c r="BG58" s="8" t="s">
        <v>969</v>
      </c>
      <c r="BH58" s="8" t="s">
        <v>969</v>
      </c>
      <c r="BI58" s="8">
        <v>6.0</v>
      </c>
      <c r="BJ58" s="8" t="s">
        <v>1076</v>
      </c>
      <c r="BK58" s="8" t="s">
        <v>988</v>
      </c>
      <c r="BL58" s="8" t="s">
        <v>1077</v>
      </c>
      <c r="BM58" s="8" t="s">
        <v>2213</v>
      </c>
      <c r="BN58" s="8">
        <v>2.0466932E7</v>
      </c>
      <c r="BO58" s="8" t="s">
        <v>1227</v>
      </c>
      <c r="BP58" s="8" t="s">
        <v>969</v>
      </c>
      <c r="BQ58" s="8" t="s">
        <v>969</v>
      </c>
      <c r="BR58" s="8" t="s">
        <v>3344</v>
      </c>
      <c r="BS58" s="8" t="s">
        <v>2214</v>
      </c>
      <c r="BT58" s="8" t="str">
        <f>HYPERLINK("https%3A%2F%2Fwww.webofscience.com%2Fwos%2Fwoscc%2Ffull-record%2FWOS:000277618800050","View Full Record in Web of Science")</f>
        <v>View Full Record in Web of Science</v>
      </c>
    </row>
    <row r="59" ht="12.75" customHeight="1">
      <c r="A59" s="8" t="s">
        <v>967</v>
      </c>
      <c r="B59" s="8" t="s">
        <v>1948</v>
      </c>
      <c r="C59" s="8" t="s">
        <v>969</v>
      </c>
      <c r="D59" s="8" t="s">
        <v>969</v>
      </c>
      <c r="E59" s="8" t="s">
        <v>969</v>
      </c>
      <c r="F59" s="8" t="s">
        <v>1949</v>
      </c>
      <c r="G59" s="8" t="s">
        <v>969</v>
      </c>
      <c r="H59" s="8" t="s">
        <v>969</v>
      </c>
      <c r="I59" s="8" t="s">
        <v>1950</v>
      </c>
      <c r="J59" s="8" t="s">
        <v>1951</v>
      </c>
      <c r="K59" s="8" t="s">
        <v>969</v>
      </c>
      <c r="L59" s="8" t="s">
        <v>969</v>
      </c>
      <c r="M59" s="8" t="s">
        <v>972</v>
      </c>
      <c r="N59" s="8" t="s">
        <v>973</v>
      </c>
      <c r="O59" s="8" t="s">
        <v>969</v>
      </c>
      <c r="P59" s="8" t="s">
        <v>969</v>
      </c>
      <c r="Q59" s="8" t="s">
        <v>969</v>
      </c>
      <c r="R59" s="8" t="s">
        <v>969</v>
      </c>
      <c r="S59" s="8" t="s">
        <v>969</v>
      </c>
      <c r="T59" s="8" t="s">
        <v>969</v>
      </c>
      <c r="U59" s="8" t="s">
        <v>1952</v>
      </c>
      <c r="V59" s="8" t="s">
        <v>1953</v>
      </c>
      <c r="W59" s="8" t="s">
        <v>1954</v>
      </c>
      <c r="X59" s="8" t="s">
        <v>1955</v>
      </c>
      <c r="Y59" s="8" t="s">
        <v>1956</v>
      </c>
      <c r="Z59" s="8" t="s">
        <v>1957</v>
      </c>
      <c r="AA59" s="8" t="s">
        <v>3387</v>
      </c>
      <c r="AB59" s="8" t="s">
        <v>1959</v>
      </c>
      <c r="AC59" s="8" t="s">
        <v>1960</v>
      </c>
      <c r="AD59" s="8" t="s">
        <v>1961</v>
      </c>
      <c r="AE59" s="8" t="s">
        <v>1962</v>
      </c>
      <c r="AF59" s="8" t="s">
        <v>969</v>
      </c>
      <c r="AG59" s="8">
        <v>32.0</v>
      </c>
      <c r="AH59" s="8">
        <v>985.0</v>
      </c>
      <c r="AI59" s="8">
        <v>1170.0</v>
      </c>
      <c r="AJ59" s="8">
        <v>7.0</v>
      </c>
      <c r="AK59" s="8">
        <v>547.0</v>
      </c>
      <c r="AL59" s="8" t="s">
        <v>1963</v>
      </c>
      <c r="AM59" s="8" t="s">
        <v>1388</v>
      </c>
      <c r="AN59" s="8" t="s">
        <v>1964</v>
      </c>
      <c r="AO59" s="8" t="s">
        <v>1965</v>
      </c>
      <c r="AP59" s="8" t="s">
        <v>1966</v>
      </c>
      <c r="AQ59" s="8" t="s">
        <v>969</v>
      </c>
      <c r="AR59" s="8" t="s">
        <v>1951</v>
      </c>
      <c r="AS59" s="8" t="s">
        <v>1967</v>
      </c>
      <c r="AT59" s="8" t="s">
        <v>1968</v>
      </c>
      <c r="AU59" s="8">
        <v>2008.0</v>
      </c>
      <c r="AV59" s="8">
        <v>322.0</v>
      </c>
      <c r="AW59" s="8">
        <v>5899.0</v>
      </c>
      <c r="AX59" s="8" t="s">
        <v>969</v>
      </c>
      <c r="AY59" s="8" t="s">
        <v>969</v>
      </c>
      <c r="AZ59" s="8" t="s">
        <v>969</v>
      </c>
      <c r="BA59" s="8" t="s">
        <v>969</v>
      </c>
      <c r="BB59" s="8">
        <v>258.0</v>
      </c>
      <c r="BC59" s="8">
        <v>261.0</v>
      </c>
      <c r="BD59" s="8" t="s">
        <v>969</v>
      </c>
      <c r="BE59" s="8" t="s">
        <v>797</v>
      </c>
      <c r="BF59" s="13" t="str">
        <f>HYPERLINK("http://dx.doi.org/10.1126/science.1162547","http://dx.doi.org/10.1126/science.1162547")</f>
        <v>http://dx.doi.org/10.1126/science.1162547</v>
      </c>
      <c r="BG59" s="8" t="s">
        <v>969</v>
      </c>
      <c r="BH59" s="8" t="s">
        <v>969</v>
      </c>
      <c r="BI59" s="8">
        <v>4.0</v>
      </c>
      <c r="BJ59" s="8" t="s">
        <v>1076</v>
      </c>
      <c r="BK59" s="8" t="s">
        <v>988</v>
      </c>
      <c r="BL59" s="8" t="s">
        <v>1077</v>
      </c>
      <c r="BM59" s="8" t="s">
        <v>1969</v>
      </c>
      <c r="BN59" s="8">
        <v>1.8845754E7</v>
      </c>
      <c r="BO59" s="8" t="s">
        <v>969</v>
      </c>
      <c r="BP59" s="8" t="s">
        <v>969</v>
      </c>
      <c r="BQ59" s="8" t="s">
        <v>969</v>
      </c>
      <c r="BR59" s="8" t="s">
        <v>3344</v>
      </c>
      <c r="BS59" s="8" t="s">
        <v>1970</v>
      </c>
      <c r="BT59" s="8" t="str">
        <f>HYPERLINK("https%3A%2F%2Fwww.webofscience.com%2Fwos%2Fwoscc%2Ffull-record%2FWOS:000259902300048","View Full Record in Web of Science")</f>
        <v>View Full Record in Web of Science</v>
      </c>
    </row>
    <row r="60" ht="12.75" customHeight="1">
      <c r="A60" s="8" t="s">
        <v>967</v>
      </c>
      <c r="B60" s="8" t="s">
        <v>1041</v>
      </c>
      <c r="C60" s="8" t="s">
        <v>969</v>
      </c>
      <c r="D60" s="8" t="s">
        <v>969</v>
      </c>
      <c r="E60" s="8" t="s">
        <v>969</v>
      </c>
      <c r="F60" s="8" t="s">
        <v>1041</v>
      </c>
      <c r="G60" s="8" t="s">
        <v>969</v>
      </c>
      <c r="H60" s="8" t="s">
        <v>969</v>
      </c>
      <c r="I60" s="8" t="s">
        <v>1042</v>
      </c>
      <c r="J60" s="8" t="s">
        <v>1043</v>
      </c>
      <c r="K60" s="8" t="s">
        <v>969</v>
      </c>
      <c r="L60" s="8" t="s">
        <v>969</v>
      </c>
      <c r="M60" s="8" t="s">
        <v>972</v>
      </c>
      <c r="N60" s="8" t="s">
        <v>973</v>
      </c>
      <c r="O60" s="8" t="s">
        <v>969</v>
      </c>
      <c r="P60" s="8" t="s">
        <v>969</v>
      </c>
      <c r="Q60" s="8" t="s">
        <v>969</v>
      </c>
      <c r="R60" s="8" t="s">
        <v>969</v>
      </c>
      <c r="S60" s="8" t="s">
        <v>969</v>
      </c>
      <c r="T60" s="8" t="s">
        <v>1044</v>
      </c>
      <c r="U60" s="8" t="s">
        <v>1045</v>
      </c>
      <c r="V60" s="8" t="s">
        <v>1046</v>
      </c>
      <c r="W60" s="8" t="s">
        <v>1047</v>
      </c>
      <c r="X60" s="8" t="s">
        <v>1048</v>
      </c>
      <c r="Y60" s="8" t="s">
        <v>1049</v>
      </c>
      <c r="Z60" s="8" t="s">
        <v>969</v>
      </c>
      <c r="AA60" s="8" t="s">
        <v>1050</v>
      </c>
      <c r="AB60" s="8" t="s">
        <v>1051</v>
      </c>
      <c r="AC60" s="8" t="s">
        <v>969</v>
      </c>
      <c r="AD60" s="8" t="s">
        <v>969</v>
      </c>
      <c r="AE60" s="8" t="s">
        <v>969</v>
      </c>
      <c r="AF60" s="8" t="s">
        <v>969</v>
      </c>
      <c r="AG60" s="8">
        <v>72.0</v>
      </c>
      <c r="AH60" s="8">
        <v>261.0</v>
      </c>
      <c r="AI60" s="8">
        <v>312.0</v>
      </c>
      <c r="AJ60" s="8">
        <v>1.0</v>
      </c>
      <c r="AK60" s="8">
        <v>159.0</v>
      </c>
      <c r="AL60" s="8" t="s">
        <v>980</v>
      </c>
      <c r="AM60" s="8" t="s">
        <v>981</v>
      </c>
      <c r="AN60" s="8" t="s">
        <v>982</v>
      </c>
      <c r="AO60" s="8" t="s">
        <v>1052</v>
      </c>
      <c r="AP60" s="8" t="s">
        <v>969</v>
      </c>
      <c r="AQ60" s="8" t="s">
        <v>969</v>
      </c>
      <c r="AR60" s="8" t="s">
        <v>1053</v>
      </c>
      <c r="AS60" s="8" t="s">
        <v>1054</v>
      </c>
      <c r="AT60" s="8" t="s">
        <v>1055</v>
      </c>
      <c r="AU60" s="8">
        <v>2001.0</v>
      </c>
      <c r="AV60" s="8">
        <v>70.0</v>
      </c>
      <c r="AW60" s="8">
        <v>2.0</v>
      </c>
      <c r="AX60" s="8" t="s">
        <v>969</v>
      </c>
      <c r="AY60" s="8" t="s">
        <v>969</v>
      </c>
      <c r="AZ60" s="8" t="s">
        <v>969</v>
      </c>
      <c r="BA60" s="8" t="s">
        <v>969</v>
      </c>
      <c r="BB60" s="8">
        <v>201.0</v>
      </c>
      <c r="BC60" s="8">
        <v>217.0</v>
      </c>
      <c r="BD60" s="8" t="s">
        <v>969</v>
      </c>
      <c r="BE60" s="8" t="s">
        <v>617</v>
      </c>
      <c r="BF60" s="13" t="str">
        <f>HYPERLINK("http://dx.doi.org/10.1046/j.1365-2656.2001.00480.x","http://dx.doi.org/10.1046/j.1365-2656.2001.00480.x")</f>
        <v>http://dx.doi.org/10.1046/j.1365-2656.2001.00480.x</v>
      </c>
      <c r="BG60" s="8" t="s">
        <v>969</v>
      </c>
      <c r="BH60" s="8" t="s">
        <v>969</v>
      </c>
      <c r="BI60" s="8">
        <v>17.0</v>
      </c>
      <c r="BJ60" s="8" t="s">
        <v>1056</v>
      </c>
      <c r="BK60" s="8" t="s">
        <v>988</v>
      </c>
      <c r="BL60" s="8" t="s">
        <v>1057</v>
      </c>
      <c r="BM60" s="8" t="s">
        <v>1058</v>
      </c>
      <c r="BN60" s="8" t="s">
        <v>969</v>
      </c>
      <c r="BO60" s="8" t="s">
        <v>969</v>
      </c>
      <c r="BP60" s="8" t="s">
        <v>969</v>
      </c>
      <c r="BQ60" s="8" t="s">
        <v>969</v>
      </c>
      <c r="BR60" s="8" t="s">
        <v>3344</v>
      </c>
      <c r="BS60" s="8" t="s">
        <v>1059</v>
      </c>
      <c r="BT60" s="8" t="str">
        <f>HYPERLINK("https%3A%2F%2Fwww.webofscience.com%2Fwos%2Fwoscc%2Ffull-record%2FWOS:000169014300004","View Full Record in Web of Science")</f>
        <v>View Full Record in Web of Science</v>
      </c>
    </row>
    <row r="61" ht="12.75" customHeight="1">
      <c r="A61" s="8" t="s">
        <v>967</v>
      </c>
      <c r="B61" s="8" t="s">
        <v>2831</v>
      </c>
      <c r="C61" s="8" t="s">
        <v>969</v>
      </c>
      <c r="D61" s="8" t="s">
        <v>969</v>
      </c>
      <c r="E61" s="8" t="s">
        <v>969</v>
      </c>
      <c r="F61" s="8" t="s">
        <v>2831</v>
      </c>
      <c r="G61" s="8" t="s">
        <v>969</v>
      </c>
      <c r="H61" s="8" t="s">
        <v>969</v>
      </c>
      <c r="I61" s="8" t="s">
        <v>2832</v>
      </c>
      <c r="J61" s="8" t="s">
        <v>1183</v>
      </c>
      <c r="K61" s="8" t="s">
        <v>969</v>
      </c>
      <c r="L61" s="8" t="s">
        <v>969</v>
      </c>
      <c r="M61" s="8" t="s">
        <v>972</v>
      </c>
      <c r="N61" s="8" t="s">
        <v>973</v>
      </c>
      <c r="O61" s="8" t="s">
        <v>969</v>
      </c>
      <c r="P61" s="8" t="s">
        <v>969</v>
      </c>
      <c r="Q61" s="8" t="s">
        <v>969</v>
      </c>
      <c r="R61" s="8" t="s">
        <v>969</v>
      </c>
      <c r="S61" s="8" t="s">
        <v>969</v>
      </c>
      <c r="T61" s="8" t="s">
        <v>2833</v>
      </c>
      <c r="U61" s="8" t="s">
        <v>2834</v>
      </c>
      <c r="V61" s="8" t="s">
        <v>2835</v>
      </c>
      <c r="W61" s="8" t="s">
        <v>2836</v>
      </c>
      <c r="X61" s="8" t="s">
        <v>969</v>
      </c>
      <c r="Y61" s="8" t="s">
        <v>969</v>
      </c>
      <c r="Z61" s="8" t="s">
        <v>969</v>
      </c>
      <c r="AA61" s="8" t="s">
        <v>969</v>
      </c>
      <c r="AB61" s="8" t="s">
        <v>969</v>
      </c>
      <c r="AC61" s="8" t="s">
        <v>969</v>
      </c>
      <c r="AD61" s="8" t="s">
        <v>969</v>
      </c>
      <c r="AE61" s="8" t="s">
        <v>969</v>
      </c>
      <c r="AF61" s="8" t="s">
        <v>969</v>
      </c>
      <c r="AG61" s="8">
        <v>47.0</v>
      </c>
      <c r="AH61" s="8">
        <v>111.0</v>
      </c>
      <c r="AI61" s="8">
        <v>121.0</v>
      </c>
      <c r="AJ61" s="8">
        <v>0.0</v>
      </c>
      <c r="AK61" s="8">
        <v>42.0</v>
      </c>
      <c r="AL61" s="8" t="s">
        <v>1192</v>
      </c>
      <c r="AM61" s="8" t="s">
        <v>981</v>
      </c>
      <c r="AN61" s="8" t="s">
        <v>2837</v>
      </c>
      <c r="AO61" s="8" t="s">
        <v>1195</v>
      </c>
      <c r="AP61" s="8" t="s">
        <v>969</v>
      </c>
      <c r="AQ61" s="8" t="s">
        <v>969</v>
      </c>
      <c r="AR61" s="8" t="s">
        <v>1197</v>
      </c>
      <c r="AS61" s="8" t="s">
        <v>1198</v>
      </c>
      <c r="AT61" s="8" t="s">
        <v>969</v>
      </c>
      <c r="AU61" s="8">
        <v>1995.0</v>
      </c>
      <c r="AV61" s="8">
        <v>72.0</v>
      </c>
      <c r="AW61" s="8">
        <v>3.0</v>
      </c>
      <c r="AX61" s="8" t="s">
        <v>969</v>
      </c>
      <c r="AY61" s="8" t="s">
        <v>969</v>
      </c>
      <c r="AZ61" s="8" t="s">
        <v>969</v>
      </c>
      <c r="BA61" s="8" t="s">
        <v>969</v>
      </c>
      <c r="BB61" s="8">
        <v>339.0</v>
      </c>
      <c r="BC61" s="8">
        <v>354.0</v>
      </c>
      <c r="BD61" s="8" t="s">
        <v>969</v>
      </c>
      <c r="BE61" s="8" t="s">
        <v>539</v>
      </c>
      <c r="BF61" s="13" t="str">
        <f>HYPERLINK("http://dx.doi.org/10.1016/0006-3207(94)00016-J","http://dx.doi.org/10.1016/0006-3207(94)00016-J")</f>
        <v>http://dx.doi.org/10.1016/0006-3207(94)00016-J</v>
      </c>
      <c r="BG61" s="8" t="s">
        <v>969</v>
      </c>
      <c r="BH61" s="8" t="s">
        <v>969</v>
      </c>
      <c r="BI61" s="8">
        <v>16.0</v>
      </c>
      <c r="BJ61" s="8" t="s">
        <v>987</v>
      </c>
      <c r="BK61" s="8" t="s">
        <v>988</v>
      </c>
      <c r="BL61" s="8" t="s">
        <v>989</v>
      </c>
      <c r="BM61" s="8" t="s">
        <v>2838</v>
      </c>
      <c r="BN61" s="8" t="s">
        <v>969</v>
      </c>
      <c r="BO61" s="8" t="s">
        <v>969</v>
      </c>
      <c r="BP61" s="8" t="s">
        <v>969</v>
      </c>
      <c r="BQ61" s="8" t="s">
        <v>969</v>
      </c>
      <c r="BR61" s="8" t="s">
        <v>3344</v>
      </c>
      <c r="BS61" s="8" t="s">
        <v>2839</v>
      </c>
      <c r="BT61" s="8" t="str">
        <f>HYPERLINK("https%3A%2F%2Fwww.webofscience.com%2Fwos%2Fwoscc%2Ffull-record%2FWOS:A1995RA24200001","View Full Record in Web of Science")</f>
        <v>View Full Record in Web of Science</v>
      </c>
    </row>
    <row r="62" ht="12.75" customHeight="1">
      <c r="A62" s="8" t="s">
        <v>967</v>
      </c>
      <c r="B62" s="8" t="s">
        <v>2536</v>
      </c>
      <c r="C62" s="8" t="s">
        <v>969</v>
      </c>
      <c r="D62" s="8" t="s">
        <v>969</v>
      </c>
      <c r="E62" s="8" t="s">
        <v>969</v>
      </c>
      <c r="F62" s="8" t="s">
        <v>2537</v>
      </c>
      <c r="G62" s="8" t="s">
        <v>969</v>
      </c>
      <c r="H62" s="8" t="s">
        <v>969</v>
      </c>
      <c r="I62" s="8" t="s">
        <v>2538</v>
      </c>
      <c r="J62" s="8" t="s">
        <v>1974</v>
      </c>
      <c r="K62" s="8" t="s">
        <v>969</v>
      </c>
      <c r="L62" s="8" t="s">
        <v>969</v>
      </c>
      <c r="M62" s="8" t="s">
        <v>972</v>
      </c>
      <c r="N62" s="8" t="s">
        <v>973</v>
      </c>
      <c r="O62" s="8" t="s">
        <v>969</v>
      </c>
      <c r="P62" s="8" t="s">
        <v>969</v>
      </c>
      <c r="Q62" s="8" t="s">
        <v>969</v>
      </c>
      <c r="R62" s="8" t="s">
        <v>969</v>
      </c>
      <c r="S62" s="8" t="s">
        <v>969</v>
      </c>
      <c r="T62" s="8" t="s">
        <v>969</v>
      </c>
      <c r="U62" s="8" t="s">
        <v>2539</v>
      </c>
      <c r="V62" s="8" t="s">
        <v>2540</v>
      </c>
      <c r="W62" s="8" t="s">
        <v>2541</v>
      </c>
      <c r="X62" s="8" t="s">
        <v>2542</v>
      </c>
      <c r="Y62" s="8" t="s">
        <v>2543</v>
      </c>
      <c r="Z62" s="8" t="s">
        <v>2544</v>
      </c>
      <c r="AA62" s="8" t="s">
        <v>3388</v>
      </c>
      <c r="AB62" s="8" t="s">
        <v>2546</v>
      </c>
      <c r="AC62" s="8" t="s">
        <v>2547</v>
      </c>
      <c r="AD62" s="8" t="s">
        <v>2548</v>
      </c>
      <c r="AE62" s="8" t="s">
        <v>2549</v>
      </c>
      <c r="AF62" s="8" t="s">
        <v>969</v>
      </c>
      <c r="AG62" s="8">
        <v>40.0</v>
      </c>
      <c r="AH62" s="8">
        <v>61.0</v>
      </c>
      <c r="AI62" s="8">
        <v>68.0</v>
      </c>
      <c r="AJ62" s="8">
        <v>0.0</v>
      </c>
      <c r="AK62" s="8">
        <v>130.0</v>
      </c>
      <c r="AL62" s="8" t="s">
        <v>1985</v>
      </c>
      <c r="AM62" s="8" t="s">
        <v>1986</v>
      </c>
      <c r="AN62" s="8" t="s">
        <v>1987</v>
      </c>
      <c r="AO62" s="8" t="s">
        <v>1988</v>
      </c>
      <c r="AP62" s="8" t="s">
        <v>969</v>
      </c>
      <c r="AQ62" s="8" t="s">
        <v>969</v>
      </c>
      <c r="AR62" s="8" t="s">
        <v>1974</v>
      </c>
      <c r="AS62" s="8" t="s">
        <v>1989</v>
      </c>
      <c r="AT62" s="8" t="s">
        <v>2550</v>
      </c>
      <c r="AU62" s="8">
        <v>2012.0</v>
      </c>
      <c r="AV62" s="8">
        <v>7.0</v>
      </c>
      <c r="AW62" s="8">
        <v>12.0</v>
      </c>
      <c r="AX62" s="8" t="s">
        <v>969</v>
      </c>
      <c r="AY62" s="8" t="s">
        <v>969</v>
      </c>
      <c r="AZ62" s="8" t="s">
        <v>969</v>
      </c>
      <c r="BA62" s="8" t="s">
        <v>969</v>
      </c>
      <c r="BB62" s="8" t="s">
        <v>969</v>
      </c>
      <c r="BC62" s="8" t="s">
        <v>969</v>
      </c>
      <c r="BD62" s="8" t="s">
        <v>2551</v>
      </c>
      <c r="BE62" s="8" t="s">
        <v>818</v>
      </c>
      <c r="BF62" s="13" t="str">
        <f>HYPERLINK("http://dx.doi.org/10.1371/journal.pone.0052574","http://dx.doi.org/10.1371/journal.pone.0052574")</f>
        <v>http://dx.doi.org/10.1371/journal.pone.0052574</v>
      </c>
      <c r="BG62" s="8" t="s">
        <v>969</v>
      </c>
      <c r="BH62" s="8" t="s">
        <v>969</v>
      </c>
      <c r="BI62" s="8">
        <v>11.0</v>
      </c>
      <c r="BJ62" s="8" t="s">
        <v>1076</v>
      </c>
      <c r="BK62" s="8" t="s">
        <v>988</v>
      </c>
      <c r="BL62" s="8" t="s">
        <v>1077</v>
      </c>
      <c r="BM62" s="8" t="s">
        <v>2552</v>
      </c>
      <c r="BN62" s="8">
        <v>2.3285098E7</v>
      </c>
      <c r="BO62" s="8" t="s">
        <v>1993</v>
      </c>
      <c r="BP62" s="8" t="s">
        <v>969</v>
      </c>
      <c r="BQ62" s="8" t="s">
        <v>969</v>
      </c>
      <c r="BR62" s="8" t="s">
        <v>3344</v>
      </c>
      <c r="BS62" s="8" t="s">
        <v>2553</v>
      </c>
      <c r="BT62" s="8" t="str">
        <f>HYPERLINK("https%3A%2F%2Fwww.webofscience.com%2Fwos%2Fwoscc%2Ffull-record%2FWOS:000312794500202","View Full Record in Web of Science")</f>
        <v>View Full Record in Web of Science</v>
      </c>
    </row>
    <row r="63" ht="12.75" customHeight="1">
      <c r="A63" s="8" t="s">
        <v>967</v>
      </c>
      <c r="B63" s="8" t="s">
        <v>2477</v>
      </c>
      <c r="C63" s="8" t="s">
        <v>969</v>
      </c>
      <c r="D63" s="8" t="s">
        <v>969</v>
      </c>
      <c r="E63" s="8" t="s">
        <v>969</v>
      </c>
      <c r="F63" s="8" t="s">
        <v>2478</v>
      </c>
      <c r="G63" s="8" t="s">
        <v>969</v>
      </c>
      <c r="H63" s="8" t="s">
        <v>969</v>
      </c>
      <c r="I63" s="8" t="s">
        <v>2479</v>
      </c>
      <c r="J63" s="8" t="s">
        <v>1974</v>
      </c>
      <c r="K63" s="8" t="s">
        <v>969</v>
      </c>
      <c r="L63" s="8" t="s">
        <v>969</v>
      </c>
      <c r="M63" s="8" t="s">
        <v>972</v>
      </c>
      <c r="N63" s="8" t="s">
        <v>973</v>
      </c>
      <c r="O63" s="8" t="s">
        <v>969</v>
      </c>
      <c r="P63" s="8" t="s">
        <v>969</v>
      </c>
      <c r="Q63" s="8" t="s">
        <v>969</v>
      </c>
      <c r="R63" s="8" t="s">
        <v>969</v>
      </c>
      <c r="S63" s="8" t="s">
        <v>969</v>
      </c>
      <c r="T63" s="8" t="s">
        <v>969</v>
      </c>
      <c r="U63" s="8" t="s">
        <v>2480</v>
      </c>
      <c r="V63" s="8" t="s">
        <v>2481</v>
      </c>
      <c r="W63" s="8" t="s">
        <v>2482</v>
      </c>
      <c r="X63" s="8" t="s">
        <v>969</v>
      </c>
      <c r="Y63" s="8" t="s">
        <v>2483</v>
      </c>
      <c r="Z63" s="8" t="s">
        <v>2484</v>
      </c>
      <c r="AA63" s="8" t="s">
        <v>969</v>
      </c>
      <c r="AB63" s="8" t="s">
        <v>969</v>
      </c>
      <c r="AC63" s="8" t="s">
        <v>969</v>
      </c>
      <c r="AD63" s="8" t="s">
        <v>969</v>
      </c>
      <c r="AE63" s="8" t="s">
        <v>969</v>
      </c>
      <c r="AF63" s="8" t="s">
        <v>969</v>
      </c>
      <c r="AG63" s="8">
        <v>55.0</v>
      </c>
      <c r="AH63" s="8">
        <v>99.0</v>
      </c>
      <c r="AI63" s="8">
        <v>118.0</v>
      </c>
      <c r="AJ63" s="8">
        <v>1.0</v>
      </c>
      <c r="AK63" s="8">
        <v>102.0</v>
      </c>
      <c r="AL63" s="8" t="s">
        <v>1985</v>
      </c>
      <c r="AM63" s="8" t="s">
        <v>1986</v>
      </c>
      <c r="AN63" s="8" t="s">
        <v>1987</v>
      </c>
      <c r="AO63" s="8" t="s">
        <v>1988</v>
      </c>
      <c r="AP63" s="8" t="s">
        <v>969</v>
      </c>
      <c r="AQ63" s="8" t="s">
        <v>969</v>
      </c>
      <c r="AR63" s="8" t="s">
        <v>1974</v>
      </c>
      <c r="AS63" s="8" t="s">
        <v>1989</v>
      </c>
      <c r="AT63" s="8" t="s">
        <v>2485</v>
      </c>
      <c r="AU63" s="8">
        <v>2012.0</v>
      </c>
      <c r="AV63" s="8">
        <v>7.0</v>
      </c>
      <c r="AW63" s="8">
        <v>3.0</v>
      </c>
      <c r="AX63" s="8" t="s">
        <v>969</v>
      </c>
      <c r="AY63" s="8" t="s">
        <v>969</v>
      </c>
      <c r="AZ63" s="8" t="s">
        <v>969</v>
      </c>
      <c r="BA63" s="8" t="s">
        <v>969</v>
      </c>
      <c r="BB63" s="8" t="s">
        <v>969</v>
      </c>
      <c r="BC63" s="8" t="s">
        <v>969</v>
      </c>
      <c r="BD63" s="8" t="s">
        <v>2486</v>
      </c>
      <c r="BE63" s="8" t="s">
        <v>815</v>
      </c>
      <c r="BF63" s="13" t="str">
        <f>HYPERLINK("http://dx.doi.org/10.1371/journal.pone.0029507","http://dx.doi.org/10.1371/journal.pone.0029507")</f>
        <v>http://dx.doi.org/10.1371/journal.pone.0029507</v>
      </c>
      <c r="BG63" s="8" t="s">
        <v>969</v>
      </c>
      <c r="BH63" s="8" t="s">
        <v>969</v>
      </c>
      <c r="BI63" s="8">
        <v>13.0</v>
      </c>
      <c r="BJ63" s="8" t="s">
        <v>1076</v>
      </c>
      <c r="BK63" s="8" t="s">
        <v>988</v>
      </c>
      <c r="BL63" s="8" t="s">
        <v>1077</v>
      </c>
      <c r="BM63" s="8" t="s">
        <v>2487</v>
      </c>
      <c r="BN63" s="8">
        <v>2.2396726E7</v>
      </c>
      <c r="BO63" s="8" t="s">
        <v>1140</v>
      </c>
      <c r="BP63" s="8" t="s">
        <v>969</v>
      </c>
      <c r="BQ63" s="8" t="s">
        <v>969</v>
      </c>
      <c r="BR63" s="8" t="s">
        <v>3344</v>
      </c>
      <c r="BS63" s="8" t="s">
        <v>2488</v>
      </c>
      <c r="BT63" s="8" t="str">
        <f>HYPERLINK("https%3A%2F%2Fwww.webofscience.com%2Fwos%2Fwoscc%2Ffull-record%2FWOS:000303006500001","View Full Record in Web of Science")</f>
        <v>View Full Record in Web of Science</v>
      </c>
    </row>
    <row r="64" ht="12.75" customHeight="1">
      <c r="A64" s="8" t="s">
        <v>967</v>
      </c>
      <c r="B64" s="8" t="s">
        <v>2181</v>
      </c>
      <c r="C64" s="8" t="s">
        <v>969</v>
      </c>
      <c r="D64" s="8" t="s">
        <v>969</v>
      </c>
      <c r="E64" s="8" t="s">
        <v>969</v>
      </c>
      <c r="F64" s="8" t="s">
        <v>2182</v>
      </c>
      <c r="G64" s="8" t="s">
        <v>969</v>
      </c>
      <c r="H64" s="8" t="s">
        <v>969</v>
      </c>
      <c r="I64" s="8" t="s">
        <v>2183</v>
      </c>
      <c r="J64" s="8" t="s">
        <v>971</v>
      </c>
      <c r="K64" s="8" t="s">
        <v>969</v>
      </c>
      <c r="L64" s="8" t="s">
        <v>969</v>
      </c>
      <c r="M64" s="8" t="s">
        <v>972</v>
      </c>
      <c r="N64" s="8" t="s">
        <v>973</v>
      </c>
      <c r="O64" s="8" t="s">
        <v>969</v>
      </c>
      <c r="P64" s="8" t="s">
        <v>969</v>
      </c>
      <c r="Q64" s="8" t="s">
        <v>969</v>
      </c>
      <c r="R64" s="8" t="s">
        <v>969</v>
      </c>
      <c r="S64" s="8" t="s">
        <v>969</v>
      </c>
      <c r="T64" s="8" t="s">
        <v>2184</v>
      </c>
      <c r="U64" s="8" t="s">
        <v>2185</v>
      </c>
      <c r="V64" s="8" t="s">
        <v>2186</v>
      </c>
      <c r="W64" s="8" t="s">
        <v>2187</v>
      </c>
      <c r="X64" s="8" t="s">
        <v>2188</v>
      </c>
      <c r="Y64" s="8" t="s">
        <v>2189</v>
      </c>
      <c r="Z64" s="8" t="s">
        <v>2190</v>
      </c>
      <c r="AA64" s="8" t="s">
        <v>3277</v>
      </c>
      <c r="AB64" s="8" t="s">
        <v>3278</v>
      </c>
      <c r="AC64" s="8" t="s">
        <v>3054</v>
      </c>
      <c r="AD64" s="8" t="s">
        <v>2194</v>
      </c>
      <c r="AE64" s="8" t="s">
        <v>2195</v>
      </c>
      <c r="AF64" s="8" t="s">
        <v>969</v>
      </c>
      <c r="AG64" s="8">
        <v>54.0</v>
      </c>
      <c r="AH64" s="8">
        <v>206.0</v>
      </c>
      <c r="AI64" s="8">
        <v>246.0</v>
      </c>
      <c r="AJ64" s="8">
        <v>1.0</v>
      </c>
      <c r="AK64" s="8">
        <v>159.0</v>
      </c>
      <c r="AL64" s="8" t="s">
        <v>1091</v>
      </c>
      <c r="AM64" s="8" t="s">
        <v>1092</v>
      </c>
      <c r="AN64" s="8" t="s">
        <v>1093</v>
      </c>
      <c r="AO64" s="8" t="s">
        <v>983</v>
      </c>
      <c r="AP64" s="8" t="s">
        <v>1094</v>
      </c>
      <c r="AQ64" s="8" t="s">
        <v>969</v>
      </c>
      <c r="AR64" s="8" t="s">
        <v>1095</v>
      </c>
      <c r="AS64" s="8" t="s">
        <v>985</v>
      </c>
      <c r="AT64" s="8" t="s">
        <v>1036</v>
      </c>
      <c r="AU64" s="8">
        <v>2010.0</v>
      </c>
      <c r="AV64" s="8">
        <v>16.0</v>
      </c>
      <c r="AW64" s="8">
        <v>2.0</v>
      </c>
      <c r="AX64" s="8" t="s">
        <v>969</v>
      </c>
      <c r="AY64" s="8" t="s">
        <v>969</v>
      </c>
      <c r="AZ64" s="8" t="s">
        <v>969</v>
      </c>
      <c r="BA64" s="8" t="s">
        <v>969</v>
      </c>
      <c r="BB64" s="8">
        <v>561.0</v>
      </c>
      <c r="BC64" s="8">
        <v>576.0</v>
      </c>
      <c r="BD64" s="8" t="s">
        <v>969</v>
      </c>
      <c r="BE64" s="8" t="s">
        <v>716</v>
      </c>
      <c r="BF64" s="13" t="str">
        <f>HYPERLINK("http://dx.doi.org/10.1111/j.1365-2486.2009.02021.x","http://dx.doi.org/10.1111/j.1365-2486.2009.02021.x")</f>
        <v>http://dx.doi.org/10.1111/j.1365-2486.2009.02021.x</v>
      </c>
      <c r="BG64" s="8" t="s">
        <v>969</v>
      </c>
      <c r="BH64" s="8" t="s">
        <v>969</v>
      </c>
      <c r="BI64" s="8">
        <v>16.0</v>
      </c>
      <c r="BJ64" s="8" t="s">
        <v>987</v>
      </c>
      <c r="BK64" s="8" t="s">
        <v>988</v>
      </c>
      <c r="BL64" s="8" t="s">
        <v>989</v>
      </c>
      <c r="BM64" s="8" t="s">
        <v>2196</v>
      </c>
      <c r="BN64" s="8" t="s">
        <v>969</v>
      </c>
      <c r="BO64" s="8" t="s">
        <v>969</v>
      </c>
      <c r="BP64" s="8" t="s">
        <v>969</v>
      </c>
      <c r="BQ64" s="8" t="s">
        <v>969</v>
      </c>
      <c r="BR64" s="8" t="s">
        <v>3344</v>
      </c>
      <c r="BS64" s="8" t="s">
        <v>2197</v>
      </c>
      <c r="BT64" s="8" t="str">
        <f>HYPERLINK("https%3A%2F%2Fwww.webofscience.com%2Fwos%2Fwoscc%2Ffull-record%2FWOS:000274419400007","View Full Record in Web of Science")</f>
        <v>View Full Record in Web of Science</v>
      </c>
    </row>
    <row r="65" ht="12.75" customHeight="1">
      <c r="A65" s="8" t="s">
        <v>967</v>
      </c>
      <c r="B65" s="8" t="s">
        <v>2416</v>
      </c>
      <c r="C65" s="8" t="s">
        <v>969</v>
      </c>
      <c r="D65" s="8" t="s">
        <v>969</v>
      </c>
      <c r="E65" s="8" t="s">
        <v>969</v>
      </c>
      <c r="F65" s="8" t="s">
        <v>2417</v>
      </c>
      <c r="G65" s="8" t="s">
        <v>969</v>
      </c>
      <c r="H65" s="8" t="s">
        <v>969</v>
      </c>
      <c r="I65" s="8" t="s">
        <v>2418</v>
      </c>
      <c r="J65" s="8" t="s">
        <v>1645</v>
      </c>
      <c r="K65" s="8" t="s">
        <v>969</v>
      </c>
      <c r="L65" s="8" t="s">
        <v>969</v>
      </c>
      <c r="M65" s="8" t="s">
        <v>972</v>
      </c>
      <c r="N65" s="8" t="s">
        <v>973</v>
      </c>
      <c r="O65" s="8" t="s">
        <v>969</v>
      </c>
      <c r="P65" s="8" t="s">
        <v>969</v>
      </c>
      <c r="Q65" s="8" t="s">
        <v>969</v>
      </c>
      <c r="R65" s="8" t="s">
        <v>969</v>
      </c>
      <c r="S65" s="8" t="s">
        <v>969</v>
      </c>
      <c r="T65" s="8" t="s">
        <v>2419</v>
      </c>
      <c r="U65" s="8" t="s">
        <v>2420</v>
      </c>
      <c r="V65" s="8" t="s">
        <v>2421</v>
      </c>
      <c r="W65" s="8" t="s">
        <v>2422</v>
      </c>
      <c r="X65" s="8" t="s">
        <v>2423</v>
      </c>
      <c r="Y65" s="8" t="s">
        <v>2424</v>
      </c>
      <c r="Z65" s="8" t="s">
        <v>2425</v>
      </c>
      <c r="AA65" s="8" t="s">
        <v>3039</v>
      </c>
      <c r="AB65" s="8" t="s">
        <v>2427</v>
      </c>
      <c r="AC65" s="8" t="s">
        <v>2428</v>
      </c>
      <c r="AD65" s="8" t="s">
        <v>2428</v>
      </c>
      <c r="AE65" s="8" t="s">
        <v>2429</v>
      </c>
      <c r="AF65" s="8" t="s">
        <v>969</v>
      </c>
      <c r="AG65" s="8">
        <v>60.0</v>
      </c>
      <c r="AH65" s="8">
        <v>76.0</v>
      </c>
      <c r="AI65" s="8">
        <v>82.0</v>
      </c>
      <c r="AJ65" s="8">
        <v>0.0</v>
      </c>
      <c r="AK65" s="8">
        <v>90.0</v>
      </c>
      <c r="AL65" s="8" t="s">
        <v>1609</v>
      </c>
      <c r="AM65" s="8" t="s">
        <v>1032</v>
      </c>
      <c r="AN65" s="8" t="s">
        <v>1210</v>
      </c>
      <c r="AO65" s="8" t="s">
        <v>1653</v>
      </c>
      <c r="AP65" s="8" t="s">
        <v>1654</v>
      </c>
      <c r="AQ65" s="8" t="s">
        <v>969</v>
      </c>
      <c r="AR65" s="8" t="s">
        <v>1655</v>
      </c>
      <c r="AS65" s="8" t="s">
        <v>1656</v>
      </c>
      <c r="AT65" s="8" t="s">
        <v>986</v>
      </c>
      <c r="AU65" s="8">
        <v>2011.0</v>
      </c>
      <c r="AV65" s="8">
        <v>20.0</v>
      </c>
      <c r="AW65" s="8">
        <v>13.0</v>
      </c>
      <c r="AX65" s="8" t="s">
        <v>969</v>
      </c>
      <c r="AY65" s="8" t="s">
        <v>969</v>
      </c>
      <c r="AZ65" s="8" t="s">
        <v>2350</v>
      </c>
      <c r="BA65" s="8" t="s">
        <v>969</v>
      </c>
      <c r="BB65" s="8">
        <v>3133.0</v>
      </c>
      <c r="BC65" s="8">
        <v>3146.0</v>
      </c>
      <c r="BD65" s="8" t="s">
        <v>969</v>
      </c>
      <c r="BE65" s="8" t="s">
        <v>533</v>
      </c>
      <c r="BF65" s="13" t="str">
        <f>HYPERLINK("http://dx.doi.org/10.1007/s10531-011-0140-y","http://dx.doi.org/10.1007/s10531-011-0140-y")</f>
        <v>http://dx.doi.org/10.1007/s10531-011-0140-y</v>
      </c>
      <c r="BG65" s="8" t="s">
        <v>969</v>
      </c>
      <c r="BH65" s="8" t="s">
        <v>969</v>
      </c>
      <c r="BI65" s="8">
        <v>14.0</v>
      </c>
      <c r="BJ65" s="8" t="s">
        <v>987</v>
      </c>
      <c r="BK65" s="8" t="s">
        <v>988</v>
      </c>
      <c r="BL65" s="8" t="s">
        <v>989</v>
      </c>
      <c r="BM65" s="8" t="s">
        <v>2430</v>
      </c>
      <c r="BN65" s="8" t="s">
        <v>969</v>
      </c>
      <c r="BO65" s="8" t="s">
        <v>969</v>
      </c>
      <c r="BP65" s="8" t="s">
        <v>969</v>
      </c>
      <c r="BQ65" s="8" t="s">
        <v>969</v>
      </c>
      <c r="BR65" s="8" t="s">
        <v>3344</v>
      </c>
      <c r="BS65" s="8" t="s">
        <v>2431</v>
      </c>
      <c r="BT65" s="8" t="str">
        <f>HYPERLINK("https%3A%2F%2Fwww.webofscience.com%2Fwos%2Fwoscc%2Ffull-record%2FWOS:000297170900017","View Full Record in Web of Science")</f>
        <v>View Full Record in Web of Science</v>
      </c>
    </row>
    <row r="66" ht="12.75" customHeight="1">
      <c r="A66" s="8" t="s">
        <v>967</v>
      </c>
      <c r="B66" s="8" t="s">
        <v>1425</v>
      </c>
      <c r="C66" s="8" t="s">
        <v>969</v>
      </c>
      <c r="D66" s="8" t="s">
        <v>969</v>
      </c>
      <c r="E66" s="8" t="s">
        <v>969</v>
      </c>
      <c r="F66" s="8" t="s">
        <v>1425</v>
      </c>
      <c r="G66" s="8" t="s">
        <v>969</v>
      </c>
      <c r="H66" s="8" t="s">
        <v>969</v>
      </c>
      <c r="I66" s="8" t="s">
        <v>1426</v>
      </c>
      <c r="J66" s="8" t="s">
        <v>1427</v>
      </c>
      <c r="K66" s="8" t="s">
        <v>969</v>
      </c>
      <c r="L66" s="8" t="s">
        <v>969</v>
      </c>
      <c r="M66" s="8" t="s">
        <v>972</v>
      </c>
      <c r="N66" s="8" t="s">
        <v>973</v>
      </c>
      <c r="O66" s="8" t="s">
        <v>969</v>
      </c>
      <c r="P66" s="8" t="s">
        <v>969</v>
      </c>
      <c r="Q66" s="8" t="s">
        <v>969</v>
      </c>
      <c r="R66" s="8" t="s">
        <v>969</v>
      </c>
      <c r="S66" s="8" t="s">
        <v>969</v>
      </c>
      <c r="T66" s="8" t="s">
        <v>1428</v>
      </c>
      <c r="U66" s="8" t="s">
        <v>1429</v>
      </c>
      <c r="V66" s="8" t="s">
        <v>1430</v>
      </c>
      <c r="W66" s="8" t="s">
        <v>1431</v>
      </c>
      <c r="X66" s="8" t="s">
        <v>1432</v>
      </c>
      <c r="Y66" s="8" t="s">
        <v>1433</v>
      </c>
      <c r="Z66" s="8" t="s">
        <v>1434</v>
      </c>
      <c r="AA66" s="8" t="s">
        <v>3389</v>
      </c>
      <c r="AB66" s="8" t="s">
        <v>3174</v>
      </c>
      <c r="AC66" s="8" t="s">
        <v>969</v>
      </c>
      <c r="AD66" s="8" t="s">
        <v>969</v>
      </c>
      <c r="AE66" s="8" t="s">
        <v>969</v>
      </c>
      <c r="AF66" s="8" t="s">
        <v>969</v>
      </c>
      <c r="AG66" s="8">
        <v>43.0</v>
      </c>
      <c r="AH66" s="8">
        <v>198.0</v>
      </c>
      <c r="AI66" s="8">
        <v>246.0</v>
      </c>
      <c r="AJ66" s="8">
        <v>2.0</v>
      </c>
      <c r="AK66" s="8">
        <v>182.0</v>
      </c>
      <c r="AL66" s="8" t="s">
        <v>1010</v>
      </c>
      <c r="AM66" s="8" t="s">
        <v>1011</v>
      </c>
      <c r="AN66" s="8" t="s">
        <v>1012</v>
      </c>
      <c r="AO66" s="8" t="s">
        <v>1437</v>
      </c>
      <c r="AP66" s="8" t="s">
        <v>969</v>
      </c>
      <c r="AQ66" s="8" t="s">
        <v>969</v>
      </c>
      <c r="AR66" s="8" t="s">
        <v>1438</v>
      </c>
      <c r="AS66" s="8" t="s">
        <v>1439</v>
      </c>
      <c r="AT66" s="8" t="s">
        <v>1096</v>
      </c>
      <c r="AU66" s="8">
        <v>2005.0</v>
      </c>
      <c r="AV66" s="8">
        <v>11.0</v>
      </c>
      <c r="AW66" s="8">
        <v>4.0</v>
      </c>
      <c r="AX66" s="8" t="s">
        <v>969</v>
      </c>
      <c r="AY66" s="8" t="s">
        <v>969</v>
      </c>
      <c r="AZ66" s="8" t="s">
        <v>969</v>
      </c>
      <c r="BA66" s="8" t="s">
        <v>969</v>
      </c>
      <c r="BB66" s="8">
        <v>299.0</v>
      </c>
      <c r="BC66" s="8">
        <v>310.0</v>
      </c>
      <c r="BD66" s="8" t="s">
        <v>969</v>
      </c>
      <c r="BE66" s="8" t="s">
        <v>737</v>
      </c>
      <c r="BF66" s="13" t="str">
        <f>HYPERLINK("http://dx.doi.org/10.1111/j.1366-9516.2005.00153.x","http://dx.doi.org/10.1111/j.1366-9516.2005.00153.x")</f>
        <v>http://dx.doi.org/10.1111/j.1366-9516.2005.00153.x</v>
      </c>
      <c r="BG66" s="8" t="s">
        <v>969</v>
      </c>
      <c r="BH66" s="8" t="s">
        <v>969</v>
      </c>
      <c r="BI66" s="8">
        <v>12.0</v>
      </c>
      <c r="BJ66" s="8" t="s">
        <v>1286</v>
      </c>
      <c r="BK66" s="8" t="s">
        <v>988</v>
      </c>
      <c r="BL66" s="8" t="s">
        <v>989</v>
      </c>
      <c r="BM66" s="8" t="s">
        <v>1440</v>
      </c>
      <c r="BN66" s="8" t="s">
        <v>969</v>
      </c>
      <c r="BO66" s="8" t="s">
        <v>1441</v>
      </c>
      <c r="BP66" s="8" t="s">
        <v>969</v>
      </c>
      <c r="BQ66" s="8" t="s">
        <v>969</v>
      </c>
      <c r="BR66" s="8" t="s">
        <v>3344</v>
      </c>
      <c r="BS66" s="8" t="s">
        <v>1442</v>
      </c>
      <c r="BT66" s="8" t="str">
        <f>HYPERLINK("https%3A%2F%2Fwww.webofscience.com%2Fwos%2Fwoscc%2Ffull-record%2FWOS:000230784400004","View Full Record in Web of Science")</f>
        <v>View Full Record in Web of Science</v>
      </c>
    </row>
    <row r="67" ht="12.75" customHeight="1">
      <c r="A67" s="8" t="s">
        <v>967</v>
      </c>
      <c r="B67" s="8" t="s">
        <v>968</v>
      </c>
      <c r="C67" s="8" t="s">
        <v>969</v>
      </c>
      <c r="D67" s="8" t="s">
        <v>969</v>
      </c>
      <c r="E67" s="8" t="s">
        <v>969</v>
      </c>
      <c r="F67" s="8" t="s">
        <v>968</v>
      </c>
      <c r="G67" s="8" t="s">
        <v>969</v>
      </c>
      <c r="H67" s="8" t="s">
        <v>969</v>
      </c>
      <c r="I67" s="8" t="s">
        <v>970</v>
      </c>
      <c r="J67" s="8" t="s">
        <v>971</v>
      </c>
      <c r="K67" s="8" t="s">
        <v>969</v>
      </c>
      <c r="L67" s="8" t="s">
        <v>969</v>
      </c>
      <c r="M67" s="8" t="s">
        <v>972</v>
      </c>
      <c r="N67" s="8" t="s">
        <v>973</v>
      </c>
      <c r="O67" s="8" t="s">
        <v>969</v>
      </c>
      <c r="P67" s="8" t="s">
        <v>969</v>
      </c>
      <c r="Q67" s="8" t="s">
        <v>969</v>
      </c>
      <c r="R67" s="8" t="s">
        <v>969</v>
      </c>
      <c r="S67" s="8" t="s">
        <v>969</v>
      </c>
      <c r="T67" s="8" t="s">
        <v>974</v>
      </c>
      <c r="U67" s="8" t="s">
        <v>975</v>
      </c>
      <c r="V67" s="8" t="s">
        <v>976</v>
      </c>
      <c r="W67" s="8" t="s">
        <v>977</v>
      </c>
      <c r="X67" s="8" t="s">
        <v>978</v>
      </c>
      <c r="Y67" s="8" t="s">
        <v>979</v>
      </c>
      <c r="Z67" s="8" t="s">
        <v>969</v>
      </c>
      <c r="AA67" s="8" t="s">
        <v>969</v>
      </c>
      <c r="AB67" s="8" t="s">
        <v>969</v>
      </c>
      <c r="AC67" s="8" t="s">
        <v>969</v>
      </c>
      <c r="AD67" s="8" t="s">
        <v>969</v>
      </c>
      <c r="AE67" s="8" t="s">
        <v>969</v>
      </c>
      <c r="AF67" s="8" t="s">
        <v>969</v>
      </c>
      <c r="AG67" s="8">
        <v>38.0</v>
      </c>
      <c r="AH67" s="8">
        <v>28.0</v>
      </c>
      <c r="AI67" s="8">
        <v>35.0</v>
      </c>
      <c r="AJ67" s="8">
        <v>0.0</v>
      </c>
      <c r="AK67" s="8">
        <v>44.0</v>
      </c>
      <c r="AL67" s="8" t="s">
        <v>980</v>
      </c>
      <c r="AM67" s="8" t="s">
        <v>981</v>
      </c>
      <c r="AN67" s="8" t="s">
        <v>982</v>
      </c>
      <c r="AO67" s="8" t="s">
        <v>983</v>
      </c>
      <c r="AP67" s="8" t="s">
        <v>969</v>
      </c>
      <c r="AQ67" s="8" t="s">
        <v>969</v>
      </c>
      <c r="AR67" s="8" t="s">
        <v>984</v>
      </c>
      <c r="AS67" s="8" t="s">
        <v>985</v>
      </c>
      <c r="AT67" s="8" t="s">
        <v>986</v>
      </c>
      <c r="AU67" s="8">
        <v>1997.0</v>
      </c>
      <c r="AV67" s="8">
        <v>3.0</v>
      </c>
      <c r="AW67" s="8">
        <v>6.0</v>
      </c>
      <c r="AX67" s="8" t="s">
        <v>969</v>
      </c>
      <c r="AY67" s="8" t="s">
        <v>969</v>
      </c>
      <c r="AZ67" s="8" t="s">
        <v>969</v>
      </c>
      <c r="BA67" s="8" t="s">
        <v>969</v>
      </c>
      <c r="BB67" s="8">
        <v>531.0</v>
      </c>
      <c r="BC67" s="8">
        <v>544.0</v>
      </c>
      <c r="BD67" s="8" t="s">
        <v>969</v>
      </c>
      <c r="BE67" s="8" t="s">
        <v>605</v>
      </c>
      <c r="BF67" s="13" t="str">
        <f>HYPERLINK("http://dx.doi.org/10.1046/j.1365-2486.1997.00093.x","http://dx.doi.org/10.1046/j.1365-2486.1997.00093.x")</f>
        <v>http://dx.doi.org/10.1046/j.1365-2486.1997.00093.x</v>
      </c>
      <c r="BG67" s="8" t="s">
        <v>969</v>
      </c>
      <c r="BH67" s="8" t="s">
        <v>969</v>
      </c>
      <c r="BI67" s="8">
        <v>14.0</v>
      </c>
      <c r="BJ67" s="8" t="s">
        <v>987</v>
      </c>
      <c r="BK67" s="8" t="s">
        <v>988</v>
      </c>
      <c r="BL67" s="8" t="s">
        <v>989</v>
      </c>
      <c r="BM67" s="8" t="s">
        <v>990</v>
      </c>
      <c r="BN67" s="8" t="s">
        <v>969</v>
      </c>
      <c r="BO67" s="8" t="s">
        <v>969</v>
      </c>
      <c r="BP67" s="8" t="s">
        <v>969</v>
      </c>
      <c r="BQ67" s="8" t="s">
        <v>969</v>
      </c>
      <c r="BR67" s="8" t="s">
        <v>3344</v>
      </c>
      <c r="BS67" s="8" t="s">
        <v>992</v>
      </c>
      <c r="BT67" s="8" t="str">
        <f>HYPERLINK("https%3A%2F%2Fwww.webofscience.com%2Fwos%2Fwoscc%2Ffull-record%2FWOS:000071220600007","View Full Record in Web of Science")</f>
        <v>View Full Record in Web of Science</v>
      </c>
    </row>
    <row r="68" ht="12.75" customHeight="1">
      <c r="A68" s="8" t="s">
        <v>967</v>
      </c>
      <c r="B68" s="8" t="s">
        <v>2446</v>
      </c>
      <c r="C68" s="8" t="s">
        <v>969</v>
      </c>
      <c r="D68" s="8" t="s">
        <v>969</v>
      </c>
      <c r="E68" s="8" t="s">
        <v>969</v>
      </c>
      <c r="F68" s="8" t="s">
        <v>2447</v>
      </c>
      <c r="G68" s="8" t="s">
        <v>969</v>
      </c>
      <c r="H68" s="8" t="s">
        <v>969</v>
      </c>
      <c r="I68" s="8" t="s">
        <v>2448</v>
      </c>
      <c r="J68" s="8" t="s">
        <v>971</v>
      </c>
      <c r="K68" s="8" t="s">
        <v>969</v>
      </c>
      <c r="L68" s="8" t="s">
        <v>969</v>
      </c>
      <c r="M68" s="8" t="s">
        <v>972</v>
      </c>
      <c r="N68" s="8" t="s">
        <v>973</v>
      </c>
      <c r="O68" s="8" t="s">
        <v>969</v>
      </c>
      <c r="P68" s="8" t="s">
        <v>969</v>
      </c>
      <c r="Q68" s="8" t="s">
        <v>969</v>
      </c>
      <c r="R68" s="8" t="s">
        <v>969</v>
      </c>
      <c r="S68" s="8" t="s">
        <v>969</v>
      </c>
      <c r="T68" s="8" t="s">
        <v>2449</v>
      </c>
      <c r="U68" s="8" t="s">
        <v>2450</v>
      </c>
      <c r="V68" s="8" t="s">
        <v>2451</v>
      </c>
      <c r="W68" s="8" t="s">
        <v>2452</v>
      </c>
      <c r="X68" s="8" t="s">
        <v>2453</v>
      </c>
      <c r="Y68" s="8" t="s">
        <v>2454</v>
      </c>
      <c r="Z68" s="8" t="s">
        <v>2455</v>
      </c>
      <c r="AA68" s="8" t="s">
        <v>3390</v>
      </c>
      <c r="AB68" s="8" t="s">
        <v>3391</v>
      </c>
      <c r="AC68" s="8" t="s">
        <v>3392</v>
      </c>
      <c r="AD68" s="8" t="s">
        <v>2459</v>
      </c>
      <c r="AE68" s="8" t="s">
        <v>2460</v>
      </c>
      <c r="AF68" s="8" t="s">
        <v>969</v>
      </c>
      <c r="AG68" s="8">
        <v>63.0</v>
      </c>
      <c r="AH68" s="8">
        <v>194.0</v>
      </c>
      <c r="AI68" s="8">
        <v>232.0</v>
      </c>
      <c r="AJ68" s="8">
        <v>2.0</v>
      </c>
      <c r="AK68" s="8">
        <v>255.0</v>
      </c>
      <c r="AL68" s="8" t="s">
        <v>1091</v>
      </c>
      <c r="AM68" s="8" t="s">
        <v>1092</v>
      </c>
      <c r="AN68" s="8" t="s">
        <v>1093</v>
      </c>
      <c r="AO68" s="8" t="s">
        <v>983</v>
      </c>
      <c r="AP68" s="8" t="s">
        <v>1094</v>
      </c>
      <c r="AQ68" s="8" t="s">
        <v>969</v>
      </c>
      <c r="AR68" s="8" t="s">
        <v>1095</v>
      </c>
      <c r="AS68" s="8" t="s">
        <v>985</v>
      </c>
      <c r="AT68" s="8" t="s">
        <v>1552</v>
      </c>
      <c r="AU68" s="8">
        <v>2012.0</v>
      </c>
      <c r="AV68" s="8">
        <v>18.0</v>
      </c>
      <c r="AW68" s="8">
        <v>4.0</v>
      </c>
      <c r="AX68" s="8" t="s">
        <v>969</v>
      </c>
      <c r="AY68" s="8" t="s">
        <v>969</v>
      </c>
      <c r="AZ68" s="8" t="s">
        <v>969</v>
      </c>
      <c r="BA68" s="8" t="s">
        <v>969</v>
      </c>
      <c r="BB68" s="8">
        <v>1357.0</v>
      </c>
      <c r="BC68" s="8">
        <v>1371.0</v>
      </c>
      <c r="BD68" s="8" t="s">
        <v>969</v>
      </c>
      <c r="BE68" s="8" t="s">
        <v>725</v>
      </c>
      <c r="BF68" s="13" t="str">
        <f>HYPERLINK("http://dx.doi.org/10.1111/j.1365-2486.2011.02614.x","http://dx.doi.org/10.1111/j.1365-2486.2011.02614.x")</f>
        <v>http://dx.doi.org/10.1111/j.1365-2486.2011.02614.x</v>
      </c>
      <c r="BG68" s="8" t="s">
        <v>969</v>
      </c>
      <c r="BH68" s="8" t="s">
        <v>969</v>
      </c>
      <c r="BI68" s="8">
        <v>15.0</v>
      </c>
      <c r="BJ68" s="8" t="s">
        <v>987</v>
      </c>
      <c r="BK68" s="8" t="s">
        <v>988</v>
      </c>
      <c r="BL68" s="8" t="s">
        <v>989</v>
      </c>
      <c r="BM68" s="8" t="s">
        <v>2461</v>
      </c>
      <c r="BN68" s="8" t="s">
        <v>969</v>
      </c>
      <c r="BO68" s="8" t="s">
        <v>969</v>
      </c>
      <c r="BP68" s="8" t="s">
        <v>969</v>
      </c>
      <c r="BQ68" s="8" t="s">
        <v>969</v>
      </c>
      <c r="BR68" s="8" t="s">
        <v>3344</v>
      </c>
      <c r="BS68" s="8" t="s">
        <v>2462</v>
      </c>
      <c r="BT68" s="8" t="str">
        <f>HYPERLINK("https%3A%2F%2Fwww.webofscience.com%2Fwos%2Fwoscc%2Ffull-record%2FWOS:000301533100013","View Full Record in Web of Science")</f>
        <v>View Full Record in Web of Science</v>
      </c>
    </row>
    <row r="69" ht="12.75" customHeight="1">
      <c r="A69" s="8" t="s">
        <v>967</v>
      </c>
      <c r="B69" s="8" t="s">
        <v>2432</v>
      </c>
      <c r="C69" s="8" t="s">
        <v>969</v>
      </c>
      <c r="D69" s="8" t="s">
        <v>969</v>
      </c>
      <c r="E69" s="8" t="s">
        <v>969</v>
      </c>
      <c r="F69" s="8" t="s">
        <v>2433</v>
      </c>
      <c r="G69" s="8" t="s">
        <v>969</v>
      </c>
      <c r="H69" s="8" t="s">
        <v>969</v>
      </c>
      <c r="I69" s="8" t="s">
        <v>2434</v>
      </c>
      <c r="J69" s="8" t="s">
        <v>1427</v>
      </c>
      <c r="K69" s="8" t="s">
        <v>969</v>
      </c>
      <c r="L69" s="8" t="s">
        <v>969</v>
      </c>
      <c r="M69" s="8" t="s">
        <v>972</v>
      </c>
      <c r="N69" s="8" t="s">
        <v>973</v>
      </c>
      <c r="O69" s="8" t="s">
        <v>969</v>
      </c>
      <c r="P69" s="8" t="s">
        <v>969</v>
      </c>
      <c r="Q69" s="8" t="s">
        <v>969</v>
      </c>
      <c r="R69" s="8" t="s">
        <v>969</v>
      </c>
      <c r="S69" s="8" t="s">
        <v>969</v>
      </c>
      <c r="T69" s="8" t="s">
        <v>2435</v>
      </c>
      <c r="U69" s="8" t="s">
        <v>2436</v>
      </c>
      <c r="V69" s="8" t="s">
        <v>2437</v>
      </c>
      <c r="W69" s="8" t="s">
        <v>2438</v>
      </c>
      <c r="X69" s="8" t="s">
        <v>2439</v>
      </c>
      <c r="Y69" s="8" t="s">
        <v>2440</v>
      </c>
      <c r="Z69" s="8" t="s">
        <v>2441</v>
      </c>
      <c r="AA69" s="8" t="s">
        <v>2442</v>
      </c>
      <c r="AB69" s="8" t="s">
        <v>2443</v>
      </c>
      <c r="AC69" s="8" t="s">
        <v>969</v>
      </c>
      <c r="AD69" s="8" t="s">
        <v>969</v>
      </c>
      <c r="AE69" s="8" t="s">
        <v>969</v>
      </c>
      <c r="AF69" s="8" t="s">
        <v>969</v>
      </c>
      <c r="AG69" s="8">
        <v>83.0</v>
      </c>
      <c r="AH69" s="8">
        <v>80.0</v>
      </c>
      <c r="AI69" s="8">
        <v>84.0</v>
      </c>
      <c r="AJ69" s="8">
        <v>0.0</v>
      </c>
      <c r="AK69" s="8">
        <v>152.0</v>
      </c>
      <c r="AL69" s="8" t="s">
        <v>1091</v>
      </c>
      <c r="AM69" s="8" t="s">
        <v>1092</v>
      </c>
      <c r="AN69" s="8" t="s">
        <v>1093</v>
      </c>
      <c r="AO69" s="8" t="s">
        <v>1437</v>
      </c>
      <c r="AP69" s="8" t="s">
        <v>1499</v>
      </c>
      <c r="AQ69" s="8" t="s">
        <v>969</v>
      </c>
      <c r="AR69" s="8" t="s">
        <v>1438</v>
      </c>
      <c r="AS69" s="8" t="s">
        <v>1439</v>
      </c>
      <c r="AT69" s="8" t="s">
        <v>1036</v>
      </c>
      <c r="AU69" s="8">
        <v>2012.0</v>
      </c>
      <c r="AV69" s="8">
        <v>18.0</v>
      </c>
      <c r="AW69" s="8">
        <v>2.0</v>
      </c>
      <c r="AX69" s="8" t="s">
        <v>969</v>
      </c>
      <c r="AY69" s="8" t="s">
        <v>969</v>
      </c>
      <c r="AZ69" s="8" t="s">
        <v>969</v>
      </c>
      <c r="BA69" s="8" t="s">
        <v>969</v>
      </c>
      <c r="BB69" s="8">
        <v>121.0</v>
      </c>
      <c r="BC69" s="8">
        <v>132.0</v>
      </c>
      <c r="BD69" s="8" t="s">
        <v>969</v>
      </c>
      <c r="BE69" s="8" t="s">
        <v>764</v>
      </c>
      <c r="BF69" s="13" t="str">
        <f>HYPERLINK("http://dx.doi.org/10.1111/j.1472-4642.2011.00827.x","http://dx.doi.org/10.1111/j.1472-4642.2011.00827.x")</f>
        <v>http://dx.doi.org/10.1111/j.1472-4642.2011.00827.x</v>
      </c>
      <c r="BG69" s="8" t="s">
        <v>969</v>
      </c>
      <c r="BH69" s="8" t="s">
        <v>969</v>
      </c>
      <c r="BI69" s="8">
        <v>12.0</v>
      </c>
      <c r="BJ69" s="8" t="s">
        <v>1286</v>
      </c>
      <c r="BK69" s="8" t="s">
        <v>988</v>
      </c>
      <c r="BL69" s="8" t="s">
        <v>989</v>
      </c>
      <c r="BM69" s="8" t="s">
        <v>2444</v>
      </c>
      <c r="BN69" s="8" t="s">
        <v>969</v>
      </c>
      <c r="BO69" s="8" t="s">
        <v>969</v>
      </c>
      <c r="BP69" s="8" t="s">
        <v>969</v>
      </c>
      <c r="BQ69" s="8" t="s">
        <v>969</v>
      </c>
      <c r="BR69" s="8" t="s">
        <v>3344</v>
      </c>
      <c r="BS69" s="8" t="s">
        <v>2445</v>
      </c>
      <c r="BT69" s="8" t="str">
        <f>HYPERLINK("https%3A%2F%2Fwww.webofscience.com%2Fwos%2Fwoscc%2Ffull-record%2FWOS:000298874900003","View Full Record in Web of Science")</f>
        <v>View Full Record in Web of Science</v>
      </c>
    </row>
    <row r="70" ht="12.75" customHeight="1">
      <c r="A70" s="8" t="s">
        <v>967</v>
      </c>
      <c r="B70" s="8" t="s">
        <v>1995</v>
      </c>
      <c r="C70" s="8" t="s">
        <v>969</v>
      </c>
      <c r="D70" s="8" t="s">
        <v>969</v>
      </c>
      <c r="E70" s="8" t="s">
        <v>969</v>
      </c>
      <c r="F70" s="8" t="s">
        <v>1996</v>
      </c>
      <c r="G70" s="8" t="s">
        <v>969</v>
      </c>
      <c r="H70" s="8" t="s">
        <v>969</v>
      </c>
      <c r="I70" s="8" t="s">
        <v>1997</v>
      </c>
      <c r="J70" s="8" t="s">
        <v>1998</v>
      </c>
      <c r="K70" s="8" t="s">
        <v>969</v>
      </c>
      <c r="L70" s="8" t="s">
        <v>969</v>
      </c>
      <c r="M70" s="8" t="s">
        <v>972</v>
      </c>
      <c r="N70" s="8" t="s">
        <v>973</v>
      </c>
      <c r="O70" s="8" t="s">
        <v>969</v>
      </c>
      <c r="P70" s="8" t="s">
        <v>969</v>
      </c>
      <c r="Q70" s="8" t="s">
        <v>969</v>
      </c>
      <c r="R70" s="8" t="s">
        <v>969</v>
      </c>
      <c r="S70" s="8" t="s">
        <v>969</v>
      </c>
      <c r="T70" s="8" t="s">
        <v>969</v>
      </c>
      <c r="U70" s="8" t="s">
        <v>1999</v>
      </c>
      <c r="V70" s="8" t="s">
        <v>2000</v>
      </c>
      <c r="W70" s="8" t="s">
        <v>2001</v>
      </c>
      <c r="X70" s="8" t="s">
        <v>1220</v>
      </c>
      <c r="Y70" s="8" t="s">
        <v>2002</v>
      </c>
      <c r="Z70" s="8" t="s">
        <v>2003</v>
      </c>
      <c r="AA70" s="8" t="s">
        <v>2004</v>
      </c>
      <c r="AB70" s="8" t="s">
        <v>2005</v>
      </c>
      <c r="AC70" s="8" t="s">
        <v>2006</v>
      </c>
      <c r="AD70" s="8" t="s">
        <v>2006</v>
      </c>
      <c r="AE70" s="8" t="s">
        <v>2007</v>
      </c>
      <c r="AF70" s="8" t="s">
        <v>969</v>
      </c>
      <c r="AG70" s="8">
        <v>64.0</v>
      </c>
      <c r="AH70" s="8">
        <v>17.0</v>
      </c>
      <c r="AI70" s="8">
        <v>19.0</v>
      </c>
      <c r="AJ70" s="8">
        <v>0.0</v>
      </c>
      <c r="AK70" s="8">
        <v>37.0</v>
      </c>
      <c r="AL70" s="8" t="s">
        <v>1755</v>
      </c>
      <c r="AM70" s="8" t="s">
        <v>1756</v>
      </c>
      <c r="AN70" s="8" t="s">
        <v>1757</v>
      </c>
      <c r="AO70" s="8" t="s">
        <v>2008</v>
      </c>
      <c r="AP70" s="8" t="s">
        <v>969</v>
      </c>
      <c r="AQ70" s="8" t="s">
        <v>969</v>
      </c>
      <c r="AR70" s="8" t="s">
        <v>2009</v>
      </c>
      <c r="AS70" s="8" t="s">
        <v>2010</v>
      </c>
      <c r="AT70" s="8" t="s">
        <v>2011</v>
      </c>
      <c r="AU70" s="8">
        <v>2008.0</v>
      </c>
      <c r="AV70" s="8">
        <v>81.0</v>
      </c>
      <c r="AW70" s="8">
        <v>6.0</v>
      </c>
      <c r="AX70" s="8" t="s">
        <v>969</v>
      </c>
      <c r="AY70" s="8" t="s">
        <v>969</v>
      </c>
      <c r="AZ70" s="8" t="s">
        <v>969</v>
      </c>
      <c r="BA70" s="8" t="s">
        <v>969</v>
      </c>
      <c r="BB70" s="8">
        <v>880.0</v>
      </c>
      <c r="BC70" s="8">
        <v>890.0</v>
      </c>
      <c r="BD70" s="8" t="s">
        <v>969</v>
      </c>
      <c r="BE70" s="8" t="s">
        <v>650</v>
      </c>
      <c r="BF70" s="13" t="str">
        <f>HYPERLINK("http://dx.doi.org/10.1086/588171","http://dx.doi.org/10.1086/588171")</f>
        <v>http://dx.doi.org/10.1086/588171</v>
      </c>
      <c r="BG70" s="8" t="s">
        <v>969</v>
      </c>
      <c r="BH70" s="8" t="s">
        <v>969</v>
      </c>
      <c r="BI70" s="8">
        <v>11.0</v>
      </c>
      <c r="BJ70" s="8" t="s">
        <v>2012</v>
      </c>
      <c r="BK70" s="8" t="s">
        <v>988</v>
      </c>
      <c r="BL70" s="8" t="s">
        <v>2012</v>
      </c>
      <c r="BM70" s="8" t="s">
        <v>2013</v>
      </c>
      <c r="BN70" s="8">
        <v>1.8937565E7</v>
      </c>
      <c r="BO70" s="8" t="s">
        <v>969</v>
      </c>
      <c r="BP70" s="8" t="s">
        <v>969</v>
      </c>
      <c r="BQ70" s="8" t="s">
        <v>969</v>
      </c>
      <c r="BR70" s="8" t="s">
        <v>3344</v>
      </c>
      <c r="BS70" s="8" t="s">
        <v>2014</v>
      </c>
      <c r="BT70" s="8" t="str">
        <f>HYPERLINK("https%3A%2F%2Fwww.webofscience.com%2Fwos%2Fwoscc%2Ffull-record%2FWOS:000260547400015","View Full Record in Web of Science")</f>
        <v>View Full Record in Web of Science</v>
      </c>
    </row>
    <row r="71" ht="12.75" customHeight="1">
      <c r="A71" s="8" t="s">
        <v>967</v>
      </c>
      <c r="B71" s="8" t="s">
        <v>1879</v>
      </c>
      <c r="C71" s="8" t="s">
        <v>969</v>
      </c>
      <c r="D71" s="8" t="s">
        <v>969</v>
      </c>
      <c r="E71" s="8" t="s">
        <v>969</v>
      </c>
      <c r="F71" s="8" t="s">
        <v>1880</v>
      </c>
      <c r="G71" s="8" t="s">
        <v>969</v>
      </c>
      <c r="H71" s="8" t="s">
        <v>969</v>
      </c>
      <c r="I71" s="8" t="s">
        <v>1881</v>
      </c>
      <c r="J71" s="8" t="s">
        <v>1882</v>
      </c>
      <c r="K71" s="8" t="s">
        <v>969</v>
      </c>
      <c r="L71" s="8" t="s">
        <v>969</v>
      </c>
      <c r="M71" s="8" t="s">
        <v>972</v>
      </c>
      <c r="N71" s="8" t="s">
        <v>973</v>
      </c>
      <c r="O71" s="8" t="s">
        <v>969</v>
      </c>
      <c r="P71" s="8" t="s">
        <v>969</v>
      </c>
      <c r="Q71" s="8" t="s">
        <v>969</v>
      </c>
      <c r="R71" s="8" t="s">
        <v>969</v>
      </c>
      <c r="S71" s="8" t="s">
        <v>969</v>
      </c>
      <c r="T71" s="8" t="s">
        <v>1883</v>
      </c>
      <c r="U71" s="8" t="s">
        <v>1884</v>
      </c>
      <c r="V71" s="8" t="s">
        <v>1885</v>
      </c>
      <c r="W71" s="8" t="s">
        <v>1886</v>
      </c>
      <c r="X71" s="8" t="s">
        <v>1887</v>
      </c>
      <c r="Y71" s="8" t="s">
        <v>1888</v>
      </c>
      <c r="Z71" s="8" t="s">
        <v>1889</v>
      </c>
      <c r="AA71" s="8" t="s">
        <v>1890</v>
      </c>
      <c r="AB71" s="8" t="s">
        <v>969</v>
      </c>
      <c r="AC71" s="8" t="s">
        <v>969</v>
      </c>
      <c r="AD71" s="8" t="s">
        <v>969</v>
      </c>
      <c r="AE71" s="8" t="s">
        <v>969</v>
      </c>
      <c r="AF71" s="8" t="s">
        <v>969</v>
      </c>
      <c r="AG71" s="8">
        <v>78.0</v>
      </c>
      <c r="AH71" s="8">
        <v>188.0</v>
      </c>
      <c r="AI71" s="8">
        <v>234.0</v>
      </c>
      <c r="AJ71" s="8">
        <v>1.0</v>
      </c>
      <c r="AK71" s="8">
        <v>155.0</v>
      </c>
      <c r="AL71" s="8" t="s">
        <v>1091</v>
      </c>
      <c r="AM71" s="8" t="s">
        <v>1092</v>
      </c>
      <c r="AN71" s="8" t="s">
        <v>1093</v>
      </c>
      <c r="AO71" s="8" t="s">
        <v>1891</v>
      </c>
      <c r="AP71" s="8" t="s">
        <v>1892</v>
      </c>
      <c r="AQ71" s="8" t="s">
        <v>969</v>
      </c>
      <c r="AR71" s="8" t="s">
        <v>1893</v>
      </c>
      <c r="AS71" s="8" t="s">
        <v>1894</v>
      </c>
      <c r="AT71" s="8" t="s">
        <v>1096</v>
      </c>
      <c r="AU71" s="8">
        <v>2008.0</v>
      </c>
      <c r="AV71" s="8">
        <v>96.0</v>
      </c>
      <c r="AW71" s="8">
        <v>4.0</v>
      </c>
      <c r="AX71" s="8" t="s">
        <v>969</v>
      </c>
      <c r="AY71" s="8" t="s">
        <v>969</v>
      </c>
      <c r="AZ71" s="8" t="s">
        <v>969</v>
      </c>
      <c r="BA71" s="8" t="s">
        <v>969</v>
      </c>
      <c r="BB71" s="8">
        <v>784.0</v>
      </c>
      <c r="BC71" s="8">
        <v>794.0</v>
      </c>
      <c r="BD71" s="8" t="s">
        <v>969</v>
      </c>
      <c r="BE71" s="8" t="s">
        <v>734</v>
      </c>
      <c r="BF71" s="13" t="str">
        <f>HYPERLINK("http://dx.doi.org/10.1111/j.1365-2745.2008.01369.x","http://dx.doi.org/10.1111/j.1365-2745.2008.01369.x")</f>
        <v>http://dx.doi.org/10.1111/j.1365-2745.2008.01369.x</v>
      </c>
      <c r="BG71" s="8" t="s">
        <v>969</v>
      </c>
      <c r="BH71" s="8" t="s">
        <v>969</v>
      </c>
      <c r="BI71" s="8">
        <v>11.0</v>
      </c>
      <c r="BJ71" s="8" t="s">
        <v>1895</v>
      </c>
      <c r="BK71" s="8" t="s">
        <v>988</v>
      </c>
      <c r="BL71" s="8" t="s">
        <v>1896</v>
      </c>
      <c r="BM71" s="8" t="s">
        <v>1897</v>
      </c>
      <c r="BN71" s="8" t="s">
        <v>969</v>
      </c>
      <c r="BO71" s="8" t="s">
        <v>969</v>
      </c>
      <c r="BP71" s="8" t="s">
        <v>969</v>
      </c>
      <c r="BQ71" s="8" t="s">
        <v>969</v>
      </c>
      <c r="BR71" s="8" t="s">
        <v>3344</v>
      </c>
      <c r="BS71" s="8" t="s">
        <v>1898</v>
      </c>
      <c r="BT71" s="8" t="str">
        <f>HYPERLINK("https%3A%2F%2Fwww.webofscience.com%2Fwos%2Fwoscc%2Ffull-record%2FWOS:000256635800024","View Full Record in Web of Science")</f>
        <v>View Full Record in Web of Science</v>
      </c>
    </row>
    <row r="72" ht="12.75" customHeight="1">
      <c r="A72" s="8" t="s">
        <v>967</v>
      </c>
      <c r="B72" s="8" t="s">
        <v>1899</v>
      </c>
      <c r="C72" s="8" t="s">
        <v>969</v>
      </c>
      <c r="D72" s="8" t="s">
        <v>969</v>
      </c>
      <c r="E72" s="8" t="s">
        <v>969</v>
      </c>
      <c r="F72" s="8" t="s">
        <v>1900</v>
      </c>
      <c r="G72" s="8" t="s">
        <v>969</v>
      </c>
      <c r="H72" s="8" t="s">
        <v>969</v>
      </c>
      <c r="I72" s="8" t="s">
        <v>1901</v>
      </c>
      <c r="J72" s="8" t="s">
        <v>1183</v>
      </c>
      <c r="K72" s="8" t="s">
        <v>969</v>
      </c>
      <c r="L72" s="8" t="s">
        <v>969</v>
      </c>
      <c r="M72" s="8" t="s">
        <v>972</v>
      </c>
      <c r="N72" s="8" t="s">
        <v>973</v>
      </c>
      <c r="O72" s="8" t="s">
        <v>969</v>
      </c>
      <c r="P72" s="8" t="s">
        <v>969</v>
      </c>
      <c r="Q72" s="8" t="s">
        <v>969</v>
      </c>
      <c r="R72" s="8" t="s">
        <v>969</v>
      </c>
      <c r="S72" s="8" t="s">
        <v>969</v>
      </c>
      <c r="T72" s="8" t="s">
        <v>1902</v>
      </c>
      <c r="U72" s="8" t="s">
        <v>1903</v>
      </c>
      <c r="V72" s="8" t="s">
        <v>1904</v>
      </c>
      <c r="W72" s="8" t="s">
        <v>1905</v>
      </c>
      <c r="X72" s="8" t="s">
        <v>1906</v>
      </c>
      <c r="Y72" s="8" t="s">
        <v>1907</v>
      </c>
      <c r="Z72" s="8" t="s">
        <v>1908</v>
      </c>
      <c r="AA72" s="8" t="s">
        <v>3082</v>
      </c>
      <c r="AB72" s="8" t="s">
        <v>3083</v>
      </c>
      <c r="AC72" s="8" t="s">
        <v>969</v>
      </c>
      <c r="AD72" s="8" t="s">
        <v>969</v>
      </c>
      <c r="AE72" s="8" t="s">
        <v>969</v>
      </c>
      <c r="AF72" s="8" t="s">
        <v>969</v>
      </c>
      <c r="AG72" s="8">
        <v>66.0</v>
      </c>
      <c r="AH72" s="8">
        <v>115.0</v>
      </c>
      <c r="AI72" s="8">
        <v>137.0</v>
      </c>
      <c r="AJ72" s="8">
        <v>3.0</v>
      </c>
      <c r="AK72" s="8">
        <v>105.0</v>
      </c>
      <c r="AL72" s="8" t="s">
        <v>1192</v>
      </c>
      <c r="AM72" s="8" t="s">
        <v>981</v>
      </c>
      <c r="AN72" s="8" t="s">
        <v>1408</v>
      </c>
      <c r="AO72" s="8" t="s">
        <v>1195</v>
      </c>
      <c r="AP72" s="8" t="s">
        <v>1196</v>
      </c>
      <c r="AQ72" s="8" t="s">
        <v>969</v>
      </c>
      <c r="AR72" s="8" t="s">
        <v>1197</v>
      </c>
      <c r="AS72" s="8" t="s">
        <v>1198</v>
      </c>
      <c r="AT72" s="8" t="s">
        <v>1177</v>
      </c>
      <c r="AU72" s="8">
        <v>2008.0</v>
      </c>
      <c r="AV72" s="8">
        <v>141.0</v>
      </c>
      <c r="AW72" s="8">
        <v>5.0</v>
      </c>
      <c r="AX72" s="8" t="s">
        <v>969</v>
      </c>
      <c r="AY72" s="8" t="s">
        <v>969</v>
      </c>
      <c r="AZ72" s="8" t="s">
        <v>969</v>
      </c>
      <c r="BA72" s="8" t="s">
        <v>969</v>
      </c>
      <c r="BB72" s="8">
        <v>1343.0</v>
      </c>
      <c r="BC72" s="8">
        <v>1353.0</v>
      </c>
      <c r="BD72" s="8" t="s">
        <v>969</v>
      </c>
      <c r="BE72" s="8" t="s">
        <v>551</v>
      </c>
      <c r="BF72" s="13" t="str">
        <f>HYPERLINK("http://dx.doi.org/10.1016/j.biocon.2008.03.007","http://dx.doi.org/10.1016/j.biocon.2008.03.007")</f>
        <v>http://dx.doi.org/10.1016/j.biocon.2008.03.007</v>
      </c>
      <c r="BG72" s="8" t="s">
        <v>969</v>
      </c>
      <c r="BH72" s="8" t="s">
        <v>969</v>
      </c>
      <c r="BI72" s="8">
        <v>11.0</v>
      </c>
      <c r="BJ72" s="8" t="s">
        <v>987</v>
      </c>
      <c r="BK72" s="8" t="s">
        <v>988</v>
      </c>
      <c r="BL72" s="8" t="s">
        <v>989</v>
      </c>
      <c r="BM72" s="8" t="s">
        <v>1910</v>
      </c>
      <c r="BN72" s="8" t="s">
        <v>969</v>
      </c>
      <c r="BO72" s="8" t="s">
        <v>969</v>
      </c>
      <c r="BP72" s="8" t="s">
        <v>969</v>
      </c>
      <c r="BQ72" s="8" t="s">
        <v>969</v>
      </c>
      <c r="BR72" s="8" t="s">
        <v>3344</v>
      </c>
      <c r="BS72" s="8" t="s">
        <v>1911</v>
      </c>
      <c r="BT72" s="8" t="str">
        <f>HYPERLINK("https%3A%2F%2Fwww.webofscience.com%2Fwos%2Fwoscc%2Ffull-record%2FWOS:000257008400017","View Full Record in Web of Science")</f>
        <v>View Full Record in Web of Science</v>
      </c>
    </row>
    <row r="73" ht="12.75" customHeight="1">
      <c r="A73" s="8" t="s">
        <v>967</v>
      </c>
      <c r="B73" s="8" t="s">
        <v>1080</v>
      </c>
      <c r="C73" s="8" t="s">
        <v>969</v>
      </c>
      <c r="D73" s="8" t="s">
        <v>969</v>
      </c>
      <c r="E73" s="8" t="s">
        <v>969</v>
      </c>
      <c r="F73" s="8" t="s">
        <v>1080</v>
      </c>
      <c r="G73" s="8" t="s">
        <v>969</v>
      </c>
      <c r="H73" s="8" t="s">
        <v>969</v>
      </c>
      <c r="I73" s="8" t="s">
        <v>1081</v>
      </c>
      <c r="J73" s="8" t="s">
        <v>971</v>
      </c>
      <c r="K73" s="8" t="s">
        <v>969</v>
      </c>
      <c r="L73" s="8" t="s">
        <v>969</v>
      </c>
      <c r="M73" s="8" t="s">
        <v>972</v>
      </c>
      <c r="N73" s="8" t="s">
        <v>973</v>
      </c>
      <c r="O73" s="8" t="s">
        <v>969</v>
      </c>
      <c r="P73" s="8" t="s">
        <v>969</v>
      </c>
      <c r="Q73" s="8" t="s">
        <v>969</v>
      </c>
      <c r="R73" s="8" t="s">
        <v>969</v>
      </c>
      <c r="S73" s="8" t="s">
        <v>969</v>
      </c>
      <c r="T73" s="8" t="s">
        <v>1082</v>
      </c>
      <c r="U73" s="8" t="s">
        <v>1083</v>
      </c>
      <c r="V73" s="8" t="s">
        <v>1084</v>
      </c>
      <c r="W73" s="8" t="s">
        <v>1085</v>
      </c>
      <c r="X73" s="8" t="s">
        <v>1086</v>
      </c>
      <c r="Y73" s="8" t="s">
        <v>1087</v>
      </c>
      <c r="Z73" s="8" t="s">
        <v>1088</v>
      </c>
      <c r="AA73" s="8" t="s">
        <v>3275</v>
      </c>
      <c r="AB73" s="8" t="s">
        <v>3276</v>
      </c>
      <c r="AC73" s="8" t="s">
        <v>969</v>
      </c>
      <c r="AD73" s="8" t="s">
        <v>969</v>
      </c>
      <c r="AE73" s="8" t="s">
        <v>969</v>
      </c>
      <c r="AF73" s="8" t="s">
        <v>969</v>
      </c>
      <c r="AG73" s="8">
        <v>96.0</v>
      </c>
      <c r="AH73" s="8">
        <v>233.0</v>
      </c>
      <c r="AI73" s="8">
        <v>294.0</v>
      </c>
      <c r="AJ73" s="8">
        <v>1.0</v>
      </c>
      <c r="AK73" s="8">
        <v>89.0</v>
      </c>
      <c r="AL73" s="8" t="s">
        <v>1091</v>
      </c>
      <c r="AM73" s="8" t="s">
        <v>1092</v>
      </c>
      <c r="AN73" s="8" t="s">
        <v>1093</v>
      </c>
      <c r="AO73" s="8" t="s">
        <v>983</v>
      </c>
      <c r="AP73" s="8" t="s">
        <v>1094</v>
      </c>
      <c r="AQ73" s="8" t="s">
        <v>969</v>
      </c>
      <c r="AR73" s="8" t="s">
        <v>1095</v>
      </c>
      <c r="AS73" s="8" t="s">
        <v>985</v>
      </c>
      <c r="AT73" s="8" t="s">
        <v>1096</v>
      </c>
      <c r="AU73" s="8">
        <v>2002.0</v>
      </c>
      <c r="AV73" s="8">
        <v>8.0</v>
      </c>
      <c r="AW73" s="8">
        <v>7.0</v>
      </c>
      <c r="AX73" s="8" t="s">
        <v>969</v>
      </c>
      <c r="AY73" s="8" t="s">
        <v>969</v>
      </c>
      <c r="AZ73" s="8" t="s">
        <v>969</v>
      </c>
      <c r="BA73" s="8" t="s">
        <v>969</v>
      </c>
      <c r="BB73" s="8">
        <v>679.0</v>
      </c>
      <c r="BC73" s="8">
        <v>693.0</v>
      </c>
      <c r="BD73" s="8" t="s">
        <v>969</v>
      </c>
      <c r="BE73" s="8" t="s">
        <v>611</v>
      </c>
      <c r="BF73" s="13" t="str">
        <f>HYPERLINK("http://dx.doi.org/10.1046/j.1365-2486.2002.00502.x","http://dx.doi.org/10.1046/j.1365-2486.2002.00502.x")</f>
        <v>http://dx.doi.org/10.1046/j.1365-2486.2002.00502.x</v>
      </c>
      <c r="BG73" s="8" t="s">
        <v>969</v>
      </c>
      <c r="BH73" s="8" t="s">
        <v>969</v>
      </c>
      <c r="BI73" s="8">
        <v>15.0</v>
      </c>
      <c r="BJ73" s="8" t="s">
        <v>987</v>
      </c>
      <c r="BK73" s="8" t="s">
        <v>988</v>
      </c>
      <c r="BL73" s="8" t="s">
        <v>989</v>
      </c>
      <c r="BM73" s="8" t="s">
        <v>1097</v>
      </c>
      <c r="BN73" s="8" t="s">
        <v>969</v>
      </c>
      <c r="BO73" s="8" t="s">
        <v>969</v>
      </c>
      <c r="BP73" s="8" t="s">
        <v>969</v>
      </c>
      <c r="BQ73" s="8" t="s">
        <v>969</v>
      </c>
      <c r="BR73" s="8" t="s">
        <v>3344</v>
      </c>
      <c r="BS73" s="8" t="s">
        <v>1098</v>
      </c>
      <c r="BT73" s="8" t="str">
        <f>HYPERLINK("https%3A%2F%2Fwww.webofscience.com%2Fwos%2Fwoscc%2Ffull-record%2FWOS:000176055800007","View Full Record in Web of Science")</f>
        <v>View Full Record in Web of Science</v>
      </c>
    </row>
    <row r="74" ht="12.75" customHeight="1">
      <c r="A74" s="8" t="s">
        <v>967</v>
      </c>
      <c r="B74" s="8" t="s">
        <v>2867</v>
      </c>
      <c r="C74" s="8" t="s">
        <v>969</v>
      </c>
      <c r="D74" s="8" t="s">
        <v>969</v>
      </c>
      <c r="E74" s="8" t="s">
        <v>969</v>
      </c>
      <c r="F74" s="8" t="s">
        <v>2867</v>
      </c>
      <c r="G74" s="8" t="s">
        <v>969</v>
      </c>
      <c r="H74" s="8" t="s">
        <v>969</v>
      </c>
      <c r="I74" s="8" t="s">
        <v>2868</v>
      </c>
      <c r="J74" s="8" t="s">
        <v>2869</v>
      </c>
      <c r="K74" s="8" t="s">
        <v>969</v>
      </c>
      <c r="L74" s="8" t="s">
        <v>969</v>
      </c>
      <c r="M74" s="8" t="s">
        <v>972</v>
      </c>
      <c r="N74" s="8" t="s">
        <v>1145</v>
      </c>
      <c r="O74" s="8" t="s">
        <v>2870</v>
      </c>
      <c r="P74" s="8" t="s">
        <v>2871</v>
      </c>
      <c r="Q74" s="8" t="s">
        <v>2872</v>
      </c>
      <c r="R74" s="8" t="s">
        <v>2873</v>
      </c>
      <c r="S74" s="8" t="s">
        <v>969</v>
      </c>
      <c r="T74" s="8" t="s">
        <v>969</v>
      </c>
      <c r="U74" s="8" t="s">
        <v>2874</v>
      </c>
      <c r="V74" s="8" t="s">
        <v>2875</v>
      </c>
      <c r="W74" s="8" t="s">
        <v>2876</v>
      </c>
      <c r="X74" s="8" t="s">
        <v>969</v>
      </c>
      <c r="Y74" s="8" t="s">
        <v>2877</v>
      </c>
      <c r="Z74" s="8" t="s">
        <v>969</v>
      </c>
      <c r="AA74" s="8" t="s">
        <v>2878</v>
      </c>
      <c r="AB74" s="8" t="s">
        <v>2879</v>
      </c>
      <c r="AC74" s="8" t="s">
        <v>969</v>
      </c>
      <c r="AD74" s="8" t="s">
        <v>969</v>
      </c>
      <c r="AE74" s="8" t="s">
        <v>969</v>
      </c>
      <c r="AF74" s="8" t="s">
        <v>969</v>
      </c>
      <c r="AG74" s="8">
        <v>27.0</v>
      </c>
      <c r="AH74" s="8">
        <v>386.0</v>
      </c>
      <c r="AI74" s="8">
        <v>475.0</v>
      </c>
      <c r="AJ74" s="8">
        <v>0.0</v>
      </c>
      <c r="AK74" s="8">
        <v>91.0</v>
      </c>
      <c r="AL74" s="8" t="s">
        <v>2880</v>
      </c>
      <c r="AM74" s="8" t="s">
        <v>2881</v>
      </c>
      <c r="AN74" s="8" t="s">
        <v>2882</v>
      </c>
      <c r="AO74" s="8" t="s">
        <v>2883</v>
      </c>
      <c r="AP74" s="8" t="s">
        <v>969</v>
      </c>
      <c r="AQ74" s="8" t="s">
        <v>969</v>
      </c>
      <c r="AR74" s="8" t="s">
        <v>2884</v>
      </c>
      <c r="AS74" s="8" t="s">
        <v>2885</v>
      </c>
      <c r="AT74" s="8" t="s">
        <v>1096</v>
      </c>
      <c r="AU74" s="8">
        <v>1996.0</v>
      </c>
      <c r="AV74" s="8">
        <v>41.0</v>
      </c>
      <c r="AW74" s="8">
        <v>5.0</v>
      </c>
      <c r="AX74" s="8" t="s">
        <v>969</v>
      </c>
      <c r="AY74" s="8" t="s">
        <v>969</v>
      </c>
      <c r="AZ74" s="8" t="s">
        <v>969</v>
      </c>
      <c r="BA74" s="8" t="s">
        <v>969</v>
      </c>
      <c r="BB74" s="8">
        <v>1109.0</v>
      </c>
      <c r="BC74" s="8">
        <v>1115.0</v>
      </c>
      <c r="BD74" s="8" t="s">
        <v>969</v>
      </c>
      <c r="BE74" s="8" t="s">
        <v>854</v>
      </c>
      <c r="BF74" s="13" t="str">
        <f>HYPERLINK("http://dx.doi.org/10.4319/lo.1996.41.5.1109","http://dx.doi.org/10.4319/lo.1996.41.5.1109")</f>
        <v>http://dx.doi.org/10.4319/lo.1996.41.5.1109</v>
      </c>
      <c r="BG74" s="8" t="s">
        <v>969</v>
      </c>
      <c r="BH74" s="8" t="s">
        <v>969</v>
      </c>
      <c r="BI74" s="8">
        <v>7.0</v>
      </c>
      <c r="BJ74" s="8" t="s">
        <v>2886</v>
      </c>
      <c r="BK74" s="8" t="s">
        <v>2887</v>
      </c>
      <c r="BL74" s="8" t="s">
        <v>2888</v>
      </c>
      <c r="BM74" s="8" t="s">
        <v>2889</v>
      </c>
      <c r="BN74" s="8" t="s">
        <v>969</v>
      </c>
      <c r="BO74" s="8" t="s">
        <v>1247</v>
      </c>
      <c r="BP74" s="8" t="s">
        <v>969</v>
      </c>
      <c r="BQ74" s="8" t="s">
        <v>969</v>
      </c>
      <c r="BR74" s="8" t="s">
        <v>3344</v>
      </c>
      <c r="BS74" s="8" t="s">
        <v>2890</v>
      </c>
      <c r="BT74" s="8" t="str">
        <f>HYPERLINK("https%3A%2F%2Fwww.webofscience.com%2Fwos%2Fwoscc%2Ffull-record%2FWOS:A1996VN45800034","View Full Record in Web of Science")</f>
        <v>View Full Record in Web of Science</v>
      </c>
    </row>
    <row r="75" ht="12.75" customHeight="1">
      <c r="A75" s="8" t="s">
        <v>967</v>
      </c>
      <c r="B75" s="8" t="s">
        <v>1181</v>
      </c>
      <c r="C75" s="8" t="s">
        <v>969</v>
      </c>
      <c r="D75" s="8" t="s">
        <v>969</v>
      </c>
      <c r="E75" s="8" t="s">
        <v>969</v>
      </c>
      <c r="F75" s="8" t="s">
        <v>1181</v>
      </c>
      <c r="G75" s="8" t="s">
        <v>969</v>
      </c>
      <c r="H75" s="8" t="s">
        <v>969</v>
      </c>
      <c r="I75" s="8" t="s">
        <v>1182</v>
      </c>
      <c r="J75" s="8" t="s">
        <v>1183</v>
      </c>
      <c r="K75" s="8" t="s">
        <v>969</v>
      </c>
      <c r="L75" s="8" t="s">
        <v>969</v>
      </c>
      <c r="M75" s="8" t="s">
        <v>972</v>
      </c>
      <c r="N75" s="8" t="s">
        <v>973</v>
      </c>
      <c r="O75" s="8" t="s">
        <v>969</v>
      </c>
      <c r="P75" s="8" t="s">
        <v>969</v>
      </c>
      <c r="Q75" s="8" t="s">
        <v>969</v>
      </c>
      <c r="R75" s="8" t="s">
        <v>969</v>
      </c>
      <c r="S75" s="8" t="s">
        <v>969</v>
      </c>
      <c r="T75" s="8" t="s">
        <v>1184</v>
      </c>
      <c r="U75" s="8" t="s">
        <v>1185</v>
      </c>
      <c r="V75" s="8" t="s">
        <v>1186</v>
      </c>
      <c r="W75" s="8" t="s">
        <v>1187</v>
      </c>
      <c r="X75" s="8" t="s">
        <v>1188</v>
      </c>
      <c r="Y75" s="8" t="s">
        <v>1189</v>
      </c>
      <c r="Z75" s="8" t="s">
        <v>1156</v>
      </c>
      <c r="AA75" s="8" t="s">
        <v>2974</v>
      </c>
      <c r="AB75" s="8" t="s">
        <v>2975</v>
      </c>
      <c r="AC75" s="8" t="s">
        <v>969</v>
      </c>
      <c r="AD75" s="8" t="s">
        <v>969</v>
      </c>
      <c r="AE75" s="8" t="s">
        <v>969</v>
      </c>
      <c r="AF75" s="8" t="s">
        <v>969</v>
      </c>
      <c r="AG75" s="8">
        <v>48.0</v>
      </c>
      <c r="AH75" s="8">
        <v>218.0</v>
      </c>
      <c r="AI75" s="8">
        <v>253.0</v>
      </c>
      <c r="AJ75" s="8">
        <v>0.0</v>
      </c>
      <c r="AK75" s="8">
        <v>60.0</v>
      </c>
      <c r="AL75" s="8" t="s">
        <v>1192</v>
      </c>
      <c r="AM75" s="8" t="s">
        <v>1193</v>
      </c>
      <c r="AN75" s="8" t="s">
        <v>1194</v>
      </c>
      <c r="AO75" s="8" t="s">
        <v>1195</v>
      </c>
      <c r="AP75" s="8" t="s">
        <v>1196</v>
      </c>
      <c r="AQ75" s="8" t="s">
        <v>969</v>
      </c>
      <c r="AR75" s="8" t="s">
        <v>1197</v>
      </c>
      <c r="AS75" s="8" t="s">
        <v>1198</v>
      </c>
      <c r="AT75" s="8" t="s">
        <v>1199</v>
      </c>
      <c r="AU75" s="8">
        <v>2003.0</v>
      </c>
      <c r="AV75" s="8">
        <v>112.0</v>
      </c>
      <c r="AW75" s="8" t="s">
        <v>1200</v>
      </c>
      <c r="AX75" s="8" t="s">
        <v>969</v>
      </c>
      <c r="AY75" s="8" t="s">
        <v>969</v>
      </c>
      <c r="AZ75" s="8" t="s">
        <v>969</v>
      </c>
      <c r="BA75" s="8" t="s">
        <v>969</v>
      </c>
      <c r="BB75" s="8">
        <v>87.0</v>
      </c>
      <c r="BC75" s="8">
        <v>97.0</v>
      </c>
      <c r="BD75" s="8" t="s">
        <v>969</v>
      </c>
      <c r="BE75" s="8" t="s">
        <v>581</v>
      </c>
      <c r="BF75" s="13" t="str">
        <f>HYPERLINK("http://dx.doi.org/10.1016/S0006-3207(02)00414-7","http://dx.doi.org/10.1016/S0006-3207(02)00414-7")</f>
        <v>http://dx.doi.org/10.1016/S0006-3207(02)00414-7</v>
      </c>
      <c r="BG75" s="8" t="s">
        <v>969</v>
      </c>
      <c r="BH75" s="8" t="s">
        <v>969</v>
      </c>
      <c r="BI75" s="8">
        <v>11.0</v>
      </c>
      <c r="BJ75" s="8" t="s">
        <v>987</v>
      </c>
      <c r="BK75" s="8" t="s">
        <v>988</v>
      </c>
      <c r="BL75" s="8" t="s">
        <v>989</v>
      </c>
      <c r="BM75" s="8" t="s">
        <v>1201</v>
      </c>
      <c r="BN75" s="8" t="s">
        <v>969</v>
      </c>
      <c r="BO75" s="8" t="s">
        <v>969</v>
      </c>
      <c r="BP75" s="8" t="s">
        <v>969</v>
      </c>
      <c r="BQ75" s="8" t="s">
        <v>969</v>
      </c>
      <c r="BR75" s="8" t="s">
        <v>3344</v>
      </c>
      <c r="BS75" s="8" t="s">
        <v>1202</v>
      </c>
      <c r="BT75" s="8" t="str">
        <f>HYPERLINK("https%3A%2F%2Fwww.webofscience.com%2Fwos%2Fwoscc%2Ffull-record%2FWOS:000182913800006","View Full Record in Web of Science")</f>
        <v>View Full Record in Web of Science</v>
      </c>
    </row>
    <row r="76" ht="12.75" customHeight="1">
      <c r="A76" s="8" t="s">
        <v>967</v>
      </c>
      <c r="B76" s="8" t="s">
        <v>2675</v>
      </c>
      <c r="C76" s="8" t="s">
        <v>969</v>
      </c>
      <c r="D76" s="8" t="s">
        <v>969</v>
      </c>
      <c r="E76" s="8" t="s">
        <v>969</v>
      </c>
      <c r="F76" s="8" t="s">
        <v>2676</v>
      </c>
      <c r="G76" s="8" t="s">
        <v>969</v>
      </c>
      <c r="H76" s="8" t="s">
        <v>969</v>
      </c>
      <c r="I76" s="8" t="s">
        <v>2677</v>
      </c>
      <c r="J76" s="8" t="s">
        <v>1183</v>
      </c>
      <c r="K76" s="8" t="s">
        <v>969</v>
      </c>
      <c r="L76" s="8" t="s">
        <v>969</v>
      </c>
      <c r="M76" s="8" t="s">
        <v>972</v>
      </c>
      <c r="N76" s="8" t="s">
        <v>973</v>
      </c>
      <c r="O76" s="8" t="s">
        <v>969</v>
      </c>
      <c r="P76" s="8" t="s">
        <v>969</v>
      </c>
      <c r="Q76" s="8" t="s">
        <v>969</v>
      </c>
      <c r="R76" s="8" t="s">
        <v>969</v>
      </c>
      <c r="S76" s="8" t="s">
        <v>969</v>
      </c>
      <c r="T76" s="8" t="s">
        <v>2678</v>
      </c>
      <c r="U76" s="8" t="s">
        <v>2679</v>
      </c>
      <c r="V76" s="8" t="s">
        <v>2680</v>
      </c>
      <c r="W76" s="8" t="s">
        <v>2681</v>
      </c>
      <c r="X76" s="8" t="s">
        <v>2682</v>
      </c>
      <c r="Y76" s="8" t="s">
        <v>2683</v>
      </c>
      <c r="Z76" s="8" t="s">
        <v>2684</v>
      </c>
      <c r="AA76" s="8" t="s">
        <v>2685</v>
      </c>
      <c r="AB76" s="8" t="s">
        <v>2686</v>
      </c>
      <c r="AC76" s="8" t="s">
        <v>2687</v>
      </c>
      <c r="AD76" s="8" t="s">
        <v>2688</v>
      </c>
      <c r="AE76" s="8" t="s">
        <v>2689</v>
      </c>
      <c r="AF76" s="8" t="s">
        <v>969</v>
      </c>
      <c r="AG76" s="8">
        <v>75.0</v>
      </c>
      <c r="AH76" s="8">
        <v>103.0</v>
      </c>
      <c r="AI76" s="8">
        <v>118.0</v>
      </c>
      <c r="AJ76" s="8">
        <v>1.0</v>
      </c>
      <c r="AK76" s="8">
        <v>187.0</v>
      </c>
      <c r="AL76" s="8" t="s">
        <v>1192</v>
      </c>
      <c r="AM76" s="8" t="s">
        <v>1193</v>
      </c>
      <c r="AN76" s="8" t="s">
        <v>1194</v>
      </c>
      <c r="AO76" s="8" t="s">
        <v>1195</v>
      </c>
      <c r="AP76" s="8" t="s">
        <v>1196</v>
      </c>
      <c r="AQ76" s="8" t="s">
        <v>969</v>
      </c>
      <c r="AR76" s="8" t="s">
        <v>1197</v>
      </c>
      <c r="AS76" s="8" t="s">
        <v>1198</v>
      </c>
      <c r="AT76" s="8" t="s">
        <v>1552</v>
      </c>
      <c r="AU76" s="8">
        <v>2013.0</v>
      </c>
      <c r="AV76" s="8">
        <v>160.0</v>
      </c>
      <c r="AW76" s="8" t="s">
        <v>969</v>
      </c>
      <c r="AX76" s="8" t="s">
        <v>969</v>
      </c>
      <c r="AY76" s="8" t="s">
        <v>969</v>
      </c>
      <c r="AZ76" s="8" t="s">
        <v>969</v>
      </c>
      <c r="BA76" s="8" t="s">
        <v>969</v>
      </c>
      <c r="BB76" s="8">
        <v>225.0</v>
      </c>
      <c r="BC76" s="8">
        <v>233.0</v>
      </c>
      <c r="BD76" s="8" t="s">
        <v>969</v>
      </c>
      <c r="BE76" s="8" t="s">
        <v>554</v>
      </c>
      <c r="BF76" s="13" t="str">
        <f>HYPERLINK("http://dx.doi.org/10.1016/j.biocon.2013.02.001","http://dx.doi.org/10.1016/j.biocon.2013.02.001")</f>
        <v>http://dx.doi.org/10.1016/j.biocon.2013.02.001</v>
      </c>
      <c r="BG76" s="8" t="s">
        <v>969</v>
      </c>
      <c r="BH76" s="8" t="s">
        <v>969</v>
      </c>
      <c r="BI76" s="8">
        <v>9.0</v>
      </c>
      <c r="BJ76" s="8" t="s">
        <v>987</v>
      </c>
      <c r="BK76" s="8" t="s">
        <v>988</v>
      </c>
      <c r="BL76" s="8" t="s">
        <v>989</v>
      </c>
      <c r="BM76" s="8" t="s">
        <v>2690</v>
      </c>
      <c r="BN76" s="8" t="s">
        <v>969</v>
      </c>
      <c r="BO76" s="8" t="s">
        <v>969</v>
      </c>
      <c r="BP76" s="8" t="s">
        <v>969</v>
      </c>
      <c r="BQ76" s="8" t="s">
        <v>969</v>
      </c>
      <c r="BR76" s="8" t="s">
        <v>3344</v>
      </c>
      <c r="BS76" s="8" t="s">
        <v>2691</v>
      </c>
      <c r="BT76" s="8" t="str">
        <f>HYPERLINK("https%3A%2F%2Fwww.webofscience.com%2Fwos%2Fwoscc%2Ffull-record%2FWOS:000320684700025","View Full Record in Web of Science")</f>
        <v>View Full Record in Web of Science</v>
      </c>
    </row>
    <row r="77" ht="12.75" customHeight="1">
      <c r="A77" s="8" t="s">
        <v>967</v>
      </c>
      <c r="B77" s="8" t="s">
        <v>1490</v>
      </c>
      <c r="C77" s="8" t="s">
        <v>969</v>
      </c>
      <c r="D77" s="8" t="s">
        <v>969</v>
      </c>
      <c r="E77" s="8" t="s">
        <v>969</v>
      </c>
      <c r="F77" s="8" t="s">
        <v>1490</v>
      </c>
      <c r="G77" s="8" t="s">
        <v>969</v>
      </c>
      <c r="H77" s="8" t="s">
        <v>969</v>
      </c>
      <c r="I77" s="8" t="s">
        <v>1491</v>
      </c>
      <c r="J77" s="8" t="s">
        <v>1427</v>
      </c>
      <c r="K77" s="8" t="s">
        <v>969</v>
      </c>
      <c r="L77" s="8" t="s">
        <v>969</v>
      </c>
      <c r="M77" s="8" t="s">
        <v>972</v>
      </c>
      <c r="N77" s="8" t="s">
        <v>973</v>
      </c>
      <c r="O77" s="8" t="s">
        <v>969</v>
      </c>
      <c r="P77" s="8" t="s">
        <v>969</v>
      </c>
      <c r="Q77" s="8" t="s">
        <v>969</v>
      </c>
      <c r="R77" s="8" t="s">
        <v>969</v>
      </c>
      <c r="S77" s="8" t="s">
        <v>969</v>
      </c>
      <c r="T77" s="8" t="s">
        <v>1492</v>
      </c>
      <c r="U77" s="8" t="s">
        <v>1493</v>
      </c>
      <c r="V77" s="8" t="s">
        <v>1494</v>
      </c>
      <c r="W77" s="8" t="s">
        <v>1495</v>
      </c>
      <c r="X77" s="8" t="s">
        <v>1496</v>
      </c>
      <c r="Y77" s="8" t="s">
        <v>1497</v>
      </c>
      <c r="Z77" s="8" t="s">
        <v>1384</v>
      </c>
      <c r="AA77" s="8" t="s">
        <v>2951</v>
      </c>
      <c r="AB77" s="8" t="s">
        <v>1386</v>
      </c>
      <c r="AC77" s="8" t="s">
        <v>969</v>
      </c>
      <c r="AD77" s="8" t="s">
        <v>969</v>
      </c>
      <c r="AE77" s="8" t="s">
        <v>969</v>
      </c>
      <c r="AF77" s="8" t="s">
        <v>969</v>
      </c>
      <c r="AG77" s="8">
        <v>89.0</v>
      </c>
      <c r="AH77" s="8">
        <v>221.0</v>
      </c>
      <c r="AI77" s="8">
        <v>253.0</v>
      </c>
      <c r="AJ77" s="8">
        <v>3.0</v>
      </c>
      <c r="AK77" s="8">
        <v>120.0</v>
      </c>
      <c r="AL77" s="8" t="s">
        <v>1091</v>
      </c>
      <c r="AM77" s="8" t="s">
        <v>1092</v>
      </c>
      <c r="AN77" s="8" t="s">
        <v>1093</v>
      </c>
      <c r="AO77" s="8" t="s">
        <v>1437</v>
      </c>
      <c r="AP77" s="8" t="s">
        <v>1499</v>
      </c>
      <c r="AQ77" s="8" t="s">
        <v>969</v>
      </c>
      <c r="AR77" s="8" t="s">
        <v>1438</v>
      </c>
      <c r="AS77" s="8" t="s">
        <v>1439</v>
      </c>
      <c r="AT77" s="8" t="s">
        <v>1016</v>
      </c>
      <c r="AU77" s="8">
        <v>2006.0</v>
      </c>
      <c r="AV77" s="8">
        <v>12.0</v>
      </c>
      <c r="AW77" s="8">
        <v>1.0</v>
      </c>
      <c r="AX77" s="8" t="s">
        <v>969</v>
      </c>
      <c r="AY77" s="8" t="s">
        <v>969</v>
      </c>
      <c r="AZ77" s="8" t="s">
        <v>969</v>
      </c>
      <c r="BA77" s="8" t="s">
        <v>969</v>
      </c>
      <c r="BB77" s="8">
        <v>49.0</v>
      </c>
      <c r="BC77" s="8">
        <v>60.0</v>
      </c>
      <c r="BD77" s="8" t="s">
        <v>969</v>
      </c>
      <c r="BE77" s="8" t="s">
        <v>740</v>
      </c>
      <c r="BF77" s="13" t="str">
        <f>HYPERLINK("http://dx.doi.org/10.1111/j.1366-9516.2006.00216.x","http://dx.doi.org/10.1111/j.1366-9516.2006.00216.x")</f>
        <v>http://dx.doi.org/10.1111/j.1366-9516.2006.00216.x</v>
      </c>
      <c r="BG77" s="8" t="s">
        <v>969</v>
      </c>
      <c r="BH77" s="8" t="s">
        <v>969</v>
      </c>
      <c r="BI77" s="8">
        <v>12.0</v>
      </c>
      <c r="BJ77" s="8" t="s">
        <v>1286</v>
      </c>
      <c r="BK77" s="8" t="s">
        <v>988</v>
      </c>
      <c r="BL77" s="8" t="s">
        <v>989</v>
      </c>
      <c r="BM77" s="8" t="s">
        <v>1500</v>
      </c>
      <c r="BN77" s="8" t="s">
        <v>969</v>
      </c>
      <c r="BO77" s="8" t="s">
        <v>1227</v>
      </c>
      <c r="BP77" s="8" t="s">
        <v>969</v>
      </c>
      <c r="BQ77" s="8" t="s">
        <v>969</v>
      </c>
      <c r="BR77" s="8" t="s">
        <v>3344</v>
      </c>
      <c r="BS77" s="8" t="s">
        <v>1501</v>
      </c>
      <c r="BT77" s="8" t="str">
        <f>HYPERLINK("https%3A%2F%2Fwww.webofscience.com%2Fwos%2Fwoscc%2Ffull-record%2FWOS:000234026600006","View Full Record in Web of Science")</f>
        <v>View Full Record in Web of Science</v>
      </c>
    </row>
    <row r="78" ht="12.75" customHeight="1">
      <c r="A78" s="8" t="s">
        <v>967</v>
      </c>
      <c r="B78" s="8" t="s">
        <v>1303</v>
      </c>
      <c r="C78" s="8" t="s">
        <v>969</v>
      </c>
      <c r="D78" s="8" t="s">
        <v>969</v>
      </c>
      <c r="E78" s="8" t="s">
        <v>969</v>
      </c>
      <c r="F78" s="8" t="s">
        <v>1303</v>
      </c>
      <c r="G78" s="8" t="s">
        <v>969</v>
      </c>
      <c r="H78" s="8" t="s">
        <v>969</v>
      </c>
      <c r="I78" s="8" t="s">
        <v>1304</v>
      </c>
      <c r="J78" s="8" t="s">
        <v>1305</v>
      </c>
      <c r="K78" s="8" t="s">
        <v>969</v>
      </c>
      <c r="L78" s="8" t="s">
        <v>969</v>
      </c>
      <c r="M78" s="8" t="s">
        <v>972</v>
      </c>
      <c r="N78" s="8" t="s">
        <v>973</v>
      </c>
      <c r="O78" s="8" t="s">
        <v>969</v>
      </c>
      <c r="P78" s="8" t="s">
        <v>969</v>
      </c>
      <c r="Q78" s="8" t="s">
        <v>969</v>
      </c>
      <c r="R78" s="8" t="s">
        <v>969</v>
      </c>
      <c r="S78" s="8" t="s">
        <v>969</v>
      </c>
      <c r="T78" s="8" t="s">
        <v>969</v>
      </c>
      <c r="U78" s="8" t="s">
        <v>1306</v>
      </c>
      <c r="V78" s="8" t="s">
        <v>1307</v>
      </c>
      <c r="W78" s="8" t="s">
        <v>1308</v>
      </c>
      <c r="X78" s="8" t="s">
        <v>1309</v>
      </c>
      <c r="Y78" s="8" t="s">
        <v>1310</v>
      </c>
      <c r="Z78" s="8" t="s">
        <v>1174</v>
      </c>
      <c r="AA78" s="8" t="s">
        <v>3176</v>
      </c>
      <c r="AB78" s="8" t="s">
        <v>3177</v>
      </c>
      <c r="AC78" s="8" t="s">
        <v>969</v>
      </c>
      <c r="AD78" s="8" t="s">
        <v>969</v>
      </c>
      <c r="AE78" s="8" t="s">
        <v>969</v>
      </c>
      <c r="AF78" s="8" t="s">
        <v>969</v>
      </c>
      <c r="AG78" s="8">
        <v>55.0</v>
      </c>
      <c r="AH78" s="8">
        <v>48.0</v>
      </c>
      <c r="AI78" s="8">
        <v>61.0</v>
      </c>
      <c r="AJ78" s="8">
        <v>1.0</v>
      </c>
      <c r="AK78" s="8">
        <v>29.0</v>
      </c>
      <c r="AL78" s="8" t="s">
        <v>1313</v>
      </c>
      <c r="AM78" s="8" t="s">
        <v>1314</v>
      </c>
      <c r="AN78" s="8" t="s">
        <v>1315</v>
      </c>
      <c r="AO78" s="8" t="s">
        <v>1316</v>
      </c>
      <c r="AP78" s="8" t="s">
        <v>1317</v>
      </c>
      <c r="AQ78" s="8" t="s">
        <v>969</v>
      </c>
      <c r="AR78" s="8" t="s">
        <v>1318</v>
      </c>
      <c r="AS78" s="8" t="s">
        <v>1319</v>
      </c>
      <c r="AT78" s="8" t="s">
        <v>1285</v>
      </c>
      <c r="AU78" s="8">
        <v>2004.0</v>
      </c>
      <c r="AV78" s="8">
        <v>82.0</v>
      </c>
      <c r="AW78" s="8">
        <v>6.0</v>
      </c>
      <c r="AX78" s="8" t="s">
        <v>969</v>
      </c>
      <c r="AY78" s="8" t="s">
        <v>969</v>
      </c>
      <c r="AZ78" s="8" t="s">
        <v>969</v>
      </c>
      <c r="BA78" s="8" t="s">
        <v>969</v>
      </c>
      <c r="BB78" s="8">
        <v>851.0</v>
      </c>
      <c r="BC78" s="8">
        <v>858.0</v>
      </c>
      <c r="BD78" s="8" t="s">
        <v>969</v>
      </c>
      <c r="BE78" s="8" t="s">
        <v>1320</v>
      </c>
      <c r="BF78" s="13" t="str">
        <f>HYPERLINK("http://dx.doi.org/10.1139/Z04-064","http://dx.doi.org/10.1139/Z04-064")</f>
        <v>http://dx.doi.org/10.1139/Z04-064</v>
      </c>
      <c r="BG78" s="8" t="s">
        <v>969</v>
      </c>
      <c r="BH78" s="8" t="s">
        <v>969</v>
      </c>
      <c r="BI78" s="8">
        <v>8.0</v>
      </c>
      <c r="BJ78" s="8" t="s">
        <v>1321</v>
      </c>
      <c r="BK78" s="8" t="s">
        <v>988</v>
      </c>
      <c r="BL78" s="8" t="s">
        <v>1321</v>
      </c>
      <c r="BM78" s="8" t="s">
        <v>1322</v>
      </c>
      <c r="BN78" s="8" t="s">
        <v>969</v>
      </c>
      <c r="BO78" s="8" t="s">
        <v>1227</v>
      </c>
      <c r="BP78" s="8" t="s">
        <v>969</v>
      </c>
      <c r="BQ78" s="8" t="s">
        <v>969</v>
      </c>
      <c r="BR78" s="8" t="s">
        <v>3344</v>
      </c>
      <c r="BS78" s="8" t="s">
        <v>1323</v>
      </c>
      <c r="BT78" s="8" t="str">
        <f>HYPERLINK("https%3A%2F%2Fwww.webofscience.com%2Fwos%2Fwoscc%2Ffull-record%2FWOS:000223983200003","View Full Record in Web of Science")</f>
        <v>View Full Record in Web of Science</v>
      </c>
    </row>
    <row r="79" ht="12.75" customHeight="1">
      <c r="A79" s="8" t="s">
        <v>967</v>
      </c>
      <c r="B79" s="8" t="s">
        <v>2463</v>
      </c>
      <c r="C79" s="8" t="s">
        <v>969</v>
      </c>
      <c r="D79" s="8" t="s">
        <v>969</v>
      </c>
      <c r="E79" s="8" t="s">
        <v>969</v>
      </c>
      <c r="F79" s="8" t="s">
        <v>2464</v>
      </c>
      <c r="G79" s="8" t="s">
        <v>969</v>
      </c>
      <c r="H79" s="8" t="s">
        <v>969</v>
      </c>
      <c r="I79" s="8" t="s">
        <v>2465</v>
      </c>
      <c r="J79" s="8" t="s">
        <v>971</v>
      </c>
      <c r="K79" s="8" t="s">
        <v>969</v>
      </c>
      <c r="L79" s="8" t="s">
        <v>969</v>
      </c>
      <c r="M79" s="8" t="s">
        <v>972</v>
      </c>
      <c r="N79" s="8" t="s">
        <v>973</v>
      </c>
      <c r="O79" s="8" t="s">
        <v>969</v>
      </c>
      <c r="P79" s="8" t="s">
        <v>969</v>
      </c>
      <c r="Q79" s="8" t="s">
        <v>969</v>
      </c>
      <c r="R79" s="8" t="s">
        <v>969</v>
      </c>
      <c r="S79" s="8" t="s">
        <v>969</v>
      </c>
      <c r="T79" s="8" t="s">
        <v>2466</v>
      </c>
      <c r="U79" s="8" t="s">
        <v>2467</v>
      </c>
      <c r="V79" s="8" t="s">
        <v>2468</v>
      </c>
      <c r="W79" s="8" t="s">
        <v>2469</v>
      </c>
      <c r="X79" s="8" t="s">
        <v>2470</v>
      </c>
      <c r="Y79" s="8" t="s">
        <v>2471</v>
      </c>
      <c r="Z79" s="8" t="s">
        <v>2472</v>
      </c>
      <c r="AA79" s="8" t="s">
        <v>3249</v>
      </c>
      <c r="AB79" s="8" t="s">
        <v>3192</v>
      </c>
      <c r="AC79" s="8" t="s">
        <v>969</v>
      </c>
      <c r="AD79" s="8" t="s">
        <v>969</v>
      </c>
      <c r="AE79" s="8" t="s">
        <v>969</v>
      </c>
      <c r="AF79" s="8" t="s">
        <v>969</v>
      </c>
      <c r="AG79" s="8">
        <v>75.0</v>
      </c>
      <c r="AH79" s="8">
        <v>114.0</v>
      </c>
      <c r="AI79" s="8">
        <v>127.0</v>
      </c>
      <c r="AJ79" s="8">
        <v>4.0</v>
      </c>
      <c r="AK79" s="8">
        <v>183.0</v>
      </c>
      <c r="AL79" s="8" t="s">
        <v>1091</v>
      </c>
      <c r="AM79" s="8" t="s">
        <v>1092</v>
      </c>
      <c r="AN79" s="8" t="s">
        <v>1093</v>
      </c>
      <c r="AO79" s="8" t="s">
        <v>983</v>
      </c>
      <c r="AP79" s="8" t="s">
        <v>1094</v>
      </c>
      <c r="AQ79" s="8" t="s">
        <v>969</v>
      </c>
      <c r="AR79" s="8" t="s">
        <v>1095</v>
      </c>
      <c r="AS79" s="8" t="s">
        <v>985</v>
      </c>
      <c r="AT79" s="8" t="s">
        <v>1177</v>
      </c>
      <c r="AU79" s="8">
        <v>2012.0</v>
      </c>
      <c r="AV79" s="8">
        <v>18.0</v>
      </c>
      <c r="AW79" s="8">
        <v>5.0</v>
      </c>
      <c r="AX79" s="8" t="s">
        <v>969</v>
      </c>
      <c r="AY79" s="8" t="s">
        <v>969</v>
      </c>
      <c r="AZ79" s="8" t="s">
        <v>969</v>
      </c>
      <c r="BA79" s="8" t="s">
        <v>969</v>
      </c>
      <c r="BB79" s="8">
        <v>1520.0</v>
      </c>
      <c r="BC79" s="8">
        <v>1530.0</v>
      </c>
      <c r="BD79" s="8" t="s">
        <v>969</v>
      </c>
      <c r="BE79" s="8" t="s">
        <v>728</v>
      </c>
      <c r="BF79" s="13" t="str">
        <f>HYPERLINK("http://dx.doi.org/10.1111/j.1365-2486.2011.02623.x","http://dx.doi.org/10.1111/j.1365-2486.2011.02623.x")</f>
        <v>http://dx.doi.org/10.1111/j.1365-2486.2011.02623.x</v>
      </c>
      <c r="BG79" s="8" t="s">
        <v>969</v>
      </c>
      <c r="BH79" s="8" t="s">
        <v>969</v>
      </c>
      <c r="BI79" s="8">
        <v>11.0</v>
      </c>
      <c r="BJ79" s="8" t="s">
        <v>987</v>
      </c>
      <c r="BK79" s="8" t="s">
        <v>988</v>
      </c>
      <c r="BL79" s="8" t="s">
        <v>989</v>
      </c>
      <c r="BM79" s="8" t="s">
        <v>2475</v>
      </c>
      <c r="BN79" s="8" t="s">
        <v>969</v>
      </c>
      <c r="BO79" s="8" t="s">
        <v>969</v>
      </c>
      <c r="BP79" s="8" t="s">
        <v>969</v>
      </c>
      <c r="BQ79" s="8" t="s">
        <v>969</v>
      </c>
      <c r="BR79" s="8" t="s">
        <v>3344</v>
      </c>
      <c r="BS79" s="8" t="s">
        <v>2476</v>
      </c>
      <c r="BT79" s="8" t="str">
        <f>HYPERLINK("https%3A%2F%2Fwww.webofscience.com%2Fwos%2Fwoscc%2Ffull-record%2FWOS:000302543500005","View Full Record in Web of Science")</f>
        <v>View Full Record in Web of Science</v>
      </c>
    </row>
    <row r="80" ht="12.75" customHeight="1">
      <c r="A80" s="8" t="s">
        <v>967</v>
      </c>
      <c r="B80" s="8" t="s">
        <v>2377</v>
      </c>
      <c r="C80" s="8" t="s">
        <v>969</v>
      </c>
      <c r="D80" s="8" t="s">
        <v>969</v>
      </c>
      <c r="E80" s="8" t="s">
        <v>969</v>
      </c>
      <c r="F80" s="8" t="s">
        <v>2378</v>
      </c>
      <c r="G80" s="8" t="s">
        <v>969</v>
      </c>
      <c r="H80" s="8" t="s">
        <v>969</v>
      </c>
      <c r="I80" s="8" t="s">
        <v>2379</v>
      </c>
      <c r="J80" s="8" t="s">
        <v>2380</v>
      </c>
      <c r="K80" s="8" t="s">
        <v>969</v>
      </c>
      <c r="L80" s="8" t="s">
        <v>969</v>
      </c>
      <c r="M80" s="8" t="s">
        <v>972</v>
      </c>
      <c r="N80" s="8" t="s">
        <v>973</v>
      </c>
      <c r="O80" s="8" t="s">
        <v>969</v>
      </c>
      <c r="P80" s="8" t="s">
        <v>969</v>
      </c>
      <c r="Q80" s="8" t="s">
        <v>969</v>
      </c>
      <c r="R80" s="8" t="s">
        <v>969</v>
      </c>
      <c r="S80" s="8" t="s">
        <v>969</v>
      </c>
      <c r="T80" s="8" t="s">
        <v>2381</v>
      </c>
      <c r="U80" s="8" t="s">
        <v>2382</v>
      </c>
      <c r="V80" s="8" t="s">
        <v>2383</v>
      </c>
      <c r="W80" s="8" t="s">
        <v>2384</v>
      </c>
      <c r="X80" s="8" t="s">
        <v>2385</v>
      </c>
      <c r="Y80" s="8" t="s">
        <v>2386</v>
      </c>
      <c r="Z80" s="8" t="s">
        <v>2387</v>
      </c>
      <c r="AA80" s="8" t="s">
        <v>2388</v>
      </c>
      <c r="AB80" s="8" t="s">
        <v>2389</v>
      </c>
      <c r="AC80" s="8" t="s">
        <v>2390</v>
      </c>
      <c r="AD80" s="8" t="s">
        <v>2391</v>
      </c>
      <c r="AE80" s="8" t="s">
        <v>2392</v>
      </c>
      <c r="AF80" s="8" t="s">
        <v>969</v>
      </c>
      <c r="AG80" s="8">
        <v>47.0</v>
      </c>
      <c r="AH80" s="8">
        <v>120.0</v>
      </c>
      <c r="AI80" s="8">
        <v>136.0</v>
      </c>
      <c r="AJ80" s="8">
        <v>2.0</v>
      </c>
      <c r="AK80" s="8">
        <v>151.0</v>
      </c>
      <c r="AL80" s="8" t="s">
        <v>1091</v>
      </c>
      <c r="AM80" s="8" t="s">
        <v>1092</v>
      </c>
      <c r="AN80" s="8" t="s">
        <v>1093</v>
      </c>
      <c r="AO80" s="8" t="s">
        <v>2393</v>
      </c>
      <c r="AP80" s="8" t="s">
        <v>2394</v>
      </c>
      <c r="AQ80" s="8" t="s">
        <v>969</v>
      </c>
      <c r="AR80" s="8" t="s">
        <v>2395</v>
      </c>
      <c r="AS80" s="8" t="s">
        <v>2396</v>
      </c>
      <c r="AT80" s="8" t="s">
        <v>1163</v>
      </c>
      <c r="AU80" s="8">
        <v>2011.0</v>
      </c>
      <c r="AV80" s="8">
        <v>14.0</v>
      </c>
      <c r="AW80" s="8">
        <v>11.0</v>
      </c>
      <c r="AX80" s="8" t="s">
        <v>969</v>
      </c>
      <c r="AY80" s="8" t="s">
        <v>969</v>
      </c>
      <c r="AZ80" s="8" t="s">
        <v>969</v>
      </c>
      <c r="BA80" s="8" t="s">
        <v>969</v>
      </c>
      <c r="BB80" s="8">
        <v>1125.0</v>
      </c>
      <c r="BC80" s="8">
        <v>1133.0</v>
      </c>
      <c r="BD80" s="8" t="s">
        <v>969</v>
      </c>
      <c r="BE80" s="8" t="s">
        <v>749</v>
      </c>
      <c r="BF80" s="13" t="str">
        <f>HYPERLINK("http://dx.doi.org/10.1111/j.1461-0248.2011.01681.x","http://dx.doi.org/10.1111/j.1461-0248.2011.01681.x")</f>
        <v>http://dx.doi.org/10.1111/j.1461-0248.2011.01681.x</v>
      </c>
      <c r="BG80" s="8" t="s">
        <v>969</v>
      </c>
      <c r="BH80" s="8" t="s">
        <v>969</v>
      </c>
      <c r="BI80" s="8">
        <v>9.0</v>
      </c>
      <c r="BJ80" s="8" t="s">
        <v>1267</v>
      </c>
      <c r="BK80" s="8" t="s">
        <v>988</v>
      </c>
      <c r="BL80" s="8" t="s">
        <v>1268</v>
      </c>
      <c r="BM80" s="8" t="s">
        <v>2397</v>
      </c>
      <c r="BN80" s="8">
        <v>2.1955643E7</v>
      </c>
      <c r="BO80" s="8" t="s">
        <v>969</v>
      </c>
      <c r="BP80" s="8" t="s">
        <v>969</v>
      </c>
      <c r="BQ80" s="8" t="s">
        <v>969</v>
      </c>
      <c r="BR80" s="8" t="s">
        <v>3344</v>
      </c>
      <c r="BS80" s="8" t="s">
        <v>2398</v>
      </c>
      <c r="BT80" s="8" t="str">
        <f>HYPERLINK("https%3A%2F%2Fwww.webofscience.com%2Fwos%2Fwoscc%2Ffull-record%2FWOS:000296263200007","View Full Record in Web of Science")</f>
        <v>View Full Record in Web of Science</v>
      </c>
    </row>
    <row r="81" ht="12.75" customHeight="1">
      <c r="A81" s="8" t="s">
        <v>967</v>
      </c>
      <c r="B81" s="8" t="s">
        <v>1587</v>
      </c>
      <c r="C81" s="8" t="s">
        <v>969</v>
      </c>
      <c r="D81" s="8" t="s">
        <v>969</v>
      </c>
      <c r="E81" s="8" t="s">
        <v>969</v>
      </c>
      <c r="F81" s="8" t="s">
        <v>1588</v>
      </c>
      <c r="G81" s="8" t="s">
        <v>969</v>
      </c>
      <c r="H81" s="8" t="s">
        <v>969</v>
      </c>
      <c r="I81" s="8" t="s">
        <v>1589</v>
      </c>
      <c r="J81" s="8" t="s">
        <v>971</v>
      </c>
      <c r="K81" s="8" t="s">
        <v>969</v>
      </c>
      <c r="L81" s="8" t="s">
        <v>969</v>
      </c>
      <c r="M81" s="8" t="s">
        <v>972</v>
      </c>
      <c r="N81" s="8" t="s">
        <v>973</v>
      </c>
      <c r="O81" s="8" t="s">
        <v>969</v>
      </c>
      <c r="P81" s="8" t="s">
        <v>969</v>
      </c>
      <c r="Q81" s="8" t="s">
        <v>969</v>
      </c>
      <c r="R81" s="8" t="s">
        <v>969</v>
      </c>
      <c r="S81" s="8" t="s">
        <v>969</v>
      </c>
      <c r="T81" s="8" t="s">
        <v>1590</v>
      </c>
      <c r="U81" s="8" t="s">
        <v>1591</v>
      </c>
      <c r="V81" s="8" t="s">
        <v>1592</v>
      </c>
      <c r="W81" s="8" t="s">
        <v>1593</v>
      </c>
      <c r="X81" s="8" t="s">
        <v>1594</v>
      </c>
      <c r="Y81" s="8" t="s">
        <v>1595</v>
      </c>
      <c r="Z81" s="8" t="s">
        <v>1596</v>
      </c>
      <c r="AA81" s="8" t="s">
        <v>1597</v>
      </c>
      <c r="AB81" s="8" t="s">
        <v>969</v>
      </c>
      <c r="AC81" s="8" t="s">
        <v>969</v>
      </c>
      <c r="AD81" s="8" t="s">
        <v>969</v>
      </c>
      <c r="AE81" s="8" t="s">
        <v>969</v>
      </c>
      <c r="AF81" s="8" t="s">
        <v>969</v>
      </c>
      <c r="AG81" s="8">
        <v>65.0</v>
      </c>
      <c r="AH81" s="8">
        <v>296.0</v>
      </c>
      <c r="AI81" s="8">
        <v>354.0</v>
      </c>
      <c r="AJ81" s="8">
        <v>1.0</v>
      </c>
      <c r="AK81" s="8">
        <v>106.0</v>
      </c>
      <c r="AL81" s="8" t="s">
        <v>1091</v>
      </c>
      <c r="AM81" s="8" t="s">
        <v>1092</v>
      </c>
      <c r="AN81" s="8" t="s">
        <v>1093</v>
      </c>
      <c r="AO81" s="8" t="s">
        <v>983</v>
      </c>
      <c r="AP81" s="8" t="s">
        <v>1094</v>
      </c>
      <c r="AQ81" s="8" t="s">
        <v>969</v>
      </c>
      <c r="AR81" s="8" t="s">
        <v>1095</v>
      </c>
      <c r="AS81" s="8" t="s">
        <v>985</v>
      </c>
      <c r="AT81" s="8" t="s">
        <v>1211</v>
      </c>
      <c r="AU81" s="8">
        <v>2006.0</v>
      </c>
      <c r="AV81" s="8">
        <v>12.0</v>
      </c>
      <c r="AW81" s="8">
        <v>8.0</v>
      </c>
      <c r="AX81" s="8" t="s">
        <v>969</v>
      </c>
      <c r="AY81" s="8" t="s">
        <v>969</v>
      </c>
      <c r="AZ81" s="8" t="s">
        <v>969</v>
      </c>
      <c r="BA81" s="8" t="s">
        <v>969</v>
      </c>
      <c r="BB81" s="8">
        <v>1568.0</v>
      </c>
      <c r="BC81" s="8">
        <v>1584.0</v>
      </c>
      <c r="BD81" s="8" t="s">
        <v>969</v>
      </c>
      <c r="BE81" s="8" t="s">
        <v>692</v>
      </c>
      <c r="BF81" s="13" t="str">
        <f>HYPERLINK("http://dx.doi.org/10.1111/j.1365-2486.2006.01191.x","http://dx.doi.org/10.1111/j.1365-2486.2006.01191.x")</f>
        <v>http://dx.doi.org/10.1111/j.1365-2486.2006.01191.x</v>
      </c>
      <c r="BG81" s="8" t="s">
        <v>969</v>
      </c>
      <c r="BH81" s="8" t="s">
        <v>969</v>
      </c>
      <c r="BI81" s="8">
        <v>17.0</v>
      </c>
      <c r="BJ81" s="8" t="s">
        <v>987</v>
      </c>
      <c r="BK81" s="8" t="s">
        <v>988</v>
      </c>
      <c r="BL81" s="8" t="s">
        <v>989</v>
      </c>
      <c r="BM81" s="8" t="s">
        <v>1598</v>
      </c>
      <c r="BN81" s="8" t="s">
        <v>969</v>
      </c>
      <c r="BO81" s="8" t="s">
        <v>969</v>
      </c>
      <c r="BP81" s="8" t="s">
        <v>969</v>
      </c>
      <c r="BQ81" s="8" t="s">
        <v>969</v>
      </c>
      <c r="BR81" s="8" t="s">
        <v>3344</v>
      </c>
      <c r="BS81" s="8" t="s">
        <v>1599</v>
      </c>
      <c r="BT81" s="8" t="str">
        <f>HYPERLINK("https%3A%2F%2Fwww.webofscience.com%2Fwos%2Fwoscc%2Ffull-record%2FWOS:000239004700018","View Full Record in Web of Science")</f>
        <v>View Full Record in Web of Science</v>
      </c>
    </row>
    <row r="82" ht="12.75" customHeight="1">
      <c r="A82" s="8" t="s">
        <v>967</v>
      </c>
      <c r="B82" s="8" t="s">
        <v>1397</v>
      </c>
      <c r="C82" s="8" t="s">
        <v>969</v>
      </c>
      <c r="D82" s="8" t="s">
        <v>969</v>
      </c>
      <c r="E82" s="8" t="s">
        <v>969</v>
      </c>
      <c r="F82" s="8" t="s">
        <v>1397</v>
      </c>
      <c r="G82" s="8" t="s">
        <v>969</v>
      </c>
      <c r="H82" s="8" t="s">
        <v>969</v>
      </c>
      <c r="I82" s="8" t="s">
        <v>1398</v>
      </c>
      <c r="J82" s="8" t="s">
        <v>1183</v>
      </c>
      <c r="K82" s="8" t="s">
        <v>969</v>
      </c>
      <c r="L82" s="8" t="s">
        <v>969</v>
      </c>
      <c r="M82" s="8" t="s">
        <v>972</v>
      </c>
      <c r="N82" s="8" t="s">
        <v>973</v>
      </c>
      <c r="O82" s="8" t="s">
        <v>969</v>
      </c>
      <c r="P82" s="8" t="s">
        <v>969</v>
      </c>
      <c r="Q82" s="8" t="s">
        <v>969</v>
      </c>
      <c r="R82" s="8" t="s">
        <v>969</v>
      </c>
      <c r="S82" s="8" t="s">
        <v>969</v>
      </c>
      <c r="T82" s="8" t="s">
        <v>1399</v>
      </c>
      <c r="U82" s="8" t="s">
        <v>1400</v>
      </c>
      <c r="V82" s="8" t="s">
        <v>1401</v>
      </c>
      <c r="W82" s="8" t="s">
        <v>1402</v>
      </c>
      <c r="X82" s="8" t="s">
        <v>1403</v>
      </c>
      <c r="Y82" s="8" t="s">
        <v>1404</v>
      </c>
      <c r="Z82" s="8" t="s">
        <v>1405</v>
      </c>
      <c r="AA82" s="8" t="s">
        <v>3261</v>
      </c>
      <c r="AB82" s="8" t="s">
        <v>3024</v>
      </c>
      <c r="AC82" s="8" t="s">
        <v>969</v>
      </c>
      <c r="AD82" s="8" t="s">
        <v>969</v>
      </c>
      <c r="AE82" s="8" t="s">
        <v>969</v>
      </c>
      <c r="AF82" s="8" t="s">
        <v>969</v>
      </c>
      <c r="AG82" s="8">
        <v>43.0</v>
      </c>
      <c r="AH82" s="8">
        <v>86.0</v>
      </c>
      <c r="AI82" s="8">
        <v>97.0</v>
      </c>
      <c r="AJ82" s="8">
        <v>2.0</v>
      </c>
      <c r="AK82" s="8">
        <v>71.0</v>
      </c>
      <c r="AL82" s="8" t="s">
        <v>1192</v>
      </c>
      <c r="AM82" s="8" t="s">
        <v>981</v>
      </c>
      <c r="AN82" s="8" t="s">
        <v>1408</v>
      </c>
      <c r="AO82" s="8" t="s">
        <v>1195</v>
      </c>
      <c r="AP82" s="8" t="s">
        <v>969</v>
      </c>
      <c r="AQ82" s="8" t="s">
        <v>969</v>
      </c>
      <c r="AR82" s="8" t="s">
        <v>1197</v>
      </c>
      <c r="AS82" s="8" t="s">
        <v>1198</v>
      </c>
      <c r="AT82" s="8" t="s">
        <v>1112</v>
      </c>
      <c r="AU82" s="8">
        <v>2005.0</v>
      </c>
      <c r="AV82" s="8">
        <v>125.0</v>
      </c>
      <c r="AW82" s="8">
        <v>3.0</v>
      </c>
      <c r="AX82" s="8" t="s">
        <v>969</v>
      </c>
      <c r="AY82" s="8" t="s">
        <v>969</v>
      </c>
      <c r="AZ82" s="8" t="s">
        <v>969</v>
      </c>
      <c r="BA82" s="8" t="s">
        <v>969</v>
      </c>
      <c r="BB82" s="8">
        <v>335.0</v>
      </c>
      <c r="BC82" s="8">
        <v>343.0</v>
      </c>
      <c r="BD82" s="8" t="s">
        <v>969</v>
      </c>
      <c r="BE82" s="8" t="s">
        <v>548</v>
      </c>
      <c r="BF82" s="13" t="str">
        <f>HYPERLINK("http://dx.doi.org/10.1016/j.biocon.2005.04.003","http://dx.doi.org/10.1016/j.biocon.2005.04.003")</f>
        <v>http://dx.doi.org/10.1016/j.biocon.2005.04.003</v>
      </c>
      <c r="BG82" s="8" t="s">
        <v>969</v>
      </c>
      <c r="BH82" s="8" t="s">
        <v>969</v>
      </c>
      <c r="BI82" s="8">
        <v>9.0</v>
      </c>
      <c r="BJ82" s="8" t="s">
        <v>987</v>
      </c>
      <c r="BK82" s="8" t="s">
        <v>988</v>
      </c>
      <c r="BL82" s="8" t="s">
        <v>989</v>
      </c>
      <c r="BM82" s="8" t="s">
        <v>1409</v>
      </c>
      <c r="BN82" s="8" t="s">
        <v>969</v>
      </c>
      <c r="BO82" s="8" t="s">
        <v>969</v>
      </c>
      <c r="BP82" s="8" t="s">
        <v>969</v>
      </c>
      <c r="BQ82" s="8" t="s">
        <v>969</v>
      </c>
      <c r="BR82" s="8" t="s">
        <v>3344</v>
      </c>
      <c r="BS82" s="8" t="s">
        <v>1410</v>
      </c>
      <c r="BT82" s="8" t="str">
        <f>HYPERLINK("https%3A%2F%2Fwww.webofscience.com%2Fwos%2Fwoscc%2Ffull-record%2FWOS:000230357900006","View Full Record in Web of Science")</f>
        <v>View Full Record in Web of Science</v>
      </c>
    </row>
    <row r="83" ht="12.75" customHeight="1">
      <c r="A83" s="8" t="s">
        <v>967</v>
      </c>
      <c r="B83" s="8" t="s">
        <v>2715</v>
      </c>
      <c r="C83" s="8" t="s">
        <v>969</v>
      </c>
      <c r="D83" s="8" t="s">
        <v>969</v>
      </c>
      <c r="E83" s="8" t="s">
        <v>969</v>
      </c>
      <c r="F83" s="8" t="s">
        <v>2716</v>
      </c>
      <c r="G83" s="8" t="s">
        <v>969</v>
      </c>
      <c r="H83" s="8" t="s">
        <v>969</v>
      </c>
      <c r="I83" s="8" t="s">
        <v>2717</v>
      </c>
      <c r="J83" s="8" t="s">
        <v>2718</v>
      </c>
      <c r="K83" s="8" t="s">
        <v>969</v>
      </c>
      <c r="L83" s="8" t="s">
        <v>969</v>
      </c>
      <c r="M83" s="8" t="s">
        <v>972</v>
      </c>
      <c r="N83" s="8" t="s">
        <v>973</v>
      </c>
      <c r="O83" s="8" t="s">
        <v>969</v>
      </c>
      <c r="P83" s="8" t="s">
        <v>969</v>
      </c>
      <c r="Q83" s="8" t="s">
        <v>969</v>
      </c>
      <c r="R83" s="8" t="s">
        <v>969</v>
      </c>
      <c r="S83" s="8" t="s">
        <v>969</v>
      </c>
      <c r="T83" s="8" t="s">
        <v>2719</v>
      </c>
      <c r="U83" s="8" t="s">
        <v>2720</v>
      </c>
      <c r="V83" s="8" t="s">
        <v>2721</v>
      </c>
      <c r="W83" s="8" t="s">
        <v>2722</v>
      </c>
      <c r="X83" s="8" t="s">
        <v>2723</v>
      </c>
      <c r="Y83" s="8" t="s">
        <v>2724</v>
      </c>
      <c r="Z83" s="8" t="s">
        <v>2725</v>
      </c>
      <c r="AA83" s="8" t="s">
        <v>3393</v>
      </c>
      <c r="AB83" s="8" t="s">
        <v>3394</v>
      </c>
      <c r="AC83" s="8" t="s">
        <v>2728</v>
      </c>
      <c r="AD83" s="8" t="s">
        <v>2729</v>
      </c>
      <c r="AE83" s="8" t="s">
        <v>2730</v>
      </c>
      <c r="AF83" s="8" t="s">
        <v>969</v>
      </c>
      <c r="AG83" s="8">
        <v>60.0</v>
      </c>
      <c r="AH83" s="8">
        <v>35.0</v>
      </c>
      <c r="AI83" s="8">
        <v>39.0</v>
      </c>
      <c r="AJ83" s="8">
        <v>1.0</v>
      </c>
      <c r="AK83" s="8">
        <v>69.0</v>
      </c>
      <c r="AL83" s="8" t="s">
        <v>1609</v>
      </c>
      <c r="AM83" s="8" t="s">
        <v>2731</v>
      </c>
      <c r="AN83" s="8" t="s">
        <v>2732</v>
      </c>
      <c r="AO83" s="8" t="s">
        <v>2733</v>
      </c>
      <c r="AP83" s="8" t="s">
        <v>969</v>
      </c>
      <c r="AQ83" s="8" t="s">
        <v>969</v>
      </c>
      <c r="AR83" s="8" t="s">
        <v>2718</v>
      </c>
      <c r="AS83" s="8" t="s">
        <v>2734</v>
      </c>
      <c r="AT83" s="8" t="s">
        <v>1300</v>
      </c>
      <c r="AU83" s="8">
        <v>2013.0</v>
      </c>
      <c r="AV83" s="8">
        <v>100.0</v>
      </c>
      <c r="AW83" s="8">
        <v>9.0</v>
      </c>
      <c r="AX83" s="8" t="s">
        <v>969</v>
      </c>
      <c r="AY83" s="8" t="s">
        <v>969</v>
      </c>
      <c r="AZ83" s="8" t="s">
        <v>969</v>
      </c>
      <c r="BA83" s="8" t="s">
        <v>969</v>
      </c>
      <c r="BB83" s="8">
        <v>877.0</v>
      </c>
      <c r="BC83" s="8">
        <v>889.0</v>
      </c>
      <c r="BD83" s="8" t="s">
        <v>969</v>
      </c>
      <c r="BE83" s="8" t="s">
        <v>512</v>
      </c>
      <c r="BF83" s="13" t="str">
        <f>HYPERLINK("http://dx.doi.org/10.1007/s00114-013-1088-4","http://dx.doi.org/10.1007/s00114-013-1088-4")</f>
        <v>http://dx.doi.org/10.1007/s00114-013-1088-4</v>
      </c>
      <c r="BG83" s="8" t="s">
        <v>969</v>
      </c>
      <c r="BH83" s="8" t="s">
        <v>969</v>
      </c>
      <c r="BI83" s="8">
        <v>13.0</v>
      </c>
      <c r="BJ83" s="8" t="s">
        <v>1076</v>
      </c>
      <c r="BK83" s="8" t="s">
        <v>988</v>
      </c>
      <c r="BL83" s="8" t="s">
        <v>1077</v>
      </c>
      <c r="BM83" s="8" t="s">
        <v>2735</v>
      </c>
      <c r="BN83" s="8">
        <v>2.394255E7</v>
      </c>
      <c r="BO83" s="8" t="s">
        <v>969</v>
      </c>
      <c r="BP83" s="8" t="s">
        <v>969</v>
      </c>
      <c r="BQ83" s="8" t="s">
        <v>969</v>
      </c>
      <c r="BR83" s="8" t="s">
        <v>3344</v>
      </c>
      <c r="BS83" s="8" t="s">
        <v>2736</v>
      </c>
      <c r="BT83" s="8" t="str">
        <f>HYPERLINK("https%3A%2F%2Fwww.webofscience.com%2Fwos%2Fwoscc%2Ffull-record%2FWOS:000323670800008","View Full Record in Web of Science")</f>
        <v>View Full Record in Web of Science</v>
      </c>
    </row>
    <row r="84" ht="12.75" customHeight="1">
      <c r="A84" s="8" t="s">
        <v>967</v>
      </c>
      <c r="B84" s="8" t="s">
        <v>2554</v>
      </c>
      <c r="C84" s="8" t="s">
        <v>969</v>
      </c>
      <c r="D84" s="8" t="s">
        <v>969</v>
      </c>
      <c r="E84" s="8" t="s">
        <v>969</v>
      </c>
      <c r="F84" s="8" t="s">
        <v>2555</v>
      </c>
      <c r="G84" s="8" t="s">
        <v>969</v>
      </c>
      <c r="H84" s="8" t="s">
        <v>969</v>
      </c>
      <c r="I84" s="8" t="s">
        <v>2556</v>
      </c>
      <c r="J84" s="8" t="s">
        <v>1974</v>
      </c>
      <c r="K84" s="8" t="s">
        <v>969</v>
      </c>
      <c r="L84" s="8" t="s">
        <v>969</v>
      </c>
      <c r="M84" s="8" t="s">
        <v>972</v>
      </c>
      <c r="N84" s="8" t="s">
        <v>973</v>
      </c>
      <c r="O84" s="8" t="s">
        <v>969</v>
      </c>
      <c r="P84" s="8" t="s">
        <v>969</v>
      </c>
      <c r="Q84" s="8" t="s">
        <v>969</v>
      </c>
      <c r="R84" s="8" t="s">
        <v>969</v>
      </c>
      <c r="S84" s="8" t="s">
        <v>969</v>
      </c>
      <c r="T84" s="8" t="s">
        <v>969</v>
      </c>
      <c r="U84" s="8" t="s">
        <v>2557</v>
      </c>
      <c r="V84" s="8" t="s">
        <v>2558</v>
      </c>
      <c r="W84" s="8" t="s">
        <v>2559</v>
      </c>
      <c r="X84" s="8" t="s">
        <v>2560</v>
      </c>
      <c r="Y84" s="8" t="s">
        <v>2561</v>
      </c>
      <c r="Z84" s="8" t="s">
        <v>2562</v>
      </c>
      <c r="AA84" s="8" t="s">
        <v>3395</v>
      </c>
      <c r="AB84" s="8" t="s">
        <v>3396</v>
      </c>
      <c r="AC84" s="8" t="s">
        <v>2919</v>
      </c>
      <c r="AD84" s="8" t="s">
        <v>2920</v>
      </c>
      <c r="AE84" s="8" t="s">
        <v>2567</v>
      </c>
      <c r="AF84" s="8" t="s">
        <v>969</v>
      </c>
      <c r="AG84" s="8">
        <v>78.0</v>
      </c>
      <c r="AH84" s="8">
        <v>117.0</v>
      </c>
      <c r="AI84" s="8">
        <v>124.0</v>
      </c>
      <c r="AJ84" s="8">
        <v>3.0</v>
      </c>
      <c r="AK84" s="8">
        <v>262.0</v>
      </c>
      <c r="AL84" s="8" t="s">
        <v>1985</v>
      </c>
      <c r="AM84" s="8" t="s">
        <v>1986</v>
      </c>
      <c r="AN84" s="8" t="s">
        <v>1987</v>
      </c>
      <c r="AO84" s="8" t="s">
        <v>1988</v>
      </c>
      <c r="AP84" s="8" t="s">
        <v>969</v>
      </c>
      <c r="AQ84" s="8" t="s">
        <v>969</v>
      </c>
      <c r="AR84" s="8" t="s">
        <v>1974</v>
      </c>
      <c r="AS84" s="8" t="s">
        <v>1989</v>
      </c>
      <c r="AT84" s="8" t="s">
        <v>2568</v>
      </c>
      <c r="AU84" s="8">
        <v>2013.0</v>
      </c>
      <c r="AV84" s="8">
        <v>8.0</v>
      </c>
      <c r="AW84" s="8">
        <v>1.0</v>
      </c>
      <c r="AX84" s="8" t="s">
        <v>969</v>
      </c>
      <c r="AY84" s="8" t="s">
        <v>969</v>
      </c>
      <c r="AZ84" s="8" t="s">
        <v>969</v>
      </c>
      <c r="BA84" s="8" t="s">
        <v>969</v>
      </c>
      <c r="BB84" s="8" t="s">
        <v>969</v>
      </c>
      <c r="BC84" s="8" t="s">
        <v>969</v>
      </c>
      <c r="BD84" s="8" t="s">
        <v>2569</v>
      </c>
      <c r="BE84" s="8" t="s">
        <v>821</v>
      </c>
      <c r="BF84" s="13" t="str">
        <f>HYPERLINK("http://dx.doi.org/10.1371/journal.pone.0054216","http://dx.doi.org/10.1371/journal.pone.0054216")</f>
        <v>http://dx.doi.org/10.1371/journal.pone.0054216</v>
      </c>
      <c r="BG84" s="8" t="s">
        <v>969</v>
      </c>
      <c r="BH84" s="8" t="s">
        <v>969</v>
      </c>
      <c r="BI84" s="8">
        <v>13.0</v>
      </c>
      <c r="BJ84" s="8" t="s">
        <v>1076</v>
      </c>
      <c r="BK84" s="8" t="s">
        <v>988</v>
      </c>
      <c r="BL84" s="8" t="s">
        <v>1077</v>
      </c>
      <c r="BM84" s="8" t="s">
        <v>2570</v>
      </c>
      <c r="BN84" s="8">
        <v>2.3349829E7</v>
      </c>
      <c r="BO84" s="8" t="s">
        <v>1140</v>
      </c>
      <c r="BP84" s="8" t="s">
        <v>969</v>
      </c>
      <c r="BQ84" s="8" t="s">
        <v>969</v>
      </c>
      <c r="BR84" s="8" t="s">
        <v>3344</v>
      </c>
      <c r="BS84" s="8" t="s">
        <v>2571</v>
      </c>
      <c r="BT84" s="8" t="str">
        <f>HYPERLINK("https%3A%2F%2Fwww.webofscience.com%2Fwos%2Fwoscc%2Ffull-record%2FWOS:000314019100051","View Full Record in Web of Science")</f>
        <v>View Full Record in Web of Science</v>
      </c>
    </row>
    <row r="85" ht="12.75" customHeight="1">
      <c r="A85" s="8" t="s">
        <v>967</v>
      </c>
      <c r="B85" s="8" t="s">
        <v>1729</v>
      </c>
      <c r="C85" s="8" t="s">
        <v>969</v>
      </c>
      <c r="D85" s="8" t="s">
        <v>969</v>
      </c>
      <c r="E85" s="8" t="s">
        <v>969</v>
      </c>
      <c r="F85" s="8" t="s">
        <v>1730</v>
      </c>
      <c r="G85" s="8" t="s">
        <v>969</v>
      </c>
      <c r="H85" s="8" t="s">
        <v>969</v>
      </c>
      <c r="I85" s="8" t="s">
        <v>1731</v>
      </c>
      <c r="J85" s="8" t="s">
        <v>1538</v>
      </c>
      <c r="K85" s="8" t="s">
        <v>969</v>
      </c>
      <c r="L85" s="8" t="s">
        <v>969</v>
      </c>
      <c r="M85" s="8" t="s">
        <v>972</v>
      </c>
      <c r="N85" s="8" t="s">
        <v>973</v>
      </c>
      <c r="O85" s="8" t="s">
        <v>969</v>
      </c>
      <c r="P85" s="8" t="s">
        <v>969</v>
      </c>
      <c r="Q85" s="8" t="s">
        <v>969</v>
      </c>
      <c r="R85" s="8" t="s">
        <v>969</v>
      </c>
      <c r="S85" s="8" t="s">
        <v>969</v>
      </c>
      <c r="T85" s="8" t="s">
        <v>1732</v>
      </c>
      <c r="U85" s="8" t="s">
        <v>1733</v>
      </c>
      <c r="V85" s="8" t="s">
        <v>1734</v>
      </c>
      <c r="W85" s="8" t="s">
        <v>1735</v>
      </c>
      <c r="X85" s="8" t="s">
        <v>1736</v>
      </c>
      <c r="Y85" s="8" t="s">
        <v>1737</v>
      </c>
      <c r="Z85" s="8" t="s">
        <v>1738</v>
      </c>
      <c r="AA85" s="8" t="s">
        <v>1739</v>
      </c>
      <c r="AB85" s="8" t="s">
        <v>969</v>
      </c>
      <c r="AC85" s="8" t="s">
        <v>969</v>
      </c>
      <c r="AD85" s="8" t="s">
        <v>969</v>
      </c>
      <c r="AE85" s="8" t="s">
        <v>969</v>
      </c>
      <c r="AF85" s="8" t="s">
        <v>969</v>
      </c>
      <c r="AG85" s="8">
        <v>51.0</v>
      </c>
      <c r="AH85" s="8">
        <v>115.0</v>
      </c>
      <c r="AI85" s="8">
        <v>142.0</v>
      </c>
      <c r="AJ85" s="8">
        <v>1.0</v>
      </c>
      <c r="AK85" s="8">
        <v>48.0</v>
      </c>
      <c r="AL85" s="8" t="s">
        <v>1091</v>
      </c>
      <c r="AM85" s="8" t="s">
        <v>1092</v>
      </c>
      <c r="AN85" s="8" t="s">
        <v>1093</v>
      </c>
      <c r="AO85" s="8" t="s">
        <v>1548</v>
      </c>
      <c r="AP85" s="8" t="s">
        <v>1549</v>
      </c>
      <c r="AQ85" s="8" t="s">
        <v>969</v>
      </c>
      <c r="AR85" s="8" t="s">
        <v>1550</v>
      </c>
      <c r="AS85" s="8" t="s">
        <v>1551</v>
      </c>
      <c r="AT85" s="8" t="s">
        <v>986</v>
      </c>
      <c r="AU85" s="8">
        <v>2007.0</v>
      </c>
      <c r="AV85" s="8">
        <v>21.0</v>
      </c>
      <c r="AW85" s="8">
        <v>6.0</v>
      </c>
      <c r="AX85" s="8" t="s">
        <v>969</v>
      </c>
      <c r="AY85" s="8" t="s">
        <v>969</v>
      </c>
      <c r="AZ85" s="8" t="s">
        <v>969</v>
      </c>
      <c r="BA85" s="8" t="s">
        <v>969</v>
      </c>
      <c r="BB85" s="8">
        <v>1545.0</v>
      </c>
      <c r="BC85" s="8">
        <v>1555.0</v>
      </c>
      <c r="BD85" s="8" t="s">
        <v>969</v>
      </c>
      <c r="BE85" s="8" t="s">
        <v>776</v>
      </c>
      <c r="BF85" s="13" t="str">
        <f>HYPERLINK("http://dx.doi.org/10.1111/j.1523-1739.2007.00814.x","http://dx.doi.org/10.1111/j.1523-1739.2007.00814.x")</f>
        <v>http://dx.doi.org/10.1111/j.1523-1739.2007.00814.x</v>
      </c>
      <c r="BG85" s="8" t="s">
        <v>969</v>
      </c>
      <c r="BH85" s="8" t="s">
        <v>969</v>
      </c>
      <c r="BI85" s="8">
        <v>11.0</v>
      </c>
      <c r="BJ85" s="8" t="s">
        <v>987</v>
      </c>
      <c r="BK85" s="8" t="s">
        <v>988</v>
      </c>
      <c r="BL85" s="8" t="s">
        <v>989</v>
      </c>
      <c r="BM85" s="8" t="s">
        <v>1740</v>
      </c>
      <c r="BN85" s="8">
        <v>1.8173478E7</v>
      </c>
      <c r="BO85" s="8" t="s">
        <v>969</v>
      </c>
      <c r="BP85" s="8" t="s">
        <v>969</v>
      </c>
      <c r="BQ85" s="8" t="s">
        <v>969</v>
      </c>
      <c r="BR85" s="8" t="s">
        <v>3344</v>
      </c>
      <c r="BS85" s="8" t="s">
        <v>1741</v>
      </c>
      <c r="BT85" s="8" t="str">
        <f>HYPERLINK("https%3A%2F%2Fwww.webofscience.com%2Fwos%2Fwoscc%2Ffull-record%2FWOS:000251764200024","View Full Record in Web of Science")</f>
        <v>View Full Record in Web of Science</v>
      </c>
    </row>
    <row r="86" ht="12.75" customHeight="1">
      <c r="A86" s="8" t="s">
        <v>967</v>
      </c>
      <c r="B86" s="8" t="s">
        <v>1536</v>
      </c>
      <c r="C86" s="8" t="s">
        <v>969</v>
      </c>
      <c r="D86" s="8" t="s">
        <v>969</v>
      </c>
      <c r="E86" s="8" t="s">
        <v>969</v>
      </c>
      <c r="F86" s="8" t="s">
        <v>1536</v>
      </c>
      <c r="G86" s="8" t="s">
        <v>969</v>
      </c>
      <c r="H86" s="8" t="s">
        <v>969</v>
      </c>
      <c r="I86" s="8" t="s">
        <v>1537</v>
      </c>
      <c r="J86" s="8" t="s">
        <v>1538</v>
      </c>
      <c r="K86" s="8" t="s">
        <v>969</v>
      </c>
      <c r="L86" s="8" t="s">
        <v>969</v>
      </c>
      <c r="M86" s="8" t="s">
        <v>972</v>
      </c>
      <c r="N86" s="8" t="s">
        <v>973</v>
      </c>
      <c r="O86" s="8" t="s">
        <v>969</v>
      </c>
      <c r="P86" s="8" t="s">
        <v>969</v>
      </c>
      <c r="Q86" s="8" t="s">
        <v>969</v>
      </c>
      <c r="R86" s="8" t="s">
        <v>969</v>
      </c>
      <c r="S86" s="8" t="s">
        <v>969</v>
      </c>
      <c r="T86" s="8" t="s">
        <v>1539</v>
      </c>
      <c r="U86" s="8" t="s">
        <v>1540</v>
      </c>
      <c r="V86" s="8" t="s">
        <v>1541</v>
      </c>
      <c r="W86" s="8" t="s">
        <v>1542</v>
      </c>
      <c r="X86" s="8" t="s">
        <v>1543</v>
      </c>
      <c r="Y86" s="8" t="s">
        <v>1544</v>
      </c>
      <c r="Z86" s="8" t="s">
        <v>1545</v>
      </c>
      <c r="AA86" s="8" t="s">
        <v>3397</v>
      </c>
      <c r="AB86" s="8" t="s">
        <v>1547</v>
      </c>
      <c r="AC86" s="8" t="s">
        <v>969</v>
      </c>
      <c r="AD86" s="8" t="s">
        <v>969</v>
      </c>
      <c r="AE86" s="8" t="s">
        <v>969</v>
      </c>
      <c r="AF86" s="8" t="s">
        <v>969</v>
      </c>
      <c r="AG86" s="8">
        <v>34.0</v>
      </c>
      <c r="AH86" s="8">
        <v>635.0</v>
      </c>
      <c r="AI86" s="8">
        <v>754.0</v>
      </c>
      <c r="AJ86" s="8">
        <v>5.0</v>
      </c>
      <c r="AK86" s="8">
        <v>610.0</v>
      </c>
      <c r="AL86" s="8" t="s">
        <v>1091</v>
      </c>
      <c r="AM86" s="8" t="s">
        <v>1092</v>
      </c>
      <c r="AN86" s="8" t="s">
        <v>1093</v>
      </c>
      <c r="AO86" s="8" t="s">
        <v>1548</v>
      </c>
      <c r="AP86" s="8" t="s">
        <v>1549</v>
      </c>
      <c r="AQ86" s="8" t="s">
        <v>969</v>
      </c>
      <c r="AR86" s="8" t="s">
        <v>1550</v>
      </c>
      <c r="AS86" s="8" t="s">
        <v>1551</v>
      </c>
      <c r="AT86" s="8" t="s">
        <v>1552</v>
      </c>
      <c r="AU86" s="8">
        <v>2006.0</v>
      </c>
      <c r="AV86" s="8">
        <v>20.0</v>
      </c>
      <c r="AW86" s="8">
        <v>2.0</v>
      </c>
      <c r="AX86" s="8" t="s">
        <v>969</v>
      </c>
      <c r="AY86" s="8" t="s">
        <v>969</v>
      </c>
      <c r="AZ86" s="8" t="s">
        <v>969</v>
      </c>
      <c r="BA86" s="8" t="s">
        <v>969</v>
      </c>
      <c r="BB86" s="8">
        <v>538.0</v>
      </c>
      <c r="BC86" s="8">
        <v>548.0</v>
      </c>
      <c r="BD86" s="8" t="s">
        <v>969</v>
      </c>
      <c r="BE86" s="8" t="s">
        <v>770</v>
      </c>
      <c r="BF86" s="13" t="str">
        <f>HYPERLINK("http://dx.doi.org/10.1111/j.1523-1739.2006.00364.x","http://dx.doi.org/10.1111/j.1523-1739.2006.00364.x")</f>
        <v>http://dx.doi.org/10.1111/j.1523-1739.2006.00364.x</v>
      </c>
      <c r="BG86" s="8" t="s">
        <v>969</v>
      </c>
      <c r="BH86" s="8" t="s">
        <v>969</v>
      </c>
      <c r="BI86" s="8">
        <v>11.0</v>
      </c>
      <c r="BJ86" s="8" t="s">
        <v>987</v>
      </c>
      <c r="BK86" s="8" t="s">
        <v>988</v>
      </c>
      <c r="BL86" s="8" t="s">
        <v>989</v>
      </c>
      <c r="BM86" s="8" t="s">
        <v>1553</v>
      </c>
      <c r="BN86" s="8">
        <v>1.6903114E7</v>
      </c>
      <c r="BO86" s="8" t="s">
        <v>969</v>
      </c>
      <c r="BP86" s="8" t="s">
        <v>969</v>
      </c>
      <c r="BQ86" s="8" t="s">
        <v>969</v>
      </c>
      <c r="BR86" s="8" t="s">
        <v>3344</v>
      </c>
      <c r="BS86" s="8" t="s">
        <v>1554</v>
      </c>
      <c r="BT86" s="8" t="str">
        <f>HYPERLINK("https%3A%2F%2Fwww.webofscience.com%2Fwos%2Fwoscc%2Ffull-record%2FWOS:000236064200031","View Full Record in Web of Science")</f>
        <v>View Full Record in Web of Science</v>
      </c>
    </row>
    <row r="87" ht="12.75" customHeight="1">
      <c r="A87" s="8" t="s">
        <v>967</v>
      </c>
      <c r="B87" s="8" t="s">
        <v>2770</v>
      </c>
      <c r="C87" s="8" t="s">
        <v>969</v>
      </c>
      <c r="D87" s="8" t="s">
        <v>969</v>
      </c>
      <c r="E87" s="8" t="s">
        <v>969</v>
      </c>
      <c r="F87" s="8" t="s">
        <v>2771</v>
      </c>
      <c r="G87" s="8" t="s">
        <v>969</v>
      </c>
      <c r="H87" s="8" t="s">
        <v>969</v>
      </c>
      <c r="I87" s="8" t="s">
        <v>2772</v>
      </c>
      <c r="J87" s="8" t="s">
        <v>1974</v>
      </c>
      <c r="K87" s="8" t="s">
        <v>969</v>
      </c>
      <c r="L87" s="8" t="s">
        <v>969</v>
      </c>
      <c r="M87" s="8" t="s">
        <v>972</v>
      </c>
      <c r="N87" s="8" t="s">
        <v>973</v>
      </c>
      <c r="O87" s="8" t="s">
        <v>969</v>
      </c>
      <c r="P87" s="8" t="s">
        <v>969</v>
      </c>
      <c r="Q87" s="8" t="s">
        <v>969</v>
      </c>
      <c r="R87" s="8" t="s">
        <v>969</v>
      </c>
      <c r="S87" s="8" t="s">
        <v>969</v>
      </c>
      <c r="T87" s="8" t="s">
        <v>969</v>
      </c>
      <c r="U87" s="8" t="s">
        <v>2773</v>
      </c>
      <c r="V87" s="8" t="s">
        <v>2774</v>
      </c>
      <c r="W87" s="8" t="s">
        <v>2775</v>
      </c>
      <c r="X87" s="8" t="s">
        <v>2776</v>
      </c>
      <c r="Y87" s="8" t="s">
        <v>2777</v>
      </c>
      <c r="Z87" s="8" t="s">
        <v>2778</v>
      </c>
      <c r="AA87" s="8" t="s">
        <v>3398</v>
      </c>
      <c r="AB87" s="8" t="s">
        <v>3399</v>
      </c>
      <c r="AC87" s="8" t="s">
        <v>2781</v>
      </c>
      <c r="AD87" s="8" t="s">
        <v>2782</v>
      </c>
      <c r="AE87" s="8" t="s">
        <v>2783</v>
      </c>
      <c r="AF87" s="8" t="s">
        <v>969</v>
      </c>
      <c r="AG87" s="8">
        <v>84.0</v>
      </c>
      <c r="AH87" s="8">
        <v>37.0</v>
      </c>
      <c r="AI87" s="8">
        <v>42.0</v>
      </c>
      <c r="AJ87" s="8">
        <v>0.0</v>
      </c>
      <c r="AK87" s="8">
        <v>42.0</v>
      </c>
      <c r="AL87" s="8" t="s">
        <v>1985</v>
      </c>
      <c r="AM87" s="8" t="s">
        <v>1986</v>
      </c>
      <c r="AN87" s="8" t="s">
        <v>1987</v>
      </c>
      <c r="AO87" s="8" t="s">
        <v>1988</v>
      </c>
      <c r="AP87" s="8" t="s">
        <v>969</v>
      </c>
      <c r="AQ87" s="8" t="s">
        <v>969</v>
      </c>
      <c r="AR87" s="8" t="s">
        <v>1974</v>
      </c>
      <c r="AS87" s="8" t="s">
        <v>1989</v>
      </c>
      <c r="AT87" s="8" t="s">
        <v>2784</v>
      </c>
      <c r="AU87" s="8">
        <v>2013.0</v>
      </c>
      <c r="AV87" s="8">
        <v>8.0</v>
      </c>
      <c r="AW87" s="8">
        <v>11.0</v>
      </c>
      <c r="AX87" s="8" t="s">
        <v>969</v>
      </c>
      <c r="AY87" s="8" t="s">
        <v>969</v>
      </c>
      <c r="AZ87" s="8" t="s">
        <v>969</v>
      </c>
      <c r="BA87" s="8" t="s">
        <v>969</v>
      </c>
      <c r="BB87" s="8" t="s">
        <v>969</v>
      </c>
      <c r="BC87" s="8" t="s">
        <v>969</v>
      </c>
      <c r="BD87" s="8" t="s">
        <v>2785</v>
      </c>
      <c r="BE87" s="8" t="s">
        <v>830</v>
      </c>
      <c r="BF87" s="13" t="str">
        <f>HYPERLINK("http://dx.doi.org/10.1371/journal.pone.0080531","http://dx.doi.org/10.1371/journal.pone.0080531")</f>
        <v>http://dx.doi.org/10.1371/journal.pone.0080531</v>
      </c>
      <c r="BG87" s="8" t="s">
        <v>969</v>
      </c>
      <c r="BH87" s="8" t="s">
        <v>969</v>
      </c>
      <c r="BI87" s="8">
        <v>10.0</v>
      </c>
      <c r="BJ87" s="8" t="s">
        <v>1076</v>
      </c>
      <c r="BK87" s="8" t="s">
        <v>988</v>
      </c>
      <c r="BL87" s="8" t="s">
        <v>1077</v>
      </c>
      <c r="BM87" s="8" t="s">
        <v>2786</v>
      </c>
      <c r="BN87" s="8">
        <v>2.4260411E7</v>
      </c>
      <c r="BO87" s="8" t="s">
        <v>1140</v>
      </c>
      <c r="BP87" s="8" t="s">
        <v>969</v>
      </c>
      <c r="BQ87" s="8" t="s">
        <v>969</v>
      </c>
      <c r="BR87" s="8" t="s">
        <v>3344</v>
      </c>
      <c r="BS87" s="8" t="s">
        <v>2787</v>
      </c>
      <c r="BT87" s="8" t="str">
        <f>HYPERLINK("https%3A%2F%2Fwww.webofscience.com%2Fwos%2Fwoscc%2Ffull-record%2FWOS:000327258600069","View Full Record in Web of Science")</f>
        <v>View Full Record in Web of Science</v>
      </c>
    </row>
    <row r="88" ht="12.75" customHeight="1">
      <c r="A88" s="8" t="s">
        <v>967</v>
      </c>
      <c r="B88" s="8" t="s">
        <v>1574</v>
      </c>
      <c r="C88" s="8" t="s">
        <v>969</v>
      </c>
      <c r="D88" s="8" t="s">
        <v>969</v>
      </c>
      <c r="E88" s="8" t="s">
        <v>969</v>
      </c>
      <c r="F88" s="8" t="s">
        <v>1574</v>
      </c>
      <c r="G88" s="8" t="s">
        <v>969</v>
      </c>
      <c r="H88" s="8" t="s">
        <v>969</v>
      </c>
      <c r="I88" s="8" t="s">
        <v>1575</v>
      </c>
      <c r="J88" s="8" t="s">
        <v>1557</v>
      </c>
      <c r="K88" s="8" t="s">
        <v>969</v>
      </c>
      <c r="L88" s="8" t="s">
        <v>969</v>
      </c>
      <c r="M88" s="8" t="s">
        <v>972</v>
      </c>
      <c r="N88" s="8" t="s">
        <v>973</v>
      </c>
      <c r="O88" s="8" t="s">
        <v>969</v>
      </c>
      <c r="P88" s="8" t="s">
        <v>969</v>
      </c>
      <c r="Q88" s="8" t="s">
        <v>969</v>
      </c>
      <c r="R88" s="8" t="s">
        <v>969</v>
      </c>
      <c r="S88" s="8" t="s">
        <v>969</v>
      </c>
      <c r="T88" s="8" t="s">
        <v>1576</v>
      </c>
      <c r="U88" s="8" t="s">
        <v>1577</v>
      </c>
      <c r="V88" s="8" t="s">
        <v>1578</v>
      </c>
      <c r="W88" s="8" t="s">
        <v>1579</v>
      </c>
      <c r="X88" s="8" t="s">
        <v>1580</v>
      </c>
      <c r="Y88" s="8" t="s">
        <v>1581</v>
      </c>
      <c r="Z88" s="8" t="s">
        <v>1582</v>
      </c>
      <c r="AA88" s="8" t="s">
        <v>3400</v>
      </c>
      <c r="AB88" s="8" t="s">
        <v>3401</v>
      </c>
      <c r="AC88" s="8" t="s">
        <v>969</v>
      </c>
      <c r="AD88" s="8" t="s">
        <v>969</v>
      </c>
      <c r="AE88" s="8" t="s">
        <v>969</v>
      </c>
      <c r="AF88" s="8" t="s">
        <v>969</v>
      </c>
      <c r="AG88" s="8">
        <v>61.0</v>
      </c>
      <c r="AH88" s="8">
        <v>63.0</v>
      </c>
      <c r="AI88" s="8">
        <v>76.0</v>
      </c>
      <c r="AJ88" s="8">
        <v>1.0</v>
      </c>
      <c r="AK88" s="8">
        <v>34.0</v>
      </c>
      <c r="AL88" s="8" t="s">
        <v>1192</v>
      </c>
      <c r="AM88" s="8" t="s">
        <v>1193</v>
      </c>
      <c r="AN88" s="8" t="s">
        <v>1194</v>
      </c>
      <c r="AO88" s="8" t="s">
        <v>1567</v>
      </c>
      <c r="AP88" s="8" t="s">
        <v>1568</v>
      </c>
      <c r="AQ88" s="8" t="s">
        <v>969</v>
      </c>
      <c r="AR88" s="8" t="s">
        <v>1569</v>
      </c>
      <c r="AS88" s="8" t="s">
        <v>1570</v>
      </c>
      <c r="AT88" s="8" t="s">
        <v>969</v>
      </c>
      <c r="AU88" s="8">
        <v>2006.0</v>
      </c>
      <c r="AV88" s="8">
        <v>9.0</v>
      </c>
      <c r="AW88" s="8">
        <v>2.0</v>
      </c>
      <c r="AX88" s="8" t="s">
        <v>969</v>
      </c>
      <c r="AY88" s="8" t="s">
        <v>969</v>
      </c>
      <c r="AZ88" s="8" t="s">
        <v>969</v>
      </c>
      <c r="BA88" s="8" t="s">
        <v>969</v>
      </c>
      <c r="BB88" s="8">
        <v>129.0</v>
      </c>
      <c r="BC88" s="8">
        <v>147.0</v>
      </c>
      <c r="BD88" s="8" t="s">
        <v>969</v>
      </c>
      <c r="BE88" s="8" t="s">
        <v>566</v>
      </c>
      <c r="BF88" s="13" t="str">
        <f>HYPERLINK("http://dx.doi.org/10.1016/j.envsci.2005.11.005","http://dx.doi.org/10.1016/j.envsci.2005.11.005")</f>
        <v>http://dx.doi.org/10.1016/j.envsci.2005.11.005</v>
      </c>
      <c r="BG88" s="8" t="s">
        <v>969</v>
      </c>
      <c r="BH88" s="8" t="s">
        <v>969</v>
      </c>
      <c r="BI88" s="8">
        <v>19.0</v>
      </c>
      <c r="BJ88" s="8" t="s">
        <v>1571</v>
      </c>
      <c r="BK88" s="8" t="s">
        <v>988</v>
      </c>
      <c r="BL88" s="8" t="s">
        <v>1268</v>
      </c>
      <c r="BM88" s="8" t="s">
        <v>1572</v>
      </c>
      <c r="BN88" s="8" t="s">
        <v>969</v>
      </c>
      <c r="BO88" s="8" t="s">
        <v>969</v>
      </c>
      <c r="BP88" s="8" t="s">
        <v>969</v>
      </c>
      <c r="BQ88" s="8" t="s">
        <v>969</v>
      </c>
      <c r="BR88" s="8" t="s">
        <v>3344</v>
      </c>
      <c r="BS88" s="8" t="s">
        <v>1585</v>
      </c>
      <c r="BT88" s="8" t="str">
        <f>HYPERLINK("https%3A%2F%2Fwww.webofscience.com%2Fwos%2Fwoscc%2Ffull-record%2FWOS:000236511100004","View Full Record in Web of Science")</f>
        <v>View Full Record in Web of Science</v>
      </c>
    </row>
    <row r="89" ht="12.75" customHeight="1">
      <c r="A89" s="8" t="s">
        <v>967</v>
      </c>
      <c r="B89" s="8" t="s">
        <v>1463</v>
      </c>
      <c r="C89" s="8" t="s">
        <v>969</v>
      </c>
      <c r="D89" s="8" t="s">
        <v>969</v>
      </c>
      <c r="E89" s="8" t="s">
        <v>969</v>
      </c>
      <c r="F89" s="8" t="s">
        <v>1463</v>
      </c>
      <c r="G89" s="8" t="s">
        <v>969</v>
      </c>
      <c r="H89" s="8" t="s">
        <v>969</v>
      </c>
      <c r="I89" s="8" t="s">
        <v>1464</v>
      </c>
      <c r="J89" s="8" t="s">
        <v>971</v>
      </c>
      <c r="K89" s="8" t="s">
        <v>969</v>
      </c>
      <c r="L89" s="8" t="s">
        <v>969</v>
      </c>
      <c r="M89" s="8" t="s">
        <v>972</v>
      </c>
      <c r="N89" s="8" t="s">
        <v>973</v>
      </c>
      <c r="O89" s="8" t="s">
        <v>969</v>
      </c>
      <c r="P89" s="8" t="s">
        <v>969</v>
      </c>
      <c r="Q89" s="8" t="s">
        <v>969</v>
      </c>
      <c r="R89" s="8" t="s">
        <v>969</v>
      </c>
      <c r="S89" s="8" t="s">
        <v>969</v>
      </c>
      <c r="T89" s="8" t="s">
        <v>1465</v>
      </c>
      <c r="U89" s="8" t="s">
        <v>1466</v>
      </c>
      <c r="V89" s="8" t="s">
        <v>1467</v>
      </c>
      <c r="W89" s="8" t="s">
        <v>1468</v>
      </c>
      <c r="X89" s="8" t="s">
        <v>1469</v>
      </c>
      <c r="Y89" s="8" t="s">
        <v>1470</v>
      </c>
      <c r="Z89" s="8" t="s">
        <v>1471</v>
      </c>
      <c r="AA89" s="8" t="s">
        <v>2952</v>
      </c>
      <c r="AB89" s="8" t="s">
        <v>2953</v>
      </c>
      <c r="AC89" s="8" t="s">
        <v>969</v>
      </c>
      <c r="AD89" s="8" t="s">
        <v>969</v>
      </c>
      <c r="AE89" s="8" t="s">
        <v>969</v>
      </c>
      <c r="AF89" s="8" t="s">
        <v>969</v>
      </c>
      <c r="AG89" s="8">
        <v>69.0</v>
      </c>
      <c r="AH89" s="8">
        <v>104.0</v>
      </c>
      <c r="AI89" s="8">
        <v>124.0</v>
      </c>
      <c r="AJ89" s="8">
        <v>1.0</v>
      </c>
      <c r="AK89" s="8">
        <v>61.0</v>
      </c>
      <c r="AL89" s="8" t="s">
        <v>1091</v>
      </c>
      <c r="AM89" s="8" t="s">
        <v>1092</v>
      </c>
      <c r="AN89" s="8" t="s">
        <v>1093</v>
      </c>
      <c r="AO89" s="8" t="s">
        <v>983</v>
      </c>
      <c r="AP89" s="8" t="s">
        <v>1094</v>
      </c>
      <c r="AQ89" s="8" t="s">
        <v>969</v>
      </c>
      <c r="AR89" s="8" t="s">
        <v>1095</v>
      </c>
      <c r="AS89" s="8" t="s">
        <v>985</v>
      </c>
      <c r="AT89" s="8" t="s">
        <v>1300</v>
      </c>
      <c r="AU89" s="8">
        <v>2005.0</v>
      </c>
      <c r="AV89" s="8">
        <v>11.0</v>
      </c>
      <c r="AW89" s="8">
        <v>9.0</v>
      </c>
      <c r="AX89" s="8" t="s">
        <v>969</v>
      </c>
      <c r="AY89" s="8" t="s">
        <v>969</v>
      </c>
      <c r="AZ89" s="8" t="s">
        <v>969</v>
      </c>
      <c r="BA89" s="8" t="s">
        <v>969</v>
      </c>
      <c r="BB89" s="8">
        <v>1452.0</v>
      </c>
      <c r="BC89" s="8">
        <v>1468.0</v>
      </c>
      <c r="BD89" s="8" t="s">
        <v>969</v>
      </c>
      <c r="BE89" s="8" t="s">
        <v>686</v>
      </c>
      <c r="BF89" s="13" t="str">
        <f>HYPERLINK("http://dx.doi.org/10.1111/j.1365-2486.2005.00997.x","http://dx.doi.org/10.1111/j.1365-2486.2005.00997.x")</f>
        <v>http://dx.doi.org/10.1111/j.1365-2486.2005.00997.x</v>
      </c>
      <c r="BG89" s="8" t="s">
        <v>969</v>
      </c>
      <c r="BH89" s="8" t="s">
        <v>969</v>
      </c>
      <c r="BI89" s="8">
        <v>17.0</v>
      </c>
      <c r="BJ89" s="8" t="s">
        <v>987</v>
      </c>
      <c r="BK89" s="8" t="s">
        <v>988</v>
      </c>
      <c r="BL89" s="8" t="s">
        <v>989</v>
      </c>
      <c r="BM89" s="8" t="s">
        <v>1474</v>
      </c>
      <c r="BN89" s="8" t="s">
        <v>969</v>
      </c>
      <c r="BO89" s="8" t="s">
        <v>969</v>
      </c>
      <c r="BP89" s="8" t="s">
        <v>969</v>
      </c>
      <c r="BQ89" s="8" t="s">
        <v>969</v>
      </c>
      <c r="BR89" s="8" t="s">
        <v>3344</v>
      </c>
      <c r="BS89" s="8" t="s">
        <v>1475</v>
      </c>
      <c r="BT89" s="8" t="str">
        <f>HYPERLINK("https%3A%2F%2Fwww.webofscience.com%2Fwos%2Fwoscc%2Ffull-record%2FWOS:000231396700005","View Full Record in Web of Science")</f>
        <v>View Full Record in Web of Science</v>
      </c>
    </row>
    <row r="90" ht="12.75" customHeight="1">
      <c r="A90" s="8" t="s">
        <v>967</v>
      </c>
      <c r="B90" s="8" t="s">
        <v>2605</v>
      </c>
      <c r="C90" s="8" t="s">
        <v>969</v>
      </c>
      <c r="D90" s="8" t="s">
        <v>969</v>
      </c>
      <c r="E90" s="8" t="s">
        <v>969</v>
      </c>
      <c r="F90" s="8" t="s">
        <v>2606</v>
      </c>
      <c r="G90" s="8" t="s">
        <v>969</v>
      </c>
      <c r="H90" s="8" t="s">
        <v>969</v>
      </c>
      <c r="I90" s="8" t="s">
        <v>2607</v>
      </c>
      <c r="J90" s="8" t="s">
        <v>1427</v>
      </c>
      <c r="K90" s="8" t="s">
        <v>969</v>
      </c>
      <c r="L90" s="8" t="s">
        <v>969</v>
      </c>
      <c r="M90" s="8" t="s">
        <v>972</v>
      </c>
      <c r="N90" s="8" t="s">
        <v>973</v>
      </c>
      <c r="O90" s="8" t="s">
        <v>969</v>
      </c>
      <c r="P90" s="8" t="s">
        <v>969</v>
      </c>
      <c r="Q90" s="8" t="s">
        <v>969</v>
      </c>
      <c r="R90" s="8" t="s">
        <v>969</v>
      </c>
      <c r="S90" s="8" t="s">
        <v>969</v>
      </c>
      <c r="T90" s="8" t="s">
        <v>2608</v>
      </c>
      <c r="U90" s="8" t="s">
        <v>2609</v>
      </c>
      <c r="V90" s="8" t="s">
        <v>2610</v>
      </c>
      <c r="W90" s="8" t="s">
        <v>2611</v>
      </c>
      <c r="X90" s="8" t="s">
        <v>2612</v>
      </c>
      <c r="Y90" s="8" t="s">
        <v>2613</v>
      </c>
      <c r="Z90" s="8" t="s">
        <v>2614</v>
      </c>
      <c r="AA90" s="8" t="s">
        <v>3246</v>
      </c>
      <c r="AB90" s="8" t="s">
        <v>3247</v>
      </c>
      <c r="AC90" s="8" t="s">
        <v>2617</v>
      </c>
      <c r="AD90" s="8" t="s">
        <v>2618</v>
      </c>
      <c r="AE90" s="8" t="s">
        <v>2619</v>
      </c>
      <c r="AF90" s="8" t="s">
        <v>969</v>
      </c>
      <c r="AG90" s="8">
        <v>91.0</v>
      </c>
      <c r="AH90" s="8">
        <v>32.0</v>
      </c>
      <c r="AI90" s="8">
        <v>34.0</v>
      </c>
      <c r="AJ90" s="8">
        <v>1.0</v>
      </c>
      <c r="AK90" s="8">
        <v>126.0</v>
      </c>
      <c r="AL90" s="8" t="s">
        <v>1091</v>
      </c>
      <c r="AM90" s="8" t="s">
        <v>1092</v>
      </c>
      <c r="AN90" s="8" t="s">
        <v>1093</v>
      </c>
      <c r="AO90" s="8" t="s">
        <v>1437</v>
      </c>
      <c r="AP90" s="8" t="s">
        <v>1499</v>
      </c>
      <c r="AQ90" s="8" t="s">
        <v>969</v>
      </c>
      <c r="AR90" s="8" t="s">
        <v>1438</v>
      </c>
      <c r="AS90" s="8" t="s">
        <v>1439</v>
      </c>
      <c r="AT90" s="8" t="s">
        <v>1552</v>
      </c>
      <c r="AU90" s="8">
        <v>2013.0</v>
      </c>
      <c r="AV90" s="8">
        <v>19.0</v>
      </c>
      <c r="AW90" s="8">
        <v>4.0</v>
      </c>
      <c r="AX90" s="8" t="s">
        <v>969</v>
      </c>
      <c r="AY90" s="8" t="s">
        <v>969</v>
      </c>
      <c r="AZ90" s="8" t="s">
        <v>969</v>
      </c>
      <c r="BA90" s="8" t="s">
        <v>969</v>
      </c>
      <c r="BB90" s="8">
        <v>363.0</v>
      </c>
      <c r="BC90" s="8">
        <v>376.0</v>
      </c>
      <c r="BD90" s="8" t="s">
        <v>969</v>
      </c>
      <c r="BE90" s="8" t="s">
        <v>665</v>
      </c>
      <c r="BF90" s="13" t="str">
        <f>HYPERLINK("http://dx.doi.org/10.1111/ddi.12011","http://dx.doi.org/10.1111/ddi.12011")</f>
        <v>http://dx.doi.org/10.1111/ddi.12011</v>
      </c>
      <c r="BG90" s="8" t="s">
        <v>969</v>
      </c>
      <c r="BH90" s="8" t="s">
        <v>969</v>
      </c>
      <c r="BI90" s="8">
        <v>14.0</v>
      </c>
      <c r="BJ90" s="8" t="s">
        <v>1286</v>
      </c>
      <c r="BK90" s="8" t="s">
        <v>988</v>
      </c>
      <c r="BL90" s="8" t="s">
        <v>989</v>
      </c>
      <c r="BM90" s="8" t="s">
        <v>2620</v>
      </c>
      <c r="BN90" s="8" t="s">
        <v>969</v>
      </c>
      <c r="BO90" s="8" t="s">
        <v>969</v>
      </c>
      <c r="BP90" s="8" t="s">
        <v>969</v>
      </c>
      <c r="BQ90" s="8" t="s">
        <v>969</v>
      </c>
      <c r="BR90" s="8" t="s">
        <v>3344</v>
      </c>
      <c r="BS90" s="8" t="s">
        <v>2621</v>
      </c>
      <c r="BT90" s="8" t="str">
        <f>HYPERLINK("https%3A%2F%2Fwww.webofscience.com%2Fwos%2Fwoscc%2Ffull-record%2FWOS:000316324800001","View Full Record in Web of Science")</f>
        <v>View Full Record in Web of Science</v>
      </c>
    </row>
    <row r="91" ht="12.75" customHeight="1">
      <c r="A91" s="8" t="s">
        <v>967</v>
      </c>
      <c r="B91" s="8" t="s">
        <v>1343</v>
      </c>
      <c r="C91" s="8" t="s">
        <v>969</v>
      </c>
      <c r="D91" s="8" t="s">
        <v>969</v>
      </c>
      <c r="E91" s="8" t="s">
        <v>969</v>
      </c>
      <c r="F91" s="8" t="s">
        <v>1343</v>
      </c>
      <c r="G91" s="8" t="s">
        <v>969</v>
      </c>
      <c r="H91" s="8" t="s">
        <v>969</v>
      </c>
      <c r="I91" s="8" t="s">
        <v>1344</v>
      </c>
      <c r="J91" s="8" t="s">
        <v>1144</v>
      </c>
      <c r="K91" s="8" t="s">
        <v>969</v>
      </c>
      <c r="L91" s="8" t="s">
        <v>969</v>
      </c>
      <c r="M91" s="8" t="s">
        <v>972</v>
      </c>
      <c r="N91" s="8" t="s">
        <v>973</v>
      </c>
      <c r="O91" s="8" t="s">
        <v>969</v>
      </c>
      <c r="P91" s="8" t="s">
        <v>969</v>
      </c>
      <c r="Q91" s="8" t="s">
        <v>969</v>
      </c>
      <c r="R91" s="8" t="s">
        <v>969</v>
      </c>
      <c r="S91" s="8" t="s">
        <v>969</v>
      </c>
      <c r="T91" s="8" t="s">
        <v>1345</v>
      </c>
      <c r="U91" s="8" t="s">
        <v>1346</v>
      </c>
      <c r="V91" s="8" t="s">
        <v>1347</v>
      </c>
      <c r="W91" s="8" t="s">
        <v>1348</v>
      </c>
      <c r="X91" s="8" t="s">
        <v>1349</v>
      </c>
      <c r="Y91" s="8" t="s">
        <v>1350</v>
      </c>
      <c r="Z91" s="8" t="s">
        <v>1351</v>
      </c>
      <c r="AA91" s="8" t="s">
        <v>1352</v>
      </c>
      <c r="AB91" s="8" t="s">
        <v>1353</v>
      </c>
      <c r="AC91" s="8" t="s">
        <v>969</v>
      </c>
      <c r="AD91" s="8" t="s">
        <v>969</v>
      </c>
      <c r="AE91" s="8" t="s">
        <v>969</v>
      </c>
      <c r="AF91" s="8" t="s">
        <v>969</v>
      </c>
      <c r="AG91" s="8">
        <v>56.0</v>
      </c>
      <c r="AH91" s="8">
        <v>92.0</v>
      </c>
      <c r="AI91" s="8">
        <v>110.0</v>
      </c>
      <c r="AJ91" s="8">
        <v>0.0</v>
      </c>
      <c r="AK91" s="8">
        <v>108.0</v>
      </c>
      <c r="AL91" s="8" t="s">
        <v>1091</v>
      </c>
      <c r="AM91" s="8" t="s">
        <v>1092</v>
      </c>
      <c r="AN91" s="8" t="s">
        <v>1093</v>
      </c>
      <c r="AO91" s="8" t="s">
        <v>1159</v>
      </c>
      <c r="AP91" s="8" t="s">
        <v>1160</v>
      </c>
      <c r="AQ91" s="8" t="s">
        <v>969</v>
      </c>
      <c r="AR91" s="8" t="s">
        <v>1161</v>
      </c>
      <c r="AS91" s="8" t="s">
        <v>1162</v>
      </c>
      <c r="AT91" s="8" t="s">
        <v>1163</v>
      </c>
      <c r="AU91" s="8">
        <v>2004.0</v>
      </c>
      <c r="AV91" s="8">
        <v>13.0</v>
      </c>
      <c r="AW91" s="8">
        <v>6.0</v>
      </c>
      <c r="AX91" s="8" t="s">
        <v>969</v>
      </c>
      <c r="AY91" s="8" t="s">
        <v>969</v>
      </c>
      <c r="AZ91" s="8" t="s">
        <v>969</v>
      </c>
      <c r="BA91" s="8" t="s">
        <v>969</v>
      </c>
      <c r="BB91" s="8">
        <v>553.0</v>
      </c>
      <c r="BC91" s="8">
        <v>565.0</v>
      </c>
      <c r="BD91" s="8" t="s">
        <v>969</v>
      </c>
      <c r="BE91" s="8" t="s">
        <v>755</v>
      </c>
      <c r="BF91" s="13" t="str">
        <f>HYPERLINK("http://dx.doi.org/10.1111/j.1466-822X.2004.00105.x","http://dx.doi.org/10.1111/j.1466-822X.2004.00105.x")</f>
        <v>http://dx.doi.org/10.1111/j.1466-822X.2004.00105.x</v>
      </c>
      <c r="BG91" s="8" t="s">
        <v>969</v>
      </c>
      <c r="BH91" s="8" t="s">
        <v>969</v>
      </c>
      <c r="BI91" s="8">
        <v>13.0</v>
      </c>
      <c r="BJ91" s="8" t="s">
        <v>1017</v>
      </c>
      <c r="BK91" s="8" t="s">
        <v>988</v>
      </c>
      <c r="BL91" s="8" t="s">
        <v>1018</v>
      </c>
      <c r="BM91" s="8" t="s">
        <v>1354</v>
      </c>
      <c r="BN91" s="8" t="s">
        <v>969</v>
      </c>
      <c r="BO91" s="8" t="s">
        <v>969</v>
      </c>
      <c r="BP91" s="8" t="s">
        <v>969</v>
      </c>
      <c r="BQ91" s="8" t="s">
        <v>969</v>
      </c>
      <c r="BR91" s="8" t="s">
        <v>3344</v>
      </c>
      <c r="BS91" s="8" t="s">
        <v>1355</v>
      </c>
      <c r="BT91" s="8" t="str">
        <f>HYPERLINK("https%3A%2F%2Fwww.webofscience.com%2Fwos%2Fwoscc%2Ffull-record%2FWOS:000224648000008","View Full Record in Web of Science")</f>
        <v>View Full Record in Web of Science</v>
      </c>
    </row>
    <row r="92" ht="12.75" customHeight="1">
      <c r="A92" s="8" t="s">
        <v>967</v>
      </c>
      <c r="B92" s="8" t="s">
        <v>1142</v>
      </c>
      <c r="C92" s="8" t="s">
        <v>969</v>
      </c>
      <c r="D92" s="8" t="s">
        <v>969</v>
      </c>
      <c r="E92" s="8" t="s">
        <v>969</v>
      </c>
      <c r="F92" s="8" t="s">
        <v>1142</v>
      </c>
      <c r="G92" s="8" t="s">
        <v>969</v>
      </c>
      <c r="H92" s="8" t="s">
        <v>969</v>
      </c>
      <c r="I92" s="8" t="s">
        <v>1143</v>
      </c>
      <c r="J92" s="8" t="s">
        <v>1144</v>
      </c>
      <c r="K92" s="8" t="s">
        <v>969</v>
      </c>
      <c r="L92" s="8" t="s">
        <v>969</v>
      </c>
      <c r="M92" s="8" t="s">
        <v>972</v>
      </c>
      <c r="N92" s="8" t="s">
        <v>1145</v>
      </c>
      <c r="O92" s="8" t="s">
        <v>1146</v>
      </c>
      <c r="P92" s="8" t="s">
        <v>1147</v>
      </c>
      <c r="Q92" s="8" t="s">
        <v>1148</v>
      </c>
      <c r="R92" s="8" t="s">
        <v>1149</v>
      </c>
      <c r="S92" s="8" t="s">
        <v>969</v>
      </c>
      <c r="T92" s="8" t="s">
        <v>1150</v>
      </c>
      <c r="U92" s="8" t="s">
        <v>1151</v>
      </c>
      <c r="V92" s="8" t="s">
        <v>1152</v>
      </c>
      <c r="W92" s="8" t="s">
        <v>1153</v>
      </c>
      <c r="X92" s="8" t="s">
        <v>1154</v>
      </c>
      <c r="Y92" s="8" t="s">
        <v>1155</v>
      </c>
      <c r="Z92" s="8" t="s">
        <v>1156</v>
      </c>
      <c r="AA92" s="8" t="s">
        <v>1157</v>
      </c>
      <c r="AB92" s="8" t="s">
        <v>1158</v>
      </c>
      <c r="AC92" s="8" t="s">
        <v>969</v>
      </c>
      <c r="AD92" s="8" t="s">
        <v>969</v>
      </c>
      <c r="AE92" s="8" t="s">
        <v>969</v>
      </c>
      <c r="AF92" s="8" t="s">
        <v>969</v>
      </c>
      <c r="AG92" s="8">
        <v>32.0</v>
      </c>
      <c r="AH92" s="8">
        <v>302.0</v>
      </c>
      <c r="AI92" s="8">
        <v>360.0</v>
      </c>
      <c r="AJ92" s="8">
        <v>2.0</v>
      </c>
      <c r="AK92" s="8">
        <v>144.0</v>
      </c>
      <c r="AL92" s="8" t="s">
        <v>1091</v>
      </c>
      <c r="AM92" s="8" t="s">
        <v>1092</v>
      </c>
      <c r="AN92" s="8" t="s">
        <v>1093</v>
      </c>
      <c r="AO92" s="8" t="s">
        <v>1159</v>
      </c>
      <c r="AP92" s="8" t="s">
        <v>1160</v>
      </c>
      <c r="AQ92" s="8" t="s">
        <v>969</v>
      </c>
      <c r="AR92" s="8" t="s">
        <v>1161</v>
      </c>
      <c r="AS92" s="8" t="s">
        <v>1162</v>
      </c>
      <c r="AT92" s="8" t="s">
        <v>1163</v>
      </c>
      <c r="AU92" s="8">
        <v>2002.0</v>
      </c>
      <c r="AV92" s="8">
        <v>11.0</v>
      </c>
      <c r="AW92" s="8">
        <v>6.0</v>
      </c>
      <c r="AX92" s="8" t="s">
        <v>969</v>
      </c>
      <c r="AY92" s="8" t="s">
        <v>969</v>
      </c>
      <c r="AZ92" s="8" t="s">
        <v>969</v>
      </c>
      <c r="BA92" s="8" t="s">
        <v>969</v>
      </c>
      <c r="BB92" s="8">
        <v>445.0</v>
      </c>
      <c r="BC92" s="8">
        <v>451.0</v>
      </c>
      <c r="BD92" s="8" t="s">
        <v>969</v>
      </c>
      <c r="BE92" s="8" t="s">
        <v>626</v>
      </c>
      <c r="BF92" s="13" t="str">
        <f>HYPERLINK("http://dx.doi.org/10.1046/j.1466-822X.2002.00307.x","http://dx.doi.org/10.1046/j.1466-822X.2002.00307.x")</f>
        <v>http://dx.doi.org/10.1046/j.1466-822X.2002.00307.x</v>
      </c>
      <c r="BG92" s="8" t="s">
        <v>969</v>
      </c>
      <c r="BH92" s="8" t="s">
        <v>969</v>
      </c>
      <c r="BI92" s="8">
        <v>7.0</v>
      </c>
      <c r="BJ92" s="8" t="s">
        <v>1017</v>
      </c>
      <c r="BK92" s="8" t="s">
        <v>1164</v>
      </c>
      <c r="BL92" s="8" t="s">
        <v>1018</v>
      </c>
      <c r="BM92" s="8" t="s">
        <v>1165</v>
      </c>
      <c r="BN92" s="8" t="s">
        <v>969</v>
      </c>
      <c r="BO92" s="8" t="s">
        <v>969</v>
      </c>
      <c r="BP92" s="8" t="s">
        <v>969</v>
      </c>
      <c r="BQ92" s="8" t="s">
        <v>969</v>
      </c>
      <c r="BR92" s="8" t="s">
        <v>3344</v>
      </c>
      <c r="BS92" s="8" t="s">
        <v>1166</v>
      </c>
      <c r="BT92" s="8" t="str">
        <f>HYPERLINK("https%3A%2F%2Fwww.webofscience.com%2Fwos%2Fwoscc%2Ffull-record%2FWOS:000179978200002","View Full Record in Web of Science")</f>
        <v>View Full Record in Web of Science</v>
      </c>
    </row>
    <row r="93" ht="12.75" customHeight="1">
      <c r="A93" s="8" t="s">
        <v>967</v>
      </c>
      <c r="B93" s="8" t="s">
        <v>1023</v>
      </c>
      <c r="C93" s="8" t="s">
        <v>969</v>
      </c>
      <c r="D93" s="8" t="s">
        <v>969</v>
      </c>
      <c r="E93" s="8" t="s">
        <v>969</v>
      </c>
      <c r="F93" s="8" t="s">
        <v>1023</v>
      </c>
      <c r="G93" s="8" t="s">
        <v>969</v>
      </c>
      <c r="H93" s="8" t="s">
        <v>969</v>
      </c>
      <c r="I93" s="8" t="s">
        <v>1024</v>
      </c>
      <c r="J93" s="8" t="s">
        <v>1025</v>
      </c>
      <c r="K93" s="8" t="s">
        <v>969</v>
      </c>
      <c r="L93" s="8" t="s">
        <v>969</v>
      </c>
      <c r="M93" s="8" t="s">
        <v>972</v>
      </c>
      <c r="N93" s="8" t="s">
        <v>973</v>
      </c>
      <c r="O93" s="8" t="s">
        <v>969</v>
      </c>
      <c r="P93" s="8" t="s">
        <v>969</v>
      </c>
      <c r="Q93" s="8" t="s">
        <v>969</v>
      </c>
      <c r="R93" s="8" t="s">
        <v>969</v>
      </c>
      <c r="S93" s="8" t="s">
        <v>969</v>
      </c>
      <c r="T93" s="8" t="s">
        <v>969</v>
      </c>
      <c r="U93" s="8" t="s">
        <v>1026</v>
      </c>
      <c r="V93" s="8" t="s">
        <v>1027</v>
      </c>
      <c r="W93" s="8" t="s">
        <v>1028</v>
      </c>
      <c r="X93" s="8" t="s">
        <v>1029</v>
      </c>
      <c r="Y93" s="8" t="s">
        <v>1030</v>
      </c>
      <c r="Z93" s="8" t="s">
        <v>969</v>
      </c>
      <c r="AA93" s="8" t="s">
        <v>969</v>
      </c>
      <c r="AB93" s="8" t="s">
        <v>969</v>
      </c>
      <c r="AC93" s="8" t="s">
        <v>969</v>
      </c>
      <c r="AD93" s="8" t="s">
        <v>969</v>
      </c>
      <c r="AE93" s="8" t="s">
        <v>969</v>
      </c>
      <c r="AF93" s="8" t="s">
        <v>969</v>
      </c>
      <c r="AG93" s="8">
        <v>71.0</v>
      </c>
      <c r="AH93" s="8">
        <v>54.0</v>
      </c>
      <c r="AI93" s="8">
        <v>60.0</v>
      </c>
      <c r="AJ93" s="8">
        <v>0.0</v>
      </c>
      <c r="AK93" s="8">
        <v>11.0</v>
      </c>
      <c r="AL93" s="8" t="s">
        <v>1031</v>
      </c>
      <c r="AM93" s="8" t="s">
        <v>1032</v>
      </c>
      <c r="AN93" s="8" t="s">
        <v>1033</v>
      </c>
      <c r="AO93" s="8" t="s">
        <v>1034</v>
      </c>
      <c r="AP93" s="8" t="s">
        <v>969</v>
      </c>
      <c r="AQ93" s="8" t="s">
        <v>969</v>
      </c>
      <c r="AR93" s="8" t="s">
        <v>1025</v>
      </c>
      <c r="AS93" s="8" t="s">
        <v>1035</v>
      </c>
      <c r="AT93" s="8" t="s">
        <v>1036</v>
      </c>
      <c r="AU93" s="8">
        <v>1999.0</v>
      </c>
      <c r="AV93" s="8">
        <v>41.0</v>
      </c>
      <c r="AW93" s="8">
        <v>2.0</v>
      </c>
      <c r="AX93" s="8" t="s">
        <v>969</v>
      </c>
      <c r="AY93" s="8" t="s">
        <v>969</v>
      </c>
      <c r="AZ93" s="8" t="s">
        <v>969</v>
      </c>
      <c r="BA93" s="8" t="s">
        <v>969</v>
      </c>
      <c r="BB93" s="8">
        <v>213.0</v>
      </c>
      <c r="BC93" s="8">
        <v>248.0</v>
      </c>
      <c r="BD93" s="8" t="s">
        <v>969</v>
      </c>
      <c r="BE93" s="8" t="s">
        <v>584</v>
      </c>
      <c r="BF93" s="13" t="str">
        <f>HYPERLINK("http://dx.doi.org/10.1023/A:1005483507351","http://dx.doi.org/10.1023/A:1005483507351")</f>
        <v>http://dx.doi.org/10.1023/A:1005483507351</v>
      </c>
      <c r="BG93" s="8" t="s">
        <v>969</v>
      </c>
      <c r="BH93" s="8" t="s">
        <v>969</v>
      </c>
      <c r="BI93" s="8">
        <v>36.0</v>
      </c>
      <c r="BJ93" s="8" t="s">
        <v>1037</v>
      </c>
      <c r="BK93" s="8" t="s">
        <v>988</v>
      </c>
      <c r="BL93" s="8" t="s">
        <v>1038</v>
      </c>
      <c r="BM93" s="8" t="s">
        <v>1039</v>
      </c>
      <c r="BN93" s="8" t="s">
        <v>969</v>
      </c>
      <c r="BO93" s="8" t="s">
        <v>969</v>
      </c>
      <c r="BP93" s="8" t="s">
        <v>969</v>
      </c>
      <c r="BQ93" s="8" t="s">
        <v>969</v>
      </c>
      <c r="BR93" s="8" t="s">
        <v>3344</v>
      </c>
      <c r="BS93" s="8" t="s">
        <v>1040</v>
      </c>
      <c r="BT93" s="8" t="str">
        <f>HYPERLINK("https%3A%2F%2Fwww.webofscience.com%2Fwos%2Fwoscc%2Ffull-record%2FWOS:000078751700005","View Full Record in Web of Science")</f>
        <v>View Full Record in Web of Science</v>
      </c>
    </row>
    <row r="94" ht="12.75" customHeight="1">
      <c r="A94" s="8" t="s">
        <v>967</v>
      </c>
      <c r="B94" s="8" t="s">
        <v>2753</v>
      </c>
      <c r="C94" s="8" t="s">
        <v>969</v>
      </c>
      <c r="D94" s="8" t="s">
        <v>969</v>
      </c>
      <c r="E94" s="8" t="s">
        <v>969</v>
      </c>
      <c r="F94" s="8" t="s">
        <v>2754</v>
      </c>
      <c r="G94" s="8" t="s">
        <v>969</v>
      </c>
      <c r="H94" s="8" t="s">
        <v>969</v>
      </c>
      <c r="I94" s="8" t="s">
        <v>2755</v>
      </c>
      <c r="J94" s="8" t="s">
        <v>2358</v>
      </c>
      <c r="K94" s="8" t="s">
        <v>969</v>
      </c>
      <c r="L94" s="8" t="s">
        <v>969</v>
      </c>
      <c r="M94" s="8" t="s">
        <v>972</v>
      </c>
      <c r="N94" s="8" t="s">
        <v>973</v>
      </c>
      <c r="O94" s="8" t="s">
        <v>969</v>
      </c>
      <c r="P94" s="8" t="s">
        <v>969</v>
      </c>
      <c r="Q94" s="8" t="s">
        <v>969</v>
      </c>
      <c r="R94" s="8" t="s">
        <v>969</v>
      </c>
      <c r="S94" s="8" t="s">
        <v>969</v>
      </c>
      <c r="T94" s="8" t="s">
        <v>969</v>
      </c>
      <c r="U94" s="8" t="s">
        <v>2756</v>
      </c>
      <c r="V94" s="8" t="s">
        <v>2757</v>
      </c>
      <c r="W94" s="8" t="s">
        <v>2758</v>
      </c>
      <c r="X94" s="8" t="s">
        <v>3238</v>
      </c>
      <c r="Y94" s="8" t="s">
        <v>2760</v>
      </c>
      <c r="Z94" s="8" t="s">
        <v>2761</v>
      </c>
      <c r="AA94" s="8" t="s">
        <v>3402</v>
      </c>
      <c r="AB94" s="8" t="s">
        <v>3403</v>
      </c>
      <c r="AC94" s="8" t="s">
        <v>3186</v>
      </c>
      <c r="AD94" s="8" t="s">
        <v>3187</v>
      </c>
      <c r="AE94" s="8" t="s">
        <v>2766</v>
      </c>
      <c r="AF94" s="8" t="s">
        <v>969</v>
      </c>
      <c r="AG94" s="8">
        <v>30.0</v>
      </c>
      <c r="AH94" s="8">
        <v>314.0</v>
      </c>
      <c r="AI94" s="8">
        <v>356.0</v>
      </c>
      <c r="AJ94" s="8">
        <v>5.0</v>
      </c>
      <c r="AK94" s="8">
        <v>247.0</v>
      </c>
      <c r="AL94" s="8" t="s">
        <v>1070</v>
      </c>
      <c r="AM94" s="8" t="s">
        <v>1071</v>
      </c>
      <c r="AN94" s="8" t="s">
        <v>1072</v>
      </c>
      <c r="AO94" s="8" t="s">
        <v>2369</v>
      </c>
      <c r="AP94" s="8" t="s">
        <v>2370</v>
      </c>
      <c r="AQ94" s="8" t="s">
        <v>969</v>
      </c>
      <c r="AR94" s="8" t="s">
        <v>2371</v>
      </c>
      <c r="AS94" s="8" t="s">
        <v>2372</v>
      </c>
      <c r="AT94" s="8" t="s">
        <v>1096</v>
      </c>
      <c r="AU94" s="8">
        <v>2013.0</v>
      </c>
      <c r="AV94" s="8">
        <v>3.0</v>
      </c>
      <c r="AW94" s="8">
        <v>7.0</v>
      </c>
      <c r="AX94" s="8" t="s">
        <v>969</v>
      </c>
      <c r="AY94" s="8" t="s">
        <v>969</v>
      </c>
      <c r="AZ94" s="8" t="s">
        <v>969</v>
      </c>
      <c r="BA94" s="8" t="s">
        <v>969</v>
      </c>
      <c r="BB94" s="8">
        <v>678.0</v>
      </c>
      <c r="BC94" s="8">
        <v>682.0</v>
      </c>
      <c r="BD94" s="8" t="s">
        <v>969</v>
      </c>
      <c r="BE94" s="8" t="s">
        <v>2767</v>
      </c>
      <c r="BF94" s="13" t="str">
        <f>HYPERLINK("http://dx.doi.org/10.1038/NCLIMATE1887","http://dx.doi.org/10.1038/NCLIMATE1887")</f>
        <v>http://dx.doi.org/10.1038/NCLIMATE1887</v>
      </c>
      <c r="BG94" s="8" t="s">
        <v>969</v>
      </c>
      <c r="BH94" s="8" t="s">
        <v>969</v>
      </c>
      <c r="BI94" s="8">
        <v>5.0</v>
      </c>
      <c r="BJ94" s="8" t="s">
        <v>2374</v>
      </c>
      <c r="BK94" s="8" t="s">
        <v>1519</v>
      </c>
      <c r="BL94" s="8" t="s">
        <v>1038</v>
      </c>
      <c r="BM94" s="8" t="s">
        <v>2768</v>
      </c>
      <c r="BN94" s="8" t="s">
        <v>969</v>
      </c>
      <c r="BO94" s="8" t="s">
        <v>969</v>
      </c>
      <c r="BP94" s="8" t="s">
        <v>969</v>
      </c>
      <c r="BQ94" s="8" t="s">
        <v>969</v>
      </c>
      <c r="BR94" s="8" t="s">
        <v>3344</v>
      </c>
      <c r="BS94" s="8" t="s">
        <v>2769</v>
      </c>
      <c r="BT94" s="8" t="str">
        <f>HYPERLINK("https%3A%2F%2Fwww.webofscience.com%2Fwos%2Fwoscc%2Ffull-record%2FWOS:000324486300025","View Full Record in Web of Science")</f>
        <v>View Full Record in Web of Science</v>
      </c>
    </row>
    <row r="95" ht="12.75" customHeight="1">
      <c r="A95" s="8" t="s">
        <v>967</v>
      </c>
      <c r="B95" s="8" t="s">
        <v>2641</v>
      </c>
      <c r="C95" s="8" t="s">
        <v>969</v>
      </c>
      <c r="D95" s="8" t="s">
        <v>969</v>
      </c>
      <c r="E95" s="8" t="s">
        <v>969</v>
      </c>
      <c r="F95" s="8" t="s">
        <v>2642</v>
      </c>
      <c r="G95" s="8" t="s">
        <v>969</v>
      </c>
      <c r="H95" s="8" t="s">
        <v>969</v>
      </c>
      <c r="I95" s="8" t="s">
        <v>2643</v>
      </c>
      <c r="J95" s="8" t="s">
        <v>1974</v>
      </c>
      <c r="K95" s="8" t="s">
        <v>969</v>
      </c>
      <c r="L95" s="8" t="s">
        <v>969</v>
      </c>
      <c r="M95" s="8" t="s">
        <v>972</v>
      </c>
      <c r="N95" s="8" t="s">
        <v>973</v>
      </c>
      <c r="O95" s="8" t="s">
        <v>969</v>
      </c>
      <c r="P95" s="8" t="s">
        <v>969</v>
      </c>
      <c r="Q95" s="8" t="s">
        <v>969</v>
      </c>
      <c r="R95" s="8" t="s">
        <v>969</v>
      </c>
      <c r="S95" s="8" t="s">
        <v>969</v>
      </c>
      <c r="T95" s="8" t="s">
        <v>969</v>
      </c>
      <c r="U95" s="8" t="s">
        <v>2644</v>
      </c>
      <c r="V95" s="8" t="s">
        <v>2645</v>
      </c>
      <c r="W95" s="8" t="s">
        <v>2646</v>
      </c>
      <c r="X95" s="8" t="s">
        <v>2647</v>
      </c>
      <c r="Y95" s="8" t="s">
        <v>2648</v>
      </c>
      <c r="Z95" s="8" t="s">
        <v>2649</v>
      </c>
      <c r="AA95" s="8" t="s">
        <v>3404</v>
      </c>
      <c r="AB95" s="8" t="s">
        <v>3405</v>
      </c>
      <c r="AC95" s="8" t="s">
        <v>2652</v>
      </c>
      <c r="AD95" s="8" t="s">
        <v>2653</v>
      </c>
      <c r="AE95" s="8" t="s">
        <v>2654</v>
      </c>
      <c r="AF95" s="8" t="s">
        <v>969</v>
      </c>
      <c r="AG95" s="8">
        <v>41.0</v>
      </c>
      <c r="AH95" s="8">
        <v>711.0</v>
      </c>
      <c r="AI95" s="8">
        <v>815.0</v>
      </c>
      <c r="AJ95" s="8">
        <v>3.0</v>
      </c>
      <c r="AK95" s="8">
        <v>231.0</v>
      </c>
      <c r="AL95" s="8" t="s">
        <v>1985</v>
      </c>
      <c r="AM95" s="8" t="s">
        <v>1986</v>
      </c>
      <c r="AN95" s="8" t="s">
        <v>1987</v>
      </c>
      <c r="AO95" s="8" t="s">
        <v>1988</v>
      </c>
      <c r="AP95" s="8" t="s">
        <v>969</v>
      </c>
      <c r="AQ95" s="8" t="s">
        <v>969</v>
      </c>
      <c r="AR95" s="8" t="s">
        <v>1974</v>
      </c>
      <c r="AS95" s="8" t="s">
        <v>1989</v>
      </c>
      <c r="AT95" s="8" t="s">
        <v>2655</v>
      </c>
      <c r="AU95" s="8">
        <v>2013.0</v>
      </c>
      <c r="AV95" s="8">
        <v>8.0</v>
      </c>
      <c r="AW95" s="8">
        <v>6.0</v>
      </c>
      <c r="AX95" s="8" t="s">
        <v>969</v>
      </c>
      <c r="AY95" s="8" t="s">
        <v>969</v>
      </c>
      <c r="AZ95" s="8" t="s">
        <v>969</v>
      </c>
      <c r="BA95" s="8" t="s">
        <v>969</v>
      </c>
      <c r="BB95" s="8" t="s">
        <v>969</v>
      </c>
      <c r="BC95" s="8" t="s">
        <v>969</v>
      </c>
      <c r="BD95" s="8" t="s">
        <v>2656</v>
      </c>
      <c r="BE95" s="8" t="s">
        <v>827</v>
      </c>
      <c r="BF95" s="13" t="str">
        <f>HYPERLINK("http://dx.doi.org/10.1371/journal.pone.0065427","http://dx.doi.org/10.1371/journal.pone.0065427")</f>
        <v>http://dx.doi.org/10.1371/journal.pone.0065427</v>
      </c>
      <c r="BG95" s="8" t="s">
        <v>969</v>
      </c>
      <c r="BH95" s="8" t="s">
        <v>969</v>
      </c>
      <c r="BI95" s="8">
        <v>13.0</v>
      </c>
      <c r="BJ95" s="8" t="s">
        <v>1076</v>
      </c>
      <c r="BK95" s="8" t="s">
        <v>988</v>
      </c>
      <c r="BL95" s="8" t="s">
        <v>1077</v>
      </c>
      <c r="BM95" s="8" t="s">
        <v>2657</v>
      </c>
      <c r="BN95" s="8">
        <v>2.3950785E7</v>
      </c>
      <c r="BO95" s="8" t="s">
        <v>1140</v>
      </c>
      <c r="BP95" s="8" t="s">
        <v>969</v>
      </c>
      <c r="BQ95" s="8" t="s">
        <v>969</v>
      </c>
      <c r="BR95" s="8" t="s">
        <v>3344</v>
      </c>
      <c r="BS95" s="8" t="s">
        <v>2658</v>
      </c>
      <c r="BT95" s="8" t="str">
        <f>HYPERLINK("https%3A%2F%2Fwww.webofscience.com%2Fwos%2Fwoscc%2Ffull-record%2FWOS:000320322400025","View Full Record in Web of Science")</f>
        <v>View Full Record in Web of Science</v>
      </c>
    </row>
    <row r="96" ht="12.75" customHeight="1">
      <c r="A96" s="8" t="s">
        <v>967</v>
      </c>
      <c r="B96" s="8" t="s">
        <v>1690</v>
      </c>
      <c r="C96" s="8" t="s">
        <v>969</v>
      </c>
      <c r="D96" s="8" t="s">
        <v>969</v>
      </c>
      <c r="E96" s="8" t="s">
        <v>969</v>
      </c>
      <c r="F96" s="8" t="s">
        <v>1691</v>
      </c>
      <c r="G96" s="8" t="s">
        <v>969</v>
      </c>
      <c r="H96" s="8" t="s">
        <v>969</v>
      </c>
      <c r="I96" s="8" t="s">
        <v>1692</v>
      </c>
      <c r="J96" s="8" t="s">
        <v>971</v>
      </c>
      <c r="K96" s="8" t="s">
        <v>969</v>
      </c>
      <c r="L96" s="8" t="s">
        <v>969</v>
      </c>
      <c r="M96" s="8" t="s">
        <v>972</v>
      </c>
      <c r="N96" s="8" t="s">
        <v>973</v>
      </c>
      <c r="O96" s="8" t="s">
        <v>969</v>
      </c>
      <c r="P96" s="8" t="s">
        <v>969</v>
      </c>
      <c r="Q96" s="8" t="s">
        <v>969</v>
      </c>
      <c r="R96" s="8" t="s">
        <v>969</v>
      </c>
      <c r="S96" s="8" t="s">
        <v>969</v>
      </c>
      <c r="T96" s="8" t="s">
        <v>1693</v>
      </c>
      <c r="U96" s="8" t="s">
        <v>1694</v>
      </c>
      <c r="V96" s="8" t="s">
        <v>1695</v>
      </c>
      <c r="W96" s="8" t="s">
        <v>1696</v>
      </c>
      <c r="X96" s="8" t="s">
        <v>1697</v>
      </c>
      <c r="Y96" s="8" t="s">
        <v>1107</v>
      </c>
      <c r="Z96" s="8" t="s">
        <v>1698</v>
      </c>
      <c r="AA96" s="8" t="s">
        <v>3269</v>
      </c>
      <c r="AB96" s="8" t="s">
        <v>3270</v>
      </c>
      <c r="AC96" s="8" t="s">
        <v>969</v>
      </c>
      <c r="AD96" s="8" t="s">
        <v>969</v>
      </c>
      <c r="AE96" s="8" t="s">
        <v>969</v>
      </c>
      <c r="AF96" s="8" t="s">
        <v>969</v>
      </c>
      <c r="AG96" s="8">
        <v>77.0</v>
      </c>
      <c r="AH96" s="8">
        <v>154.0</v>
      </c>
      <c r="AI96" s="8">
        <v>187.0</v>
      </c>
      <c r="AJ96" s="8">
        <v>1.0</v>
      </c>
      <c r="AK96" s="8">
        <v>86.0</v>
      </c>
      <c r="AL96" s="8" t="s">
        <v>1010</v>
      </c>
      <c r="AM96" s="8" t="s">
        <v>1092</v>
      </c>
      <c r="AN96" s="8" t="s">
        <v>1093</v>
      </c>
      <c r="AO96" s="8" t="s">
        <v>983</v>
      </c>
      <c r="AP96" s="8" t="s">
        <v>1094</v>
      </c>
      <c r="AQ96" s="8" t="s">
        <v>969</v>
      </c>
      <c r="AR96" s="8" t="s">
        <v>1095</v>
      </c>
      <c r="AS96" s="8" t="s">
        <v>985</v>
      </c>
      <c r="AT96" s="8" t="s">
        <v>1096</v>
      </c>
      <c r="AU96" s="8">
        <v>2007.0</v>
      </c>
      <c r="AV96" s="8">
        <v>13.0</v>
      </c>
      <c r="AW96" s="8">
        <v>7.0</v>
      </c>
      <c r="AX96" s="8" t="s">
        <v>969</v>
      </c>
      <c r="AY96" s="8" t="s">
        <v>969</v>
      </c>
      <c r="AZ96" s="8" t="s">
        <v>969</v>
      </c>
      <c r="BA96" s="8" t="s">
        <v>969</v>
      </c>
      <c r="BB96" s="8">
        <v>1368.0</v>
      </c>
      <c r="BC96" s="8">
        <v>1385.0</v>
      </c>
      <c r="BD96" s="8" t="s">
        <v>969</v>
      </c>
      <c r="BE96" s="8" t="s">
        <v>698</v>
      </c>
      <c r="BF96" s="13" t="str">
        <f>HYPERLINK("http://dx.doi.org/10.1111/j.1365-2486.2007.01357.x","http://dx.doi.org/10.1111/j.1365-2486.2007.01357.x")</f>
        <v>http://dx.doi.org/10.1111/j.1365-2486.2007.01357.x</v>
      </c>
      <c r="BG96" s="8" t="s">
        <v>969</v>
      </c>
      <c r="BH96" s="8" t="s">
        <v>969</v>
      </c>
      <c r="BI96" s="8">
        <v>18.0</v>
      </c>
      <c r="BJ96" s="8" t="s">
        <v>987</v>
      </c>
      <c r="BK96" s="8" t="s">
        <v>988</v>
      </c>
      <c r="BL96" s="8" t="s">
        <v>989</v>
      </c>
      <c r="BM96" s="8" t="s">
        <v>1701</v>
      </c>
      <c r="BN96" s="8" t="s">
        <v>969</v>
      </c>
      <c r="BO96" s="8" t="s">
        <v>969</v>
      </c>
      <c r="BP96" s="8" t="s">
        <v>969</v>
      </c>
      <c r="BQ96" s="8" t="s">
        <v>969</v>
      </c>
      <c r="BR96" s="8" t="s">
        <v>3344</v>
      </c>
      <c r="BS96" s="8" t="s">
        <v>1702</v>
      </c>
      <c r="BT96" s="8" t="str">
        <f>HYPERLINK("https%3A%2F%2Fwww.webofscience.com%2Fwos%2Fwoscc%2Ffull-record%2FWOS:000248945800007","View Full Record in Web of Science")</f>
        <v>View Full Record in Web of Science</v>
      </c>
    </row>
    <row r="97" ht="12.75" customHeight="1">
      <c r="A97" s="8" t="s">
        <v>967</v>
      </c>
      <c r="B97" s="8" t="s">
        <v>1250</v>
      </c>
      <c r="C97" s="8" t="s">
        <v>969</v>
      </c>
      <c r="D97" s="8" t="s">
        <v>969</v>
      </c>
      <c r="E97" s="8" t="s">
        <v>969</v>
      </c>
      <c r="F97" s="8" t="s">
        <v>1250</v>
      </c>
      <c r="G97" s="8" t="s">
        <v>969</v>
      </c>
      <c r="H97" s="8" t="s">
        <v>969</v>
      </c>
      <c r="I97" s="8" t="s">
        <v>1251</v>
      </c>
      <c r="J97" s="8" t="s">
        <v>1252</v>
      </c>
      <c r="K97" s="8" t="s">
        <v>969</v>
      </c>
      <c r="L97" s="8" t="s">
        <v>969</v>
      </c>
      <c r="M97" s="8" t="s">
        <v>972</v>
      </c>
      <c r="N97" s="8" t="s">
        <v>973</v>
      </c>
      <c r="O97" s="8" t="s">
        <v>969</v>
      </c>
      <c r="P97" s="8" t="s">
        <v>969</v>
      </c>
      <c r="Q97" s="8" t="s">
        <v>969</v>
      </c>
      <c r="R97" s="8" t="s">
        <v>969</v>
      </c>
      <c r="S97" s="8" t="s">
        <v>969</v>
      </c>
      <c r="T97" s="8" t="s">
        <v>1253</v>
      </c>
      <c r="U97" s="8" t="s">
        <v>1254</v>
      </c>
      <c r="V97" s="8" t="s">
        <v>1255</v>
      </c>
      <c r="W97" s="8" t="s">
        <v>1256</v>
      </c>
      <c r="X97" s="8" t="s">
        <v>1220</v>
      </c>
      <c r="Y97" s="8" t="s">
        <v>1257</v>
      </c>
      <c r="Z97" s="8" t="s">
        <v>1258</v>
      </c>
      <c r="AA97" s="8" t="s">
        <v>969</v>
      </c>
      <c r="AB97" s="8" t="s">
        <v>1259</v>
      </c>
      <c r="AC97" s="8" t="s">
        <v>969</v>
      </c>
      <c r="AD97" s="8" t="s">
        <v>969</v>
      </c>
      <c r="AE97" s="8" t="s">
        <v>969</v>
      </c>
      <c r="AF97" s="8" t="s">
        <v>969</v>
      </c>
      <c r="AG97" s="8">
        <v>49.0</v>
      </c>
      <c r="AH97" s="8">
        <v>47.0</v>
      </c>
      <c r="AI97" s="8">
        <v>60.0</v>
      </c>
      <c r="AJ97" s="8">
        <v>2.0</v>
      </c>
      <c r="AK97" s="8">
        <v>70.0</v>
      </c>
      <c r="AL97" s="8" t="s">
        <v>1260</v>
      </c>
      <c r="AM97" s="8" t="s">
        <v>1261</v>
      </c>
      <c r="AN97" s="8" t="s">
        <v>1262</v>
      </c>
      <c r="AO97" s="8" t="s">
        <v>1263</v>
      </c>
      <c r="AP97" s="8" t="s">
        <v>969</v>
      </c>
      <c r="AQ97" s="8" t="s">
        <v>969</v>
      </c>
      <c r="AR97" s="8" t="s">
        <v>1264</v>
      </c>
      <c r="AS97" s="8" t="s">
        <v>1265</v>
      </c>
      <c r="AT97" s="8" t="s">
        <v>1266</v>
      </c>
      <c r="AU97" s="8">
        <v>2004.0</v>
      </c>
      <c r="AV97" s="8">
        <v>174.0</v>
      </c>
      <c r="AW97" s="8">
        <v>4.0</v>
      </c>
      <c r="AX97" s="8" t="s">
        <v>969</v>
      </c>
      <c r="AY97" s="8" t="s">
        <v>969</v>
      </c>
      <c r="AZ97" s="8" t="s">
        <v>969</v>
      </c>
      <c r="BA97" s="8" t="s">
        <v>969</v>
      </c>
      <c r="BB97" s="8">
        <v>347.0</v>
      </c>
      <c r="BC97" s="8">
        <v>357.0</v>
      </c>
      <c r="BD97" s="8" t="s">
        <v>969</v>
      </c>
      <c r="BE97" s="8" t="s">
        <v>557</v>
      </c>
      <c r="BF97" s="13" t="str">
        <f>HYPERLINK("http://dx.doi.org/10.1016/j.ecolmodel.2003.07.012","http://dx.doi.org/10.1016/j.ecolmodel.2003.07.012")</f>
        <v>http://dx.doi.org/10.1016/j.ecolmodel.2003.07.012</v>
      </c>
      <c r="BG97" s="8" t="s">
        <v>969</v>
      </c>
      <c r="BH97" s="8" t="s">
        <v>969</v>
      </c>
      <c r="BI97" s="8">
        <v>11.0</v>
      </c>
      <c r="BJ97" s="8" t="s">
        <v>1267</v>
      </c>
      <c r="BK97" s="8" t="s">
        <v>988</v>
      </c>
      <c r="BL97" s="8" t="s">
        <v>1268</v>
      </c>
      <c r="BM97" s="8" t="s">
        <v>1269</v>
      </c>
      <c r="BN97" s="8" t="s">
        <v>969</v>
      </c>
      <c r="BO97" s="8" t="s">
        <v>969</v>
      </c>
      <c r="BP97" s="8" t="s">
        <v>969</v>
      </c>
      <c r="BQ97" s="8" t="s">
        <v>969</v>
      </c>
      <c r="BR97" s="8" t="s">
        <v>3344</v>
      </c>
      <c r="BS97" s="8" t="s">
        <v>1270</v>
      </c>
      <c r="BT97" s="8" t="str">
        <f>HYPERLINK("https%3A%2F%2Fwww.webofscience.com%2Fwos%2Fwoscc%2Ffull-record%2FWOS:000221284100002","View Full Record in Web of Science")</f>
        <v>View Full Record in Web of Science</v>
      </c>
    </row>
    <row r="98" ht="12.75" customHeight="1">
      <c r="A98" s="8" t="s">
        <v>967</v>
      </c>
      <c r="B98" s="8" t="s">
        <v>1912</v>
      </c>
      <c r="C98" s="8" t="s">
        <v>969</v>
      </c>
      <c r="D98" s="8" t="s">
        <v>969</v>
      </c>
      <c r="E98" s="8" t="s">
        <v>969</v>
      </c>
      <c r="F98" s="8" t="s">
        <v>1913</v>
      </c>
      <c r="G98" s="8" t="s">
        <v>969</v>
      </c>
      <c r="H98" s="8" t="s">
        <v>969</v>
      </c>
      <c r="I98" s="8" t="s">
        <v>1914</v>
      </c>
      <c r="J98" s="8" t="s">
        <v>971</v>
      </c>
      <c r="K98" s="8" t="s">
        <v>969</v>
      </c>
      <c r="L98" s="8" t="s">
        <v>969</v>
      </c>
      <c r="M98" s="8" t="s">
        <v>972</v>
      </c>
      <c r="N98" s="8" t="s">
        <v>973</v>
      </c>
      <c r="O98" s="8" t="s">
        <v>969</v>
      </c>
      <c r="P98" s="8" t="s">
        <v>969</v>
      </c>
      <c r="Q98" s="8" t="s">
        <v>969</v>
      </c>
      <c r="R98" s="8" t="s">
        <v>969</v>
      </c>
      <c r="S98" s="8" t="s">
        <v>969</v>
      </c>
      <c r="T98" s="8" t="s">
        <v>1915</v>
      </c>
      <c r="U98" s="8" t="s">
        <v>1916</v>
      </c>
      <c r="V98" s="8" t="s">
        <v>1917</v>
      </c>
      <c r="W98" s="8" t="s">
        <v>1918</v>
      </c>
      <c r="X98" s="8" t="s">
        <v>1919</v>
      </c>
      <c r="Y98" s="8" t="s">
        <v>1920</v>
      </c>
      <c r="Z98" s="8" t="s">
        <v>1921</v>
      </c>
      <c r="AA98" s="8" t="s">
        <v>969</v>
      </c>
      <c r="AB98" s="8" t="s">
        <v>1922</v>
      </c>
      <c r="AC98" s="8" t="s">
        <v>969</v>
      </c>
      <c r="AD98" s="8" t="s">
        <v>969</v>
      </c>
      <c r="AE98" s="8" t="s">
        <v>969</v>
      </c>
      <c r="AF98" s="8" t="s">
        <v>969</v>
      </c>
      <c r="AG98" s="8">
        <v>88.0</v>
      </c>
      <c r="AH98" s="8">
        <v>293.0</v>
      </c>
      <c r="AI98" s="8">
        <v>341.0</v>
      </c>
      <c r="AJ98" s="8">
        <v>3.0</v>
      </c>
      <c r="AK98" s="8">
        <v>142.0</v>
      </c>
      <c r="AL98" s="8" t="s">
        <v>1091</v>
      </c>
      <c r="AM98" s="8" t="s">
        <v>1092</v>
      </c>
      <c r="AN98" s="8" t="s">
        <v>1093</v>
      </c>
      <c r="AO98" s="8" t="s">
        <v>983</v>
      </c>
      <c r="AP98" s="8" t="s">
        <v>1094</v>
      </c>
      <c r="AQ98" s="8" t="s">
        <v>969</v>
      </c>
      <c r="AR98" s="8" t="s">
        <v>1095</v>
      </c>
      <c r="AS98" s="8" t="s">
        <v>985</v>
      </c>
      <c r="AT98" s="8" t="s">
        <v>1211</v>
      </c>
      <c r="AU98" s="8">
        <v>2008.0</v>
      </c>
      <c r="AV98" s="8">
        <v>14.0</v>
      </c>
      <c r="AW98" s="8">
        <v>8.0</v>
      </c>
      <c r="AX98" s="8" t="s">
        <v>969</v>
      </c>
      <c r="AY98" s="8" t="s">
        <v>969</v>
      </c>
      <c r="AZ98" s="8" t="s">
        <v>969</v>
      </c>
      <c r="BA98" s="8" t="s">
        <v>969</v>
      </c>
      <c r="BB98" s="8">
        <v>1703.0</v>
      </c>
      <c r="BC98" s="8">
        <v>1720.0</v>
      </c>
      <c r="BD98" s="8" t="s">
        <v>969</v>
      </c>
      <c r="BE98" s="8" t="s">
        <v>710</v>
      </c>
      <c r="BF98" s="13" t="str">
        <f>HYPERLINK("http://dx.doi.org/10.1111/j.1365-2486.2008.01596.x","http://dx.doi.org/10.1111/j.1365-2486.2008.01596.x")</f>
        <v>http://dx.doi.org/10.1111/j.1365-2486.2008.01596.x</v>
      </c>
      <c r="BG98" s="8" t="s">
        <v>969</v>
      </c>
      <c r="BH98" s="8" t="s">
        <v>969</v>
      </c>
      <c r="BI98" s="8">
        <v>18.0</v>
      </c>
      <c r="BJ98" s="8" t="s">
        <v>987</v>
      </c>
      <c r="BK98" s="8" t="s">
        <v>988</v>
      </c>
      <c r="BL98" s="8" t="s">
        <v>989</v>
      </c>
      <c r="BM98" s="8" t="s">
        <v>1923</v>
      </c>
      <c r="BN98" s="8" t="s">
        <v>969</v>
      </c>
      <c r="BO98" s="8" t="s">
        <v>1924</v>
      </c>
      <c r="BP98" s="8" t="s">
        <v>969</v>
      </c>
      <c r="BQ98" s="8" t="s">
        <v>969</v>
      </c>
      <c r="BR98" s="8" t="s">
        <v>3344</v>
      </c>
      <c r="BS98" s="8" t="s">
        <v>1925</v>
      </c>
      <c r="BT98" s="8" t="str">
        <f>HYPERLINK("https%3A%2F%2Fwww.webofscience.com%2Fwos%2Fwoscc%2Ffull-record%2FWOS:000257712400001","View Full Record in Web of Science")</f>
        <v>View Full Record in Web of Science</v>
      </c>
    </row>
    <row r="99" ht="12.75" customHeight="1">
      <c r="A99" s="8" t="s">
        <v>967</v>
      </c>
      <c r="B99" s="8" t="s">
        <v>1357</v>
      </c>
      <c r="C99" s="8" t="s">
        <v>969</v>
      </c>
      <c r="D99" s="8" t="s">
        <v>969</v>
      </c>
      <c r="E99" s="8" t="s">
        <v>969</v>
      </c>
      <c r="F99" s="8" t="s">
        <v>1357</v>
      </c>
      <c r="G99" s="8" t="s">
        <v>969</v>
      </c>
      <c r="H99" s="8" t="s">
        <v>969</v>
      </c>
      <c r="I99" s="8" t="s">
        <v>1358</v>
      </c>
      <c r="J99" s="8" t="s">
        <v>1359</v>
      </c>
      <c r="K99" s="8" t="s">
        <v>969</v>
      </c>
      <c r="L99" s="8" t="s">
        <v>969</v>
      </c>
      <c r="M99" s="8" t="s">
        <v>972</v>
      </c>
      <c r="N99" s="8" t="s">
        <v>973</v>
      </c>
      <c r="O99" s="8" t="s">
        <v>969</v>
      </c>
      <c r="P99" s="8" t="s">
        <v>969</v>
      </c>
      <c r="Q99" s="8" t="s">
        <v>969</v>
      </c>
      <c r="R99" s="8" t="s">
        <v>969</v>
      </c>
      <c r="S99" s="8" t="s">
        <v>969</v>
      </c>
      <c r="T99" s="8" t="s">
        <v>1360</v>
      </c>
      <c r="U99" s="8" t="s">
        <v>1361</v>
      </c>
      <c r="V99" s="8" t="s">
        <v>1362</v>
      </c>
      <c r="W99" s="8" t="s">
        <v>1363</v>
      </c>
      <c r="X99" s="8" t="s">
        <v>1364</v>
      </c>
      <c r="Y99" s="8" t="s">
        <v>1365</v>
      </c>
      <c r="Z99" s="8" t="s">
        <v>1366</v>
      </c>
      <c r="AA99" s="8" t="s">
        <v>3406</v>
      </c>
      <c r="AB99" s="8" t="s">
        <v>3407</v>
      </c>
      <c r="AC99" s="8" t="s">
        <v>969</v>
      </c>
      <c r="AD99" s="8" t="s">
        <v>969</v>
      </c>
      <c r="AE99" s="8" t="s">
        <v>969</v>
      </c>
      <c r="AF99" s="8" t="s">
        <v>969</v>
      </c>
      <c r="AG99" s="8">
        <v>51.0</v>
      </c>
      <c r="AH99" s="8">
        <v>45.0</v>
      </c>
      <c r="AI99" s="8">
        <v>61.0</v>
      </c>
      <c r="AJ99" s="8">
        <v>2.0</v>
      </c>
      <c r="AK99" s="8">
        <v>35.0</v>
      </c>
      <c r="AL99" s="8" t="s">
        <v>1091</v>
      </c>
      <c r="AM99" s="8" t="s">
        <v>1092</v>
      </c>
      <c r="AN99" s="8" t="s">
        <v>1093</v>
      </c>
      <c r="AO99" s="8" t="s">
        <v>1369</v>
      </c>
      <c r="AP99" s="8" t="s">
        <v>1370</v>
      </c>
      <c r="AQ99" s="8" t="s">
        <v>969</v>
      </c>
      <c r="AR99" s="8" t="s">
        <v>1359</v>
      </c>
      <c r="AS99" s="8" t="s">
        <v>1371</v>
      </c>
      <c r="AT99" s="8" t="s">
        <v>1285</v>
      </c>
      <c r="AU99" s="8">
        <v>2005.0</v>
      </c>
      <c r="AV99" s="8">
        <v>37.0</v>
      </c>
      <c r="AW99" s="8">
        <v>2.0</v>
      </c>
      <c r="AX99" s="8" t="s">
        <v>969</v>
      </c>
      <c r="AY99" s="8" t="s">
        <v>969</v>
      </c>
      <c r="AZ99" s="8" t="s">
        <v>969</v>
      </c>
      <c r="BA99" s="8" t="s">
        <v>969</v>
      </c>
      <c r="BB99" s="8">
        <v>202.0</v>
      </c>
      <c r="BC99" s="8">
        <v>208.0</v>
      </c>
      <c r="BD99" s="8" t="s">
        <v>969</v>
      </c>
      <c r="BE99" s="8" t="s">
        <v>785</v>
      </c>
      <c r="BF99" s="13" t="str">
        <f>HYPERLINK("http://dx.doi.org/10.1111/j.1744-7429.2005.00027.x","http://dx.doi.org/10.1111/j.1744-7429.2005.00027.x")</f>
        <v>http://dx.doi.org/10.1111/j.1744-7429.2005.00027.x</v>
      </c>
      <c r="BG99" s="8" t="s">
        <v>969</v>
      </c>
      <c r="BH99" s="8" t="s">
        <v>969</v>
      </c>
      <c r="BI99" s="8">
        <v>7.0</v>
      </c>
      <c r="BJ99" s="8" t="s">
        <v>1267</v>
      </c>
      <c r="BK99" s="8" t="s">
        <v>988</v>
      </c>
      <c r="BL99" s="8" t="s">
        <v>1268</v>
      </c>
      <c r="BM99" s="8" t="s">
        <v>1372</v>
      </c>
      <c r="BN99" s="8" t="s">
        <v>969</v>
      </c>
      <c r="BO99" s="8" t="s">
        <v>969</v>
      </c>
      <c r="BP99" s="8" t="s">
        <v>969</v>
      </c>
      <c r="BQ99" s="8" t="s">
        <v>969</v>
      </c>
      <c r="BR99" s="8" t="s">
        <v>3344</v>
      </c>
      <c r="BS99" s="8" t="s">
        <v>1373</v>
      </c>
      <c r="BT99" s="8" t="str">
        <f>HYPERLINK("https%3A%2F%2Fwww.webofscience.com%2Fwos%2Fwoscc%2Ffull-record%2FWOS:000229355500007","View Full Record in Web of Science")</f>
        <v>View Full Record in Web of Science</v>
      </c>
    </row>
    <row r="100" ht="12.75" customHeight="1">
      <c r="A100" s="8" t="s">
        <v>967</v>
      </c>
      <c r="B100" s="8" t="s">
        <v>1289</v>
      </c>
      <c r="C100" s="8" t="s">
        <v>969</v>
      </c>
      <c r="D100" s="8" t="s">
        <v>969</v>
      </c>
      <c r="E100" s="8" t="s">
        <v>969</v>
      </c>
      <c r="F100" s="8" t="s">
        <v>1289</v>
      </c>
      <c r="G100" s="8" t="s">
        <v>969</v>
      </c>
      <c r="H100" s="8" t="s">
        <v>969</v>
      </c>
      <c r="I100" s="8" t="s">
        <v>1290</v>
      </c>
      <c r="J100" s="8" t="s">
        <v>971</v>
      </c>
      <c r="K100" s="8" t="s">
        <v>969</v>
      </c>
      <c r="L100" s="8" t="s">
        <v>969</v>
      </c>
      <c r="M100" s="8" t="s">
        <v>972</v>
      </c>
      <c r="N100" s="8" t="s">
        <v>973</v>
      </c>
      <c r="O100" s="8" t="s">
        <v>969</v>
      </c>
      <c r="P100" s="8" t="s">
        <v>969</v>
      </c>
      <c r="Q100" s="8" t="s">
        <v>969</v>
      </c>
      <c r="R100" s="8" t="s">
        <v>969</v>
      </c>
      <c r="S100" s="8" t="s">
        <v>969</v>
      </c>
      <c r="T100" s="8" t="s">
        <v>1291</v>
      </c>
      <c r="U100" s="8" t="s">
        <v>1292</v>
      </c>
      <c r="V100" s="8" t="s">
        <v>1293</v>
      </c>
      <c r="W100" s="8" t="s">
        <v>1294</v>
      </c>
      <c r="X100" s="8" t="s">
        <v>1295</v>
      </c>
      <c r="Y100" s="8" t="s">
        <v>1296</v>
      </c>
      <c r="Z100" s="8" t="s">
        <v>1297</v>
      </c>
      <c r="AA100" s="8" t="s">
        <v>3408</v>
      </c>
      <c r="AB100" s="8" t="s">
        <v>3409</v>
      </c>
      <c r="AC100" s="8" t="s">
        <v>969</v>
      </c>
      <c r="AD100" s="8" t="s">
        <v>969</v>
      </c>
      <c r="AE100" s="8" t="s">
        <v>969</v>
      </c>
      <c r="AF100" s="8" t="s">
        <v>969</v>
      </c>
      <c r="AG100" s="8">
        <v>69.0</v>
      </c>
      <c r="AH100" s="8">
        <v>551.0</v>
      </c>
      <c r="AI100" s="8">
        <v>646.0</v>
      </c>
      <c r="AJ100" s="8">
        <v>3.0</v>
      </c>
      <c r="AK100" s="8">
        <v>202.0</v>
      </c>
      <c r="AL100" s="8" t="s">
        <v>1091</v>
      </c>
      <c r="AM100" s="8" t="s">
        <v>1092</v>
      </c>
      <c r="AN100" s="8" t="s">
        <v>1093</v>
      </c>
      <c r="AO100" s="8" t="s">
        <v>983</v>
      </c>
      <c r="AP100" s="8" t="s">
        <v>1094</v>
      </c>
      <c r="AQ100" s="8" t="s">
        <v>969</v>
      </c>
      <c r="AR100" s="8" t="s">
        <v>1095</v>
      </c>
      <c r="AS100" s="8" t="s">
        <v>985</v>
      </c>
      <c r="AT100" s="8" t="s">
        <v>1300</v>
      </c>
      <c r="AU100" s="8">
        <v>2004.0</v>
      </c>
      <c r="AV100" s="8">
        <v>10.0</v>
      </c>
      <c r="AW100" s="8">
        <v>9.0</v>
      </c>
      <c r="AX100" s="8" t="s">
        <v>969</v>
      </c>
      <c r="AY100" s="8" t="s">
        <v>969</v>
      </c>
      <c r="AZ100" s="8" t="s">
        <v>969</v>
      </c>
      <c r="BA100" s="8" t="s">
        <v>969</v>
      </c>
      <c r="BB100" s="8">
        <v>1618.0</v>
      </c>
      <c r="BC100" s="8">
        <v>1626.0</v>
      </c>
      <c r="BD100" s="8" t="s">
        <v>969</v>
      </c>
      <c r="BE100" s="8" t="s">
        <v>683</v>
      </c>
      <c r="BF100" s="13" t="str">
        <f>HYPERLINK("http://dx.doi.org/10.1111/j.1365-2486.2004.00828.x","http://dx.doi.org/10.1111/j.1365-2486.2004.00828.x")</f>
        <v>http://dx.doi.org/10.1111/j.1365-2486.2004.00828.x</v>
      </c>
      <c r="BG100" s="8" t="s">
        <v>969</v>
      </c>
      <c r="BH100" s="8" t="s">
        <v>969</v>
      </c>
      <c r="BI100" s="8">
        <v>9.0</v>
      </c>
      <c r="BJ100" s="8" t="s">
        <v>987</v>
      </c>
      <c r="BK100" s="8" t="s">
        <v>988</v>
      </c>
      <c r="BL100" s="8" t="s">
        <v>989</v>
      </c>
      <c r="BM100" s="8" t="s">
        <v>1301</v>
      </c>
      <c r="BN100" s="8" t="s">
        <v>969</v>
      </c>
      <c r="BO100" s="8" t="s">
        <v>969</v>
      </c>
      <c r="BP100" s="8" t="s">
        <v>969</v>
      </c>
      <c r="BQ100" s="8" t="s">
        <v>969</v>
      </c>
      <c r="BR100" s="8" t="s">
        <v>3344</v>
      </c>
      <c r="BS100" s="8" t="s">
        <v>1302</v>
      </c>
      <c r="BT100" s="8" t="str">
        <f>HYPERLINK("https%3A%2F%2Fwww.webofscience.com%2Fwos%2Fwoscc%2Ffull-record%2FWOS:000223817000017","View Full Record in Web of Science")</f>
        <v>View Full Record in Web of Science</v>
      </c>
    </row>
    <row r="101" ht="12.75" customHeight="1">
      <c r="A101" s="8" t="s">
        <v>967</v>
      </c>
      <c r="B101" s="8" t="s">
        <v>2622</v>
      </c>
      <c r="C101" s="8" t="s">
        <v>969</v>
      </c>
      <c r="D101" s="8" t="s">
        <v>969</v>
      </c>
      <c r="E101" s="8" t="s">
        <v>969</v>
      </c>
      <c r="F101" s="8" t="s">
        <v>2623</v>
      </c>
      <c r="G101" s="8" t="s">
        <v>969</v>
      </c>
      <c r="H101" s="8" t="s">
        <v>969</v>
      </c>
      <c r="I101" s="8" t="s">
        <v>2624</v>
      </c>
      <c r="J101" s="8" t="s">
        <v>2625</v>
      </c>
      <c r="K101" s="8" t="s">
        <v>969</v>
      </c>
      <c r="L101" s="8" t="s">
        <v>969</v>
      </c>
      <c r="M101" s="8" t="s">
        <v>972</v>
      </c>
      <c r="N101" s="8" t="s">
        <v>973</v>
      </c>
      <c r="O101" s="8" t="s">
        <v>969</v>
      </c>
      <c r="P101" s="8" t="s">
        <v>969</v>
      </c>
      <c r="Q101" s="8" t="s">
        <v>969</v>
      </c>
      <c r="R101" s="8" t="s">
        <v>969</v>
      </c>
      <c r="S101" s="8" t="s">
        <v>969</v>
      </c>
      <c r="T101" s="8" t="s">
        <v>2626</v>
      </c>
      <c r="U101" s="8" t="s">
        <v>2627</v>
      </c>
      <c r="V101" s="8" t="s">
        <v>2628</v>
      </c>
      <c r="W101" s="8" t="s">
        <v>2629</v>
      </c>
      <c r="X101" s="8" t="s">
        <v>2630</v>
      </c>
      <c r="Y101" s="8" t="s">
        <v>2631</v>
      </c>
      <c r="Z101" s="8" t="s">
        <v>2632</v>
      </c>
      <c r="AA101" s="8" t="s">
        <v>3410</v>
      </c>
      <c r="AB101" s="8" t="s">
        <v>3332</v>
      </c>
      <c r="AC101" s="8" t="s">
        <v>969</v>
      </c>
      <c r="AD101" s="8" t="s">
        <v>969</v>
      </c>
      <c r="AE101" s="8" t="s">
        <v>969</v>
      </c>
      <c r="AF101" s="8" t="s">
        <v>969</v>
      </c>
      <c r="AG101" s="8">
        <v>67.0</v>
      </c>
      <c r="AH101" s="8">
        <v>222.0</v>
      </c>
      <c r="AI101" s="8">
        <v>263.0</v>
      </c>
      <c r="AJ101" s="8">
        <v>2.0</v>
      </c>
      <c r="AK101" s="8">
        <v>133.0</v>
      </c>
      <c r="AL101" s="8" t="s">
        <v>1813</v>
      </c>
      <c r="AM101" s="8" t="s">
        <v>1261</v>
      </c>
      <c r="AN101" s="8" t="s">
        <v>1814</v>
      </c>
      <c r="AO101" s="8" t="s">
        <v>2635</v>
      </c>
      <c r="AP101" s="8" t="s">
        <v>2636</v>
      </c>
      <c r="AQ101" s="8" t="s">
        <v>969</v>
      </c>
      <c r="AR101" s="8" t="s">
        <v>2637</v>
      </c>
      <c r="AS101" s="8" t="s">
        <v>2638</v>
      </c>
      <c r="AT101" s="8" t="s">
        <v>1177</v>
      </c>
      <c r="AU101" s="8">
        <v>2013.0</v>
      </c>
      <c r="AV101" s="8">
        <v>49.0</v>
      </c>
      <c r="AW101" s="8" t="s">
        <v>969</v>
      </c>
      <c r="AX101" s="8" t="s">
        <v>969</v>
      </c>
      <c r="AY101" s="8" t="s">
        <v>969</v>
      </c>
      <c r="AZ101" s="8" t="s">
        <v>969</v>
      </c>
      <c r="BA101" s="8" t="s">
        <v>969</v>
      </c>
      <c r="BB101" s="8">
        <v>23.0</v>
      </c>
      <c r="BC101" s="8">
        <v>31.0</v>
      </c>
      <c r="BD101" s="8" t="s">
        <v>969</v>
      </c>
      <c r="BE101" s="8" t="s">
        <v>542</v>
      </c>
      <c r="BF101" s="13" t="str">
        <f>HYPERLINK("http://dx.doi.org/10.1016/j.actao.2013.02.007","http://dx.doi.org/10.1016/j.actao.2013.02.007")</f>
        <v>http://dx.doi.org/10.1016/j.actao.2013.02.007</v>
      </c>
      <c r="BG101" s="8" t="s">
        <v>969</v>
      </c>
      <c r="BH101" s="8" t="s">
        <v>969</v>
      </c>
      <c r="BI101" s="8">
        <v>9.0</v>
      </c>
      <c r="BJ101" s="8" t="s">
        <v>1267</v>
      </c>
      <c r="BK101" s="8" t="s">
        <v>988</v>
      </c>
      <c r="BL101" s="8" t="s">
        <v>1268</v>
      </c>
      <c r="BM101" s="8" t="s">
        <v>2639</v>
      </c>
      <c r="BN101" s="8" t="s">
        <v>969</v>
      </c>
      <c r="BO101" s="8" t="s">
        <v>969</v>
      </c>
      <c r="BP101" s="8" t="s">
        <v>969</v>
      </c>
      <c r="BQ101" s="8" t="s">
        <v>969</v>
      </c>
      <c r="BR101" s="8" t="s">
        <v>3344</v>
      </c>
      <c r="BS101" s="8" t="s">
        <v>2640</v>
      </c>
      <c r="BT101" s="8" t="str">
        <f>HYPERLINK("https%3A%2F%2Fwww.webofscience.com%2Fwos%2Fwoscc%2Ffull-record%2FWOS:000319538700005","View Full Record in Web of Science")</f>
        <v>View Full Record in Web of Science</v>
      </c>
    </row>
    <row r="102" ht="12.75" customHeight="1">
      <c r="A102" s="8" t="s">
        <v>967</v>
      </c>
      <c r="B102" s="8" t="s">
        <v>2355</v>
      </c>
      <c r="C102" s="8" t="s">
        <v>969</v>
      </c>
      <c r="D102" s="8" t="s">
        <v>969</v>
      </c>
      <c r="E102" s="8" t="s">
        <v>969</v>
      </c>
      <c r="F102" s="8" t="s">
        <v>2356</v>
      </c>
      <c r="G102" s="8" t="s">
        <v>969</v>
      </c>
      <c r="H102" s="8" t="s">
        <v>969</v>
      </c>
      <c r="I102" s="8" t="s">
        <v>2357</v>
      </c>
      <c r="J102" s="8" t="s">
        <v>2358</v>
      </c>
      <c r="K102" s="8" t="s">
        <v>969</v>
      </c>
      <c r="L102" s="8" t="s">
        <v>969</v>
      </c>
      <c r="M102" s="8" t="s">
        <v>972</v>
      </c>
      <c r="N102" s="8" t="s">
        <v>973</v>
      </c>
      <c r="O102" s="8" t="s">
        <v>969</v>
      </c>
      <c r="P102" s="8" t="s">
        <v>969</v>
      </c>
      <c r="Q102" s="8" t="s">
        <v>969</v>
      </c>
      <c r="R102" s="8" t="s">
        <v>969</v>
      </c>
      <c r="S102" s="8" t="s">
        <v>969</v>
      </c>
      <c r="T102" s="8" t="s">
        <v>969</v>
      </c>
      <c r="U102" s="8" t="s">
        <v>2359</v>
      </c>
      <c r="V102" s="8" t="s">
        <v>2360</v>
      </c>
      <c r="W102" s="8" t="s">
        <v>2361</v>
      </c>
      <c r="X102" s="8" t="s">
        <v>2362</v>
      </c>
      <c r="Y102" s="8" t="s">
        <v>2363</v>
      </c>
      <c r="Z102" s="8" t="s">
        <v>2364</v>
      </c>
      <c r="AA102" s="8" t="s">
        <v>3273</v>
      </c>
      <c r="AB102" s="8" t="s">
        <v>3274</v>
      </c>
      <c r="AC102" s="8" t="s">
        <v>2367</v>
      </c>
      <c r="AD102" s="8" t="s">
        <v>2367</v>
      </c>
      <c r="AE102" s="8" t="s">
        <v>2368</v>
      </c>
      <c r="AF102" s="8" t="s">
        <v>969</v>
      </c>
      <c r="AG102" s="8">
        <v>30.0</v>
      </c>
      <c r="AH102" s="8">
        <v>312.0</v>
      </c>
      <c r="AI102" s="8">
        <v>334.0</v>
      </c>
      <c r="AJ102" s="8">
        <v>4.0</v>
      </c>
      <c r="AK102" s="8">
        <v>253.0</v>
      </c>
      <c r="AL102" s="8" t="s">
        <v>1070</v>
      </c>
      <c r="AM102" s="8" t="s">
        <v>1071</v>
      </c>
      <c r="AN102" s="8" t="s">
        <v>1072</v>
      </c>
      <c r="AO102" s="8" t="s">
        <v>2369</v>
      </c>
      <c r="AP102" s="8" t="s">
        <v>2370</v>
      </c>
      <c r="AQ102" s="8" t="s">
        <v>969</v>
      </c>
      <c r="AR102" s="8" t="s">
        <v>2371</v>
      </c>
      <c r="AS102" s="8" t="s">
        <v>2372</v>
      </c>
      <c r="AT102" s="8" t="s">
        <v>1300</v>
      </c>
      <c r="AU102" s="8">
        <v>2011.0</v>
      </c>
      <c r="AV102" s="8">
        <v>1.0</v>
      </c>
      <c r="AW102" s="8">
        <v>6.0</v>
      </c>
      <c r="AX102" s="8" t="s">
        <v>969</v>
      </c>
      <c r="AY102" s="8" t="s">
        <v>969</v>
      </c>
      <c r="AZ102" s="8" t="s">
        <v>969</v>
      </c>
      <c r="BA102" s="8" t="s">
        <v>969</v>
      </c>
      <c r="BB102" s="8">
        <v>313.0</v>
      </c>
      <c r="BC102" s="8">
        <v>318.0</v>
      </c>
      <c r="BD102" s="8" t="s">
        <v>969</v>
      </c>
      <c r="BE102" s="8" t="s">
        <v>2373</v>
      </c>
      <c r="BF102" s="13" t="str">
        <f>HYPERLINK("http://dx.doi.org/10.1038/NCLIMATE1191","http://dx.doi.org/10.1038/NCLIMATE1191")</f>
        <v>http://dx.doi.org/10.1038/NCLIMATE1191</v>
      </c>
      <c r="BG102" s="8" t="s">
        <v>969</v>
      </c>
      <c r="BH102" s="8" t="s">
        <v>969</v>
      </c>
      <c r="BI102" s="8">
        <v>6.0</v>
      </c>
      <c r="BJ102" s="8" t="s">
        <v>2374</v>
      </c>
      <c r="BK102" s="8" t="s">
        <v>1519</v>
      </c>
      <c r="BL102" s="8" t="s">
        <v>1038</v>
      </c>
      <c r="BM102" s="8" t="s">
        <v>2375</v>
      </c>
      <c r="BN102" s="8" t="s">
        <v>969</v>
      </c>
      <c r="BO102" s="8" t="s">
        <v>969</v>
      </c>
      <c r="BP102" s="8" t="s">
        <v>969</v>
      </c>
      <c r="BQ102" s="8" t="s">
        <v>969</v>
      </c>
      <c r="BR102" s="8" t="s">
        <v>3344</v>
      </c>
      <c r="BS102" s="8" t="s">
        <v>2376</v>
      </c>
      <c r="BT102" s="8" t="str">
        <f>HYPERLINK("https%3A%2F%2Fwww.webofscience.com%2Fwos%2Fwoscc%2Ffull-record%2FWOS:000295799900018","View Full Record in Web of Science")</f>
        <v>View Full Record in Web of Science</v>
      </c>
    </row>
    <row r="103" ht="12.75" customHeight="1">
      <c r="A103" s="8" t="s">
        <v>967</v>
      </c>
      <c r="B103" s="8" t="s">
        <v>2572</v>
      </c>
      <c r="C103" s="8" t="s">
        <v>969</v>
      </c>
      <c r="D103" s="8" t="s">
        <v>969</v>
      </c>
      <c r="E103" s="8" t="s">
        <v>969</v>
      </c>
      <c r="F103" s="8" t="s">
        <v>2573</v>
      </c>
      <c r="G103" s="8" t="s">
        <v>969</v>
      </c>
      <c r="H103" s="8" t="s">
        <v>969</v>
      </c>
      <c r="I103" s="8" t="s">
        <v>2574</v>
      </c>
      <c r="J103" s="8" t="s">
        <v>971</v>
      </c>
      <c r="K103" s="8" t="s">
        <v>969</v>
      </c>
      <c r="L103" s="8" t="s">
        <v>969</v>
      </c>
      <c r="M103" s="8" t="s">
        <v>972</v>
      </c>
      <c r="N103" s="8" t="s">
        <v>973</v>
      </c>
      <c r="O103" s="8" t="s">
        <v>969</v>
      </c>
      <c r="P103" s="8" t="s">
        <v>969</v>
      </c>
      <c r="Q103" s="8" t="s">
        <v>969</v>
      </c>
      <c r="R103" s="8" t="s">
        <v>969</v>
      </c>
      <c r="S103" s="8" t="s">
        <v>969</v>
      </c>
      <c r="T103" s="8" t="s">
        <v>2575</v>
      </c>
      <c r="U103" s="8" t="s">
        <v>2576</v>
      </c>
      <c r="V103" s="8" t="s">
        <v>2577</v>
      </c>
      <c r="W103" s="8" t="s">
        <v>2578</v>
      </c>
      <c r="X103" s="8" t="s">
        <v>3030</v>
      </c>
      <c r="Y103" s="8" t="s">
        <v>2315</v>
      </c>
      <c r="Z103" s="8" t="s">
        <v>2316</v>
      </c>
      <c r="AA103" s="8" t="s">
        <v>3411</v>
      </c>
      <c r="AB103" s="8" t="s">
        <v>3412</v>
      </c>
      <c r="AC103" s="8" t="s">
        <v>2582</v>
      </c>
      <c r="AD103" s="8" t="s">
        <v>2583</v>
      </c>
      <c r="AE103" s="8" t="s">
        <v>2584</v>
      </c>
      <c r="AF103" s="8" t="s">
        <v>969</v>
      </c>
      <c r="AG103" s="8">
        <v>96.0</v>
      </c>
      <c r="AH103" s="8">
        <v>163.0</v>
      </c>
      <c r="AI103" s="8">
        <v>185.0</v>
      </c>
      <c r="AJ103" s="8">
        <v>3.0</v>
      </c>
      <c r="AK103" s="8">
        <v>293.0</v>
      </c>
      <c r="AL103" s="8" t="s">
        <v>1091</v>
      </c>
      <c r="AM103" s="8" t="s">
        <v>1092</v>
      </c>
      <c r="AN103" s="8" t="s">
        <v>1093</v>
      </c>
      <c r="AO103" s="8" t="s">
        <v>983</v>
      </c>
      <c r="AP103" s="8" t="s">
        <v>1094</v>
      </c>
      <c r="AQ103" s="8" t="s">
        <v>969</v>
      </c>
      <c r="AR103" s="8" t="s">
        <v>1095</v>
      </c>
      <c r="AS103" s="8" t="s">
        <v>985</v>
      </c>
      <c r="AT103" s="8" t="s">
        <v>1055</v>
      </c>
      <c r="AU103" s="8">
        <v>2013.0</v>
      </c>
      <c r="AV103" s="8">
        <v>19.0</v>
      </c>
      <c r="AW103" s="8">
        <v>3.0</v>
      </c>
      <c r="AX103" s="8" t="s">
        <v>969</v>
      </c>
      <c r="AY103" s="8" t="s">
        <v>969</v>
      </c>
      <c r="AZ103" s="8" t="s">
        <v>969</v>
      </c>
      <c r="BA103" s="8" t="s">
        <v>969</v>
      </c>
      <c r="BB103" s="8">
        <v>752.0</v>
      </c>
      <c r="BC103" s="8">
        <v>762.0</v>
      </c>
      <c r="BD103" s="8" t="s">
        <v>969</v>
      </c>
      <c r="BE103" s="8" t="s">
        <v>668</v>
      </c>
      <c r="BF103" s="13" t="str">
        <f>HYPERLINK("http://dx.doi.org/10.1111/gcb.12107","http://dx.doi.org/10.1111/gcb.12107")</f>
        <v>http://dx.doi.org/10.1111/gcb.12107</v>
      </c>
      <c r="BG103" s="8" t="s">
        <v>969</v>
      </c>
      <c r="BH103" s="8" t="s">
        <v>969</v>
      </c>
      <c r="BI103" s="8">
        <v>11.0</v>
      </c>
      <c r="BJ103" s="8" t="s">
        <v>987</v>
      </c>
      <c r="BK103" s="8" t="s">
        <v>988</v>
      </c>
      <c r="BL103" s="8" t="s">
        <v>989</v>
      </c>
      <c r="BM103" s="8" t="s">
        <v>2585</v>
      </c>
      <c r="BN103" s="8">
        <v>2.3504833E7</v>
      </c>
      <c r="BO103" s="8" t="s">
        <v>969</v>
      </c>
      <c r="BP103" s="8" t="s">
        <v>969</v>
      </c>
      <c r="BQ103" s="8" t="s">
        <v>969</v>
      </c>
      <c r="BR103" s="8" t="s">
        <v>3344</v>
      </c>
      <c r="BS103" s="8" t="s">
        <v>2586</v>
      </c>
      <c r="BT103" s="8" t="str">
        <f>HYPERLINK("https%3A%2F%2Fwww.webofscience.com%2Fwos%2Fwoscc%2Ffull-record%2FWOS:000314219700008","View Full Record in Web of Science")</f>
        <v>View Full Record in Web of Science</v>
      </c>
    </row>
    <row r="104" ht="12.75" customHeight="1">
      <c r="A104" s="8" t="s">
        <v>967</v>
      </c>
      <c r="B104" s="8" t="s">
        <v>2164</v>
      </c>
      <c r="C104" s="8" t="s">
        <v>969</v>
      </c>
      <c r="D104" s="8" t="s">
        <v>969</v>
      </c>
      <c r="E104" s="8" t="s">
        <v>969</v>
      </c>
      <c r="F104" s="8" t="s">
        <v>2165</v>
      </c>
      <c r="G104" s="8" t="s">
        <v>969</v>
      </c>
      <c r="H104" s="8" t="s">
        <v>969</v>
      </c>
      <c r="I104" s="8" t="s">
        <v>2166</v>
      </c>
      <c r="J104" s="8" t="s">
        <v>1645</v>
      </c>
      <c r="K104" s="8" t="s">
        <v>969</v>
      </c>
      <c r="L104" s="8" t="s">
        <v>969</v>
      </c>
      <c r="M104" s="8" t="s">
        <v>972</v>
      </c>
      <c r="N104" s="8" t="s">
        <v>973</v>
      </c>
      <c r="O104" s="8" t="s">
        <v>969</v>
      </c>
      <c r="P104" s="8" t="s">
        <v>969</v>
      </c>
      <c r="Q104" s="8" t="s">
        <v>969</v>
      </c>
      <c r="R104" s="8" t="s">
        <v>969</v>
      </c>
      <c r="S104" s="8" t="s">
        <v>969</v>
      </c>
      <c r="T104" s="8" t="s">
        <v>2167</v>
      </c>
      <c r="U104" s="8" t="s">
        <v>2168</v>
      </c>
      <c r="V104" s="8" t="s">
        <v>2169</v>
      </c>
      <c r="W104" s="8" t="s">
        <v>2170</v>
      </c>
      <c r="X104" s="8" t="s">
        <v>3413</v>
      </c>
      <c r="Y104" s="8" t="s">
        <v>2172</v>
      </c>
      <c r="Z104" s="8" t="s">
        <v>2173</v>
      </c>
      <c r="AA104" s="8" t="s">
        <v>3414</v>
      </c>
      <c r="AB104" s="8" t="s">
        <v>3415</v>
      </c>
      <c r="AC104" s="8" t="s">
        <v>2176</v>
      </c>
      <c r="AD104" s="8" t="s">
        <v>2177</v>
      </c>
      <c r="AE104" s="8" t="s">
        <v>2178</v>
      </c>
      <c r="AF104" s="8" t="s">
        <v>969</v>
      </c>
      <c r="AG104" s="8">
        <v>89.0</v>
      </c>
      <c r="AH104" s="8">
        <v>66.0</v>
      </c>
      <c r="AI104" s="8">
        <v>81.0</v>
      </c>
      <c r="AJ104" s="8">
        <v>0.0</v>
      </c>
      <c r="AK104" s="8">
        <v>85.0</v>
      </c>
      <c r="AL104" s="8" t="s">
        <v>1609</v>
      </c>
      <c r="AM104" s="8" t="s">
        <v>1032</v>
      </c>
      <c r="AN104" s="8" t="s">
        <v>1210</v>
      </c>
      <c r="AO104" s="8" t="s">
        <v>1653</v>
      </c>
      <c r="AP104" s="8" t="s">
        <v>1654</v>
      </c>
      <c r="AQ104" s="8" t="s">
        <v>969</v>
      </c>
      <c r="AR104" s="8" t="s">
        <v>1655</v>
      </c>
      <c r="AS104" s="8" t="s">
        <v>1656</v>
      </c>
      <c r="AT104" s="8" t="s">
        <v>1055</v>
      </c>
      <c r="AU104" s="8">
        <v>2010.0</v>
      </c>
      <c r="AV104" s="8">
        <v>19.0</v>
      </c>
      <c r="AW104" s="8">
        <v>3.0</v>
      </c>
      <c r="AX104" s="8" t="s">
        <v>969</v>
      </c>
      <c r="AY104" s="8" t="s">
        <v>969</v>
      </c>
      <c r="AZ104" s="8" t="s">
        <v>969</v>
      </c>
      <c r="BA104" s="8" t="s">
        <v>969</v>
      </c>
      <c r="BB104" s="8">
        <v>695.0</v>
      </c>
      <c r="BC104" s="8">
        <v>723.0</v>
      </c>
      <c r="BD104" s="8" t="s">
        <v>969</v>
      </c>
      <c r="BE104" s="8" t="s">
        <v>530</v>
      </c>
      <c r="BF104" s="13" t="str">
        <f>HYPERLINK("http://dx.doi.org/10.1007/s10531-009-9728-x","http://dx.doi.org/10.1007/s10531-009-9728-x")</f>
        <v>http://dx.doi.org/10.1007/s10531-009-9728-x</v>
      </c>
      <c r="BG104" s="8" t="s">
        <v>969</v>
      </c>
      <c r="BH104" s="8" t="s">
        <v>969</v>
      </c>
      <c r="BI104" s="8">
        <v>29.0</v>
      </c>
      <c r="BJ104" s="8" t="s">
        <v>987</v>
      </c>
      <c r="BK104" s="8" t="s">
        <v>988</v>
      </c>
      <c r="BL104" s="8" t="s">
        <v>989</v>
      </c>
      <c r="BM104" s="8" t="s">
        <v>2179</v>
      </c>
      <c r="BN104" s="8" t="s">
        <v>969</v>
      </c>
      <c r="BO104" s="8" t="s">
        <v>969</v>
      </c>
      <c r="BP104" s="8" t="s">
        <v>969</v>
      </c>
      <c r="BQ104" s="8" t="s">
        <v>969</v>
      </c>
      <c r="BR104" s="8" t="s">
        <v>3344</v>
      </c>
      <c r="BS104" s="8" t="s">
        <v>2180</v>
      </c>
      <c r="BT104" s="8" t="str">
        <f>HYPERLINK("https%3A%2F%2Fwww.webofscience.com%2Fwos%2Fwoscc%2Ffull-record%2FWOS:000274330800007","View Full Record in Web of Science")</f>
        <v>View Full Record in Web of Science</v>
      </c>
    </row>
    <row r="105" ht="12.75" customHeight="1">
      <c r="A105" s="8" t="s">
        <v>967</v>
      </c>
      <c r="B105" s="8" t="s">
        <v>1844</v>
      </c>
      <c r="C105" s="8" t="s">
        <v>969</v>
      </c>
      <c r="D105" s="8" t="s">
        <v>969</v>
      </c>
      <c r="E105" s="8" t="s">
        <v>969</v>
      </c>
      <c r="F105" s="8" t="s">
        <v>1845</v>
      </c>
      <c r="G105" s="8" t="s">
        <v>969</v>
      </c>
      <c r="H105" s="8" t="s">
        <v>969</v>
      </c>
      <c r="I105" s="8" t="s">
        <v>1846</v>
      </c>
      <c r="J105" s="8" t="s">
        <v>1847</v>
      </c>
      <c r="K105" s="8" t="s">
        <v>969</v>
      </c>
      <c r="L105" s="8" t="s">
        <v>969</v>
      </c>
      <c r="M105" s="8" t="s">
        <v>972</v>
      </c>
      <c r="N105" s="8" t="s">
        <v>973</v>
      </c>
      <c r="O105" s="8" t="s">
        <v>969</v>
      </c>
      <c r="P105" s="8" t="s">
        <v>969</v>
      </c>
      <c r="Q105" s="8" t="s">
        <v>969</v>
      </c>
      <c r="R105" s="8" t="s">
        <v>969</v>
      </c>
      <c r="S105" s="8" t="s">
        <v>969</v>
      </c>
      <c r="T105" s="8" t="s">
        <v>1848</v>
      </c>
      <c r="U105" s="8" t="s">
        <v>1849</v>
      </c>
      <c r="V105" s="8" t="s">
        <v>1850</v>
      </c>
      <c r="W105" s="8" t="s">
        <v>1851</v>
      </c>
      <c r="X105" s="8" t="s">
        <v>1852</v>
      </c>
      <c r="Y105" s="8" t="s">
        <v>1853</v>
      </c>
      <c r="Z105" s="8" t="s">
        <v>1854</v>
      </c>
      <c r="AA105" s="8" t="s">
        <v>3201</v>
      </c>
      <c r="AB105" s="8" t="s">
        <v>3202</v>
      </c>
      <c r="AC105" s="8" t="s">
        <v>969</v>
      </c>
      <c r="AD105" s="8" t="s">
        <v>969</v>
      </c>
      <c r="AE105" s="8" t="s">
        <v>969</v>
      </c>
      <c r="AF105" s="8" t="s">
        <v>969</v>
      </c>
      <c r="AG105" s="8">
        <v>60.0</v>
      </c>
      <c r="AH105" s="8">
        <v>263.0</v>
      </c>
      <c r="AI105" s="8">
        <v>301.0</v>
      </c>
      <c r="AJ105" s="8">
        <v>5.0</v>
      </c>
      <c r="AK105" s="8">
        <v>93.0</v>
      </c>
      <c r="AL105" s="8" t="s">
        <v>1813</v>
      </c>
      <c r="AM105" s="8" t="s">
        <v>1261</v>
      </c>
      <c r="AN105" s="8" t="s">
        <v>1814</v>
      </c>
      <c r="AO105" s="8" t="s">
        <v>1857</v>
      </c>
      <c r="AP105" s="8" t="s">
        <v>1858</v>
      </c>
      <c r="AQ105" s="8" t="s">
        <v>969</v>
      </c>
      <c r="AR105" s="8" t="s">
        <v>1859</v>
      </c>
      <c r="AS105" s="8" t="s">
        <v>1860</v>
      </c>
      <c r="AT105" s="8" t="s">
        <v>1285</v>
      </c>
      <c r="AU105" s="8">
        <v>2008.0</v>
      </c>
      <c r="AV105" s="8">
        <v>126.0</v>
      </c>
      <c r="AW105" s="8" t="s">
        <v>1200</v>
      </c>
      <c r="AX105" s="8" t="s">
        <v>969</v>
      </c>
      <c r="AY105" s="8" t="s">
        <v>969</v>
      </c>
      <c r="AZ105" s="8" t="s">
        <v>969</v>
      </c>
      <c r="BA105" s="8" t="s">
        <v>969</v>
      </c>
      <c r="BB105" s="8">
        <v>13.0</v>
      </c>
      <c r="BC105" s="8">
        <v>23.0</v>
      </c>
      <c r="BD105" s="8" t="s">
        <v>969</v>
      </c>
      <c r="BE105" s="8" t="s">
        <v>545</v>
      </c>
      <c r="BF105" s="13" t="str">
        <f>HYPERLINK("http://dx.doi.org/10.1016/j.agee.2008.01.013","http://dx.doi.org/10.1016/j.agee.2008.01.013")</f>
        <v>http://dx.doi.org/10.1016/j.agee.2008.01.013</v>
      </c>
      <c r="BG105" s="8" t="s">
        <v>969</v>
      </c>
      <c r="BH105" s="8" t="s">
        <v>969</v>
      </c>
      <c r="BI105" s="8">
        <v>11.0</v>
      </c>
      <c r="BJ105" s="8" t="s">
        <v>1861</v>
      </c>
      <c r="BK105" s="8" t="s">
        <v>988</v>
      </c>
      <c r="BL105" s="8" t="s">
        <v>1862</v>
      </c>
      <c r="BM105" s="8" t="s">
        <v>1863</v>
      </c>
      <c r="BN105" s="8" t="s">
        <v>969</v>
      </c>
      <c r="BO105" s="8" t="s">
        <v>969</v>
      </c>
      <c r="BP105" s="8" t="s">
        <v>969</v>
      </c>
      <c r="BQ105" s="8" t="s">
        <v>969</v>
      </c>
      <c r="BR105" s="8" t="s">
        <v>3344</v>
      </c>
      <c r="BS105" s="8" t="s">
        <v>1864</v>
      </c>
      <c r="BT105" s="8" t="str">
        <f>HYPERLINK("https%3A%2F%2Fwww.webofscience.com%2Fwos%2Fwoscc%2Ffull-record%2FWOS:000255694700003","View Full Record in Web of Science")</f>
        <v>View Full Record in Web of Science</v>
      </c>
    </row>
    <row r="106" ht="12.75" customHeight="1">
      <c r="A106" s="8" t="s">
        <v>967</v>
      </c>
      <c r="B106" s="8" t="s">
        <v>3205</v>
      </c>
      <c r="C106" s="8" t="s">
        <v>969</v>
      </c>
      <c r="D106" s="8" t="s">
        <v>969</v>
      </c>
      <c r="E106" s="8" t="s">
        <v>969</v>
      </c>
      <c r="F106" s="8" t="s">
        <v>3206</v>
      </c>
      <c r="G106" s="8" t="s">
        <v>969</v>
      </c>
      <c r="H106" s="8" t="s">
        <v>969</v>
      </c>
      <c r="I106" s="8" t="s">
        <v>3207</v>
      </c>
      <c r="J106" s="8" t="s">
        <v>3208</v>
      </c>
      <c r="K106" s="8" t="s">
        <v>969</v>
      </c>
      <c r="L106" s="8" t="s">
        <v>969</v>
      </c>
      <c r="M106" s="8" t="s">
        <v>972</v>
      </c>
      <c r="N106" s="8" t="s">
        <v>973</v>
      </c>
      <c r="O106" s="8" t="s">
        <v>969</v>
      </c>
      <c r="P106" s="8" t="s">
        <v>969</v>
      </c>
      <c r="Q106" s="8" t="s">
        <v>969</v>
      </c>
      <c r="R106" s="8" t="s">
        <v>969</v>
      </c>
      <c r="S106" s="8" t="s">
        <v>969</v>
      </c>
      <c r="T106" s="8" t="s">
        <v>969</v>
      </c>
      <c r="U106" s="8" t="s">
        <v>3209</v>
      </c>
      <c r="V106" s="8" t="s">
        <v>3210</v>
      </c>
      <c r="W106" s="8" t="s">
        <v>3211</v>
      </c>
      <c r="X106" s="8" t="s">
        <v>3212</v>
      </c>
      <c r="Y106" s="8" t="s">
        <v>3213</v>
      </c>
      <c r="Z106" s="8" t="s">
        <v>3214</v>
      </c>
      <c r="AA106" s="8" t="s">
        <v>3416</v>
      </c>
      <c r="AB106" s="8" t="s">
        <v>3417</v>
      </c>
      <c r="AC106" s="8" t="s">
        <v>969</v>
      </c>
      <c r="AD106" s="8" t="s">
        <v>969</v>
      </c>
      <c r="AE106" s="8" t="s">
        <v>969</v>
      </c>
      <c r="AF106" s="8" t="s">
        <v>969</v>
      </c>
      <c r="AG106" s="8">
        <v>36.0</v>
      </c>
      <c r="AH106" s="8">
        <v>828.0</v>
      </c>
      <c r="AI106" s="8">
        <v>992.0</v>
      </c>
      <c r="AJ106" s="8">
        <v>11.0</v>
      </c>
      <c r="AK106" s="8">
        <v>457.0</v>
      </c>
      <c r="AL106" s="8" t="s">
        <v>1985</v>
      </c>
      <c r="AM106" s="8" t="s">
        <v>1986</v>
      </c>
      <c r="AN106" s="8" t="s">
        <v>1987</v>
      </c>
      <c r="AO106" s="8" t="s">
        <v>3217</v>
      </c>
      <c r="AP106" s="8" t="s">
        <v>3218</v>
      </c>
      <c r="AQ106" s="8" t="s">
        <v>969</v>
      </c>
      <c r="AR106" s="8" t="s">
        <v>3219</v>
      </c>
      <c r="AS106" s="8" t="s">
        <v>3220</v>
      </c>
      <c r="AT106" s="8" t="s">
        <v>1285</v>
      </c>
      <c r="AU106" s="8">
        <v>2007.0</v>
      </c>
      <c r="AV106" s="8">
        <v>5.0</v>
      </c>
      <c r="AW106" s="8">
        <v>6.0</v>
      </c>
      <c r="AX106" s="8" t="s">
        <v>969</v>
      </c>
      <c r="AY106" s="8" t="s">
        <v>969</v>
      </c>
      <c r="AZ106" s="8" t="s">
        <v>969</v>
      </c>
      <c r="BA106" s="8" t="s">
        <v>969</v>
      </c>
      <c r="BB106" s="8">
        <v>1211.0</v>
      </c>
      <c r="BC106" s="8">
        <v>1219.0</v>
      </c>
      <c r="BD106" s="8" t="s">
        <v>3221</v>
      </c>
      <c r="BE106" s="8" t="s">
        <v>806</v>
      </c>
      <c r="BF106" s="13" t="str">
        <f>HYPERLINK("http://dx.doi.org/10.1371/journal.pbio.0050157","http://dx.doi.org/10.1371/journal.pbio.0050157")</f>
        <v>http://dx.doi.org/10.1371/journal.pbio.0050157</v>
      </c>
      <c r="BG106" s="8" t="s">
        <v>969</v>
      </c>
      <c r="BH106" s="8" t="s">
        <v>969</v>
      </c>
      <c r="BI106" s="8">
        <v>9.0</v>
      </c>
      <c r="BJ106" s="8" t="s">
        <v>3222</v>
      </c>
      <c r="BK106" s="8" t="s">
        <v>988</v>
      </c>
      <c r="BL106" s="8" t="s">
        <v>3223</v>
      </c>
      <c r="BM106" s="8" t="s">
        <v>3224</v>
      </c>
      <c r="BN106" s="8">
        <v>1.7550306E7</v>
      </c>
      <c r="BO106" s="8" t="s">
        <v>1140</v>
      </c>
      <c r="BP106" s="8" t="s">
        <v>969</v>
      </c>
      <c r="BQ106" s="8" t="s">
        <v>969</v>
      </c>
      <c r="BR106" s="8" t="s">
        <v>3344</v>
      </c>
      <c r="BS106" s="8" t="s">
        <v>3225</v>
      </c>
      <c r="BT106" s="8" t="str">
        <f>HYPERLINK("https%3A%2F%2Fwww.webofscience.com%2Fwos%2Fwoscc%2Ffull-record%2FWOS:000247173200006","View Full Record in Web of Science")</f>
        <v>View Full Record in Web of Science</v>
      </c>
    </row>
    <row r="107" ht="12.75" customHeight="1">
      <c r="A107" s="8" t="s">
        <v>967</v>
      </c>
      <c r="B107" s="8" t="s">
        <v>2271</v>
      </c>
      <c r="C107" s="8" t="s">
        <v>969</v>
      </c>
      <c r="D107" s="8" t="s">
        <v>969</v>
      </c>
      <c r="E107" s="8" t="s">
        <v>969</v>
      </c>
      <c r="F107" s="8" t="s">
        <v>2272</v>
      </c>
      <c r="G107" s="8" t="s">
        <v>969</v>
      </c>
      <c r="H107" s="8" t="s">
        <v>969</v>
      </c>
      <c r="I107" s="8" t="s">
        <v>2273</v>
      </c>
      <c r="J107" s="8" t="s">
        <v>1144</v>
      </c>
      <c r="K107" s="8" t="s">
        <v>969</v>
      </c>
      <c r="L107" s="8" t="s">
        <v>969</v>
      </c>
      <c r="M107" s="8" t="s">
        <v>972</v>
      </c>
      <c r="N107" s="8" t="s">
        <v>973</v>
      </c>
      <c r="O107" s="8" t="s">
        <v>969</v>
      </c>
      <c r="P107" s="8" t="s">
        <v>969</v>
      </c>
      <c r="Q107" s="8" t="s">
        <v>969</v>
      </c>
      <c r="R107" s="8" t="s">
        <v>969</v>
      </c>
      <c r="S107" s="8" t="s">
        <v>969</v>
      </c>
      <c r="T107" s="8" t="s">
        <v>2274</v>
      </c>
      <c r="U107" s="8" t="s">
        <v>2275</v>
      </c>
      <c r="V107" s="8" t="s">
        <v>2276</v>
      </c>
      <c r="W107" s="8" t="s">
        <v>2277</v>
      </c>
      <c r="X107" s="8" t="s">
        <v>2278</v>
      </c>
      <c r="Y107" s="8" t="s">
        <v>2279</v>
      </c>
      <c r="Z107" s="8" t="s">
        <v>2280</v>
      </c>
      <c r="AA107" s="8" t="s">
        <v>3418</v>
      </c>
      <c r="AB107" s="8" t="s">
        <v>3419</v>
      </c>
      <c r="AC107" s="8" t="s">
        <v>2283</v>
      </c>
      <c r="AD107" s="8" t="s">
        <v>2284</v>
      </c>
      <c r="AE107" s="8" t="s">
        <v>2285</v>
      </c>
      <c r="AF107" s="8" t="s">
        <v>969</v>
      </c>
      <c r="AG107" s="8">
        <v>64.0</v>
      </c>
      <c r="AH107" s="8">
        <v>270.0</v>
      </c>
      <c r="AI107" s="8">
        <v>296.0</v>
      </c>
      <c r="AJ107" s="8">
        <v>1.0</v>
      </c>
      <c r="AK107" s="8">
        <v>124.0</v>
      </c>
      <c r="AL107" s="8" t="s">
        <v>1091</v>
      </c>
      <c r="AM107" s="8" t="s">
        <v>1092</v>
      </c>
      <c r="AN107" s="8" t="s">
        <v>1093</v>
      </c>
      <c r="AO107" s="8" t="s">
        <v>1159</v>
      </c>
      <c r="AP107" s="8" t="s">
        <v>1160</v>
      </c>
      <c r="AQ107" s="8" t="s">
        <v>969</v>
      </c>
      <c r="AR107" s="8" t="s">
        <v>1161</v>
      </c>
      <c r="AS107" s="8" t="s">
        <v>1162</v>
      </c>
      <c r="AT107" s="8" t="s">
        <v>1300</v>
      </c>
      <c r="AU107" s="8">
        <v>2011.0</v>
      </c>
      <c r="AV107" s="8">
        <v>20.0</v>
      </c>
      <c r="AW107" s="8">
        <v>5.0</v>
      </c>
      <c r="AX107" s="8" t="s">
        <v>969</v>
      </c>
      <c r="AY107" s="8" t="s">
        <v>969</v>
      </c>
      <c r="AZ107" s="8" t="s">
        <v>969</v>
      </c>
      <c r="BA107" s="8" t="s">
        <v>969</v>
      </c>
      <c r="BB107" s="8">
        <v>766.0</v>
      </c>
      <c r="BC107" s="8">
        <v>778.0</v>
      </c>
      <c r="BD107" s="8" t="s">
        <v>969</v>
      </c>
      <c r="BE107" s="8" t="s">
        <v>758</v>
      </c>
      <c r="BF107" s="13" t="str">
        <f>HYPERLINK("http://dx.doi.org/10.1111/j.1466-8238.2010.00646.x","http://dx.doi.org/10.1111/j.1466-8238.2010.00646.x")</f>
        <v>http://dx.doi.org/10.1111/j.1466-8238.2010.00646.x</v>
      </c>
      <c r="BG107" s="8" t="s">
        <v>969</v>
      </c>
      <c r="BH107" s="8" t="s">
        <v>969</v>
      </c>
      <c r="BI107" s="8">
        <v>13.0</v>
      </c>
      <c r="BJ107" s="8" t="s">
        <v>1017</v>
      </c>
      <c r="BK107" s="8" t="s">
        <v>988</v>
      </c>
      <c r="BL107" s="8" t="s">
        <v>1018</v>
      </c>
      <c r="BM107" s="8" t="s">
        <v>2286</v>
      </c>
      <c r="BN107" s="8" t="s">
        <v>969</v>
      </c>
      <c r="BO107" s="8" t="s">
        <v>1247</v>
      </c>
      <c r="BP107" s="8" t="s">
        <v>969</v>
      </c>
      <c r="BQ107" s="8" t="s">
        <v>969</v>
      </c>
      <c r="BR107" s="8" t="s">
        <v>3344</v>
      </c>
      <c r="BS107" s="8" t="s">
        <v>2287</v>
      </c>
      <c r="BT107" s="8" t="str">
        <f>HYPERLINK("https%3A%2F%2Fwww.webofscience.com%2Fwos%2Fwoscc%2Ffull-record%2FWOS:000293701300011","View Full Record in Web of Science")</f>
        <v>View Full Record in Web of Science</v>
      </c>
    </row>
    <row r="108" ht="12.75" customHeight="1">
      <c r="A108" s="8" t="s">
        <v>967</v>
      </c>
      <c r="B108" s="8" t="s">
        <v>1411</v>
      </c>
      <c r="C108" s="8" t="s">
        <v>969</v>
      </c>
      <c r="D108" s="8" t="s">
        <v>969</v>
      </c>
      <c r="E108" s="8" t="s">
        <v>969</v>
      </c>
      <c r="F108" s="8" t="s">
        <v>1411</v>
      </c>
      <c r="G108" s="8" t="s">
        <v>969</v>
      </c>
      <c r="H108" s="8" t="s">
        <v>969</v>
      </c>
      <c r="I108" s="8" t="s">
        <v>1412</v>
      </c>
      <c r="J108" s="8" t="s">
        <v>1252</v>
      </c>
      <c r="K108" s="8" t="s">
        <v>969</v>
      </c>
      <c r="L108" s="8" t="s">
        <v>969</v>
      </c>
      <c r="M108" s="8" t="s">
        <v>972</v>
      </c>
      <c r="N108" s="8" t="s">
        <v>973</v>
      </c>
      <c r="O108" s="8" t="s">
        <v>969</v>
      </c>
      <c r="P108" s="8" t="s">
        <v>969</v>
      </c>
      <c r="Q108" s="8" t="s">
        <v>969</v>
      </c>
      <c r="R108" s="8" t="s">
        <v>969</v>
      </c>
      <c r="S108" s="8" t="s">
        <v>969</v>
      </c>
      <c r="T108" s="8" t="s">
        <v>1413</v>
      </c>
      <c r="U108" s="8" t="s">
        <v>1414</v>
      </c>
      <c r="V108" s="8" t="s">
        <v>1415</v>
      </c>
      <c r="W108" s="8" t="s">
        <v>1416</v>
      </c>
      <c r="X108" s="8" t="s">
        <v>1417</v>
      </c>
      <c r="Y108" s="8" t="s">
        <v>1418</v>
      </c>
      <c r="Z108" s="8" t="s">
        <v>1419</v>
      </c>
      <c r="AA108" s="8" t="s">
        <v>1108</v>
      </c>
      <c r="AB108" s="8" t="s">
        <v>1421</v>
      </c>
      <c r="AC108" s="8" t="s">
        <v>969</v>
      </c>
      <c r="AD108" s="8" t="s">
        <v>969</v>
      </c>
      <c r="AE108" s="8" t="s">
        <v>969</v>
      </c>
      <c r="AF108" s="8" t="s">
        <v>969</v>
      </c>
      <c r="AG108" s="8">
        <v>77.0</v>
      </c>
      <c r="AH108" s="8">
        <v>419.0</v>
      </c>
      <c r="AI108" s="8">
        <v>459.0</v>
      </c>
      <c r="AJ108" s="8">
        <v>2.0</v>
      </c>
      <c r="AK108" s="8">
        <v>177.0</v>
      </c>
      <c r="AL108" s="8" t="s">
        <v>1260</v>
      </c>
      <c r="AM108" s="8" t="s">
        <v>1261</v>
      </c>
      <c r="AN108" s="8" t="s">
        <v>1262</v>
      </c>
      <c r="AO108" s="8" t="s">
        <v>1263</v>
      </c>
      <c r="AP108" s="8" t="s">
        <v>969</v>
      </c>
      <c r="AQ108" s="8" t="s">
        <v>969</v>
      </c>
      <c r="AR108" s="8" t="s">
        <v>1264</v>
      </c>
      <c r="AS108" s="8" t="s">
        <v>1265</v>
      </c>
      <c r="AT108" s="8" t="s">
        <v>1422</v>
      </c>
      <c r="AU108" s="8">
        <v>2005.0</v>
      </c>
      <c r="AV108" s="8">
        <v>186.0</v>
      </c>
      <c r="AW108" s="8">
        <v>2.0</v>
      </c>
      <c r="AX108" s="8" t="s">
        <v>969</v>
      </c>
      <c r="AY108" s="8" t="s">
        <v>969</v>
      </c>
      <c r="AZ108" s="8" t="s">
        <v>969</v>
      </c>
      <c r="BA108" s="8" t="s">
        <v>969</v>
      </c>
      <c r="BB108" s="8">
        <v>250.0</v>
      </c>
      <c r="BC108" s="8">
        <v>269.0</v>
      </c>
      <c r="BD108" s="8" t="s">
        <v>969</v>
      </c>
      <c r="BE108" s="8" t="s">
        <v>560</v>
      </c>
      <c r="BF108" s="13" t="str">
        <f>HYPERLINK("http://dx.doi.org/10.1016/j.ecolmodel.2005.01.030","http://dx.doi.org/10.1016/j.ecolmodel.2005.01.030")</f>
        <v>http://dx.doi.org/10.1016/j.ecolmodel.2005.01.030</v>
      </c>
      <c r="BG108" s="8" t="s">
        <v>969</v>
      </c>
      <c r="BH108" s="8" t="s">
        <v>969</v>
      </c>
      <c r="BI108" s="8">
        <v>20.0</v>
      </c>
      <c r="BJ108" s="8" t="s">
        <v>1267</v>
      </c>
      <c r="BK108" s="8" t="s">
        <v>988</v>
      </c>
      <c r="BL108" s="8" t="s">
        <v>1268</v>
      </c>
      <c r="BM108" s="8" t="s">
        <v>1423</v>
      </c>
      <c r="BN108" s="8" t="s">
        <v>969</v>
      </c>
      <c r="BO108" s="8" t="s">
        <v>969</v>
      </c>
      <c r="BP108" s="8" t="s">
        <v>969</v>
      </c>
      <c r="BQ108" s="8" t="s">
        <v>969</v>
      </c>
      <c r="BR108" s="8" t="s">
        <v>3344</v>
      </c>
      <c r="BS108" s="8" t="s">
        <v>1424</v>
      </c>
      <c r="BT108" s="8" t="str">
        <f>HYPERLINK("https%3A%2F%2Fwww.webofscience.com%2Fwos%2Fwoscc%2Ffull-record%2FWOS:000230636400008","View Full Record in Web of Science")</f>
        <v>View Full Record in Web of Science</v>
      </c>
    </row>
    <row r="109" ht="12.75" customHeight="1">
      <c r="A109" s="8" t="s">
        <v>967</v>
      </c>
      <c r="B109" s="8" t="s">
        <v>1060</v>
      </c>
      <c r="C109" s="8" t="s">
        <v>969</v>
      </c>
      <c r="D109" s="8" t="s">
        <v>969</v>
      </c>
      <c r="E109" s="8" t="s">
        <v>969</v>
      </c>
      <c r="F109" s="8" t="s">
        <v>1060</v>
      </c>
      <c r="G109" s="8" t="s">
        <v>969</v>
      </c>
      <c r="H109" s="8" t="s">
        <v>969</v>
      </c>
      <c r="I109" s="8" t="s">
        <v>1061</v>
      </c>
      <c r="J109" s="8" t="s">
        <v>1062</v>
      </c>
      <c r="K109" s="8" t="s">
        <v>969</v>
      </c>
      <c r="L109" s="8" t="s">
        <v>969</v>
      </c>
      <c r="M109" s="8" t="s">
        <v>972</v>
      </c>
      <c r="N109" s="8" t="s">
        <v>973</v>
      </c>
      <c r="O109" s="8" t="s">
        <v>969</v>
      </c>
      <c r="P109" s="8" t="s">
        <v>969</v>
      </c>
      <c r="Q109" s="8" t="s">
        <v>969</v>
      </c>
      <c r="R109" s="8" t="s">
        <v>969</v>
      </c>
      <c r="S109" s="8" t="s">
        <v>969</v>
      </c>
      <c r="T109" s="8" t="s">
        <v>969</v>
      </c>
      <c r="U109" s="8" t="s">
        <v>1063</v>
      </c>
      <c r="V109" s="8" t="s">
        <v>1064</v>
      </c>
      <c r="W109" s="8" t="s">
        <v>1065</v>
      </c>
      <c r="X109" s="8" t="s">
        <v>1066</v>
      </c>
      <c r="Y109" s="8" t="s">
        <v>1067</v>
      </c>
      <c r="Z109" s="8" t="s">
        <v>969</v>
      </c>
      <c r="AA109" s="8" t="s">
        <v>3420</v>
      </c>
      <c r="AB109" s="8" t="s">
        <v>3322</v>
      </c>
      <c r="AC109" s="8" t="s">
        <v>969</v>
      </c>
      <c r="AD109" s="8" t="s">
        <v>969</v>
      </c>
      <c r="AE109" s="8" t="s">
        <v>969</v>
      </c>
      <c r="AF109" s="8" t="s">
        <v>969</v>
      </c>
      <c r="AG109" s="8">
        <v>29.0</v>
      </c>
      <c r="AH109" s="8">
        <v>655.0</v>
      </c>
      <c r="AI109" s="8">
        <v>792.0</v>
      </c>
      <c r="AJ109" s="8">
        <v>1.0</v>
      </c>
      <c r="AK109" s="8">
        <v>206.0</v>
      </c>
      <c r="AL109" s="8" t="s">
        <v>1070</v>
      </c>
      <c r="AM109" s="8" t="s">
        <v>1071</v>
      </c>
      <c r="AN109" s="8" t="s">
        <v>1072</v>
      </c>
      <c r="AO109" s="8" t="s">
        <v>1073</v>
      </c>
      <c r="AP109" s="8" t="s">
        <v>969</v>
      </c>
      <c r="AQ109" s="8" t="s">
        <v>969</v>
      </c>
      <c r="AR109" s="8" t="s">
        <v>1062</v>
      </c>
      <c r="AS109" s="8" t="s">
        <v>1074</v>
      </c>
      <c r="AT109" s="8" t="s">
        <v>1075</v>
      </c>
      <c r="AU109" s="8">
        <v>2002.0</v>
      </c>
      <c r="AV109" s="8">
        <v>416.0</v>
      </c>
      <c r="AW109" s="8">
        <v>6881.0</v>
      </c>
      <c r="AX109" s="8" t="s">
        <v>969</v>
      </c>
      <c r="AY109" s="8" t="s">
        <v>969</v>
      </c>
      <c r="AZ109" s="8" t="s">
        <v>969</v>
      </c>
      <c r="BA109" s="8" t="s">
        <v>969</v>
      </c>
      <c r="BB109" s="8">
        <v>626.0</v>
      </c>
      <c r="BC109" s="8">
        <v>629.0</v>
      </c>
      <c r="BD109" s="8" t="s">
        <v>969</v>
      </c>
      <c r="BE109" s="8" t="s">
        <v>590</v>
      </c>
      <c r="BF109" s="13" t="str">
        <f>HYPERLINK("http://dx.doi.org/10.1038/416626a","http://dx.doi.org/10.1038/416626a")</f>
        <v>http://dx.doi.org/10.1038/416626a</v>
      </c>
      <c r="BG109" s="8" t="s">
        <v>969</v>
      </c>
      <c r="BH109" s="8" t="s">
        <v>969</v>
      </c>
      <c r="BI109" s="8">
        <v>5.0</v>
      </c>
      <c r="BJ109" s="8" t="s">
        <v>1076</v>
      </c>
      <c r="BK109" s="8" t="s">
        <v>988</v>
      </c>
      <c r="BL109" s="8" t="s">
        <v>1077</v>
      </c>
      <c r="BM109" s="8" t="s">
        <v>1078</v>
      </c>
      <c r="BN109" s="8">
        <v>1.1948349E7</v>
      </c>
      <c r="BO109" s="8" t="s">
        <v>969</v>
      </c>
      <c r="BP109" s="8" t="s">
        <v>969</v>
      </c>
      <c r="BQ109" s="8" t="s">
        <v>969</v>
      </c>
      <c r="BR109" s="8" t="s">
        <v>3344</v>
      </c>
      <c r="BS109" s="8" t="s">
        <v>1079</v>
      </c>
      <c r="BT109" s="8" t="str">
        <f>HYPERLINK("https%3A%2F%2Fwww.webofscience.com%2Fwos%2Fwoscc%2Ffull-record%2FWOS:000174901900041","View Full Record in Web of Science")</f>
        <v>View Full Record in Web of Science</v>
      </c>
    </row>
    <row r="110" ht="12.75" customHeight="1">
      <c r="A110" s="8" t="s">
        <v>967</v>
      </c>
      <c r="B110" s="8" t="s">
        <v>1600</v>
      </c>
      <c r="C110" s="8" t="s">
        <v>969</v>
      </c>
      <c r="D110" s="8" t="s">
        <v>969</v>
      </c>
      <c r="E110" s="8" t="s">
        <v>969</v>
      </c>
      <c r="F110" s="8" t="s">
        <v>1601</v>
      </c>
      <c r="G110" s="8" t="s">
        <v>969</v>
      </c>
      <c r="H110" s="8" t="s">
        <v>969</v>
      </c>
      <c r="I110" s="8" t="s">
        <v>1602</v>
      </c>
      <c r="J110" s="8" t="s">
        <v>1025</v>
      </c>
      <c r="K110" s="8" t="s">
        <v>969</v>
      </c>
      <c r="L110" s="8" t="s">
        <v>969</v>
      </c>
      <c r="M110" s="8" t="s">
        <v>972</v>
      </c>
      <c r="N110" s="8" t="s">
        <v>973</v>
      </c>
      <c r="O110" s="8" t="s">
        <v>969</v>
      </c>
      <c r="P110" s="8" t="s">
        <v>969</v>
      </c>
      <c r="Q110" s="8" t="s">
        <v>969</v>
      </c>
      <c r="R110" s="8" t="s">
        <v>969</v>
      </c>
      <c r="S110" s="8" t="s">
        <v>969</v>
      </c>
      <c r="T110" s="8" t="s">
        <v>969</v>
      </c>
      <c r="U110" s="8" t="s">
        <v>1603</v>
      </c>
      <c r="V110" s="8" t="s">
        <v>1604</v>
      </c>
      <c r="W110" s="8" t="s">
        <v>969</v>
      </c>
      <c r="X110" s="8" t="s">
        <v>969</v>
      </c>
      <c r="Y110" s="8" t="s">
        <v>1605</v>
      </c>
      <c r="Z110" s="8" t="s">
        <v>1606</v>
      </c>
      <c r="AA110" s="8" t="s">
        <v>1607</v>
      </c>
      <c r="AB110" s="8" t="s">
        <v>1608</v>
      </c>
      <c r="AC110" s="8" t="s">
        <v>969</v>
      </c>
      <c r="AD110" s="8" t="s">
        <v>969</v>
      </c>
      <c r="AE110" s="8" t="s">
        <v>969</v>
      </c>
      <c r="AF110" s="8" t="s">
        <v>969</v>
      </c>
      <c r="AG110" s="8">
        <v>72.0</v>
      </c>
      <c r="AH110" s="8">
        <v>26.0</v>
      </c>
      <c r="AI110" s="8">
        <v>30.0</v>
      </c>
      <c r="AJ110" s="8">
        <v>0.0</v>
      </c>
      <c r="AK110" s="8">
        <v>10.0</v>
      </c>
      <c r="AL110" s="8" t="s">
        <v>1609</v>
      </c>
      <c r="AM110" s="8" t="s">
        <v>1032</v>
      </c>
      <c r="AN110" s="8" t="s">
        <v>1210</v>
      </c>
      <c r="AO110" s="8" t="s">
        <v>1034</v>
      </c>
      <c r="AP110" s="8" t="s">
        <v>1610</v>
      </c>
      <c r="AQ110" s="8" t="s">
        <v>969</v>
      </c>
      <c r="AR110" s="8" t="s">
        <v>1025</v>
      </c>
      <c r="AS110" s="8" t="s">
        <v>1035</v>
      </c>
      <c r="AT110" s="8" t="s">
        <v>1177</v>
      </c>
      <c r="AU110" s="8">
        <v>2006.0</v>
      </c>
      <c r="AV110" s="8">
        <v>76.0</v>
      </c>
      <c r="AW110" s="8" t="s">
        <v>1200</v>
      </c>
      <c r="AX110" s="8" t="s">
        <v>969</v>
      </c>
      <c r="AY110" s="8" t="s">
        <v>969</v>
      </c>
      <c r="AZ110" s="8" t="s">
        <v>969</v>
      </c>
      <c r="BA110" s="8" t="s">
        <v>969</v>
      </c>
      <c r="BB110" s="8">
        <v>91.0</v>
      </c>
      <c r="BC110" s="8">
        <v>119.0</v>
      </c>
      <c r="BD110" s="8" t="s">
        <v>969</v>
      </c>
      <c r="BE110" s="8" t="s">
        <v>536</v>
      </c>
      <c r="BF110" s="13" t="str">
        <f>HYPERLINK("http://dx.doi.org/10.1007/s10584-005-9014-1","http://dx.doi.org/10.1007/s10584-005-9014-1")</f>
        <v>http://dx.doi.org/10.1007/s10584-005-9014-1</v>
      </c>
      <c r="BG110" s="8" t="s">
        <v>969</v>
      </c>
      <c r="BH110" s="8" t="s">
        <v>969</v>
      </c>
      <c r="BI110" s="8">
        <v>29.0</v>
      </c>
      <c r="BJ110" s="8" t="s">
        <v>1037</v>
      </c>
      <c r="BK110" s="8" t="s">
        <v>988</v>
      </c>
      <c r="BL110" s="8" t="s">
        <v>1038</v>
      </c>
      <c r="BM110" s="8" t="s">
        <v>1611</v>
      </c>
      <c r="BN110" s="8" t="s">
        <v>969</v>
      </c>
      <c r="BO110" s="8" t="s">
        <v>969</v>
      </c>
      <c r="BP110" s="8" t="s">
        <v>969</v>
      </c>
      <c r="BQ110" s="8" t="s">
        <v>969</v>
      </c>
      <c r="BR110" s="8" t="s">
        <v>3344</v>
      </c>
      <c r="BS110" s="8" t="s">
        <v>1612</v>
      </c>
      <c r="BT110" s="8" t="str">
        <f>HYPERLINK("https%3A%2F%2Fwww.webofscience.com%2Fwos%2Fwoscc%2Ffull-record%2FWOS:000239060600006","View Full Record in Web of Science")</f>
        <v>View Full Record in Web of Science</v>
      </c>
    </row>
    <row r="111" ht="12.75" customHeight="1">
      <c r="A111" s="8" t="s">
        <v>967</v>
      </c>
      <c r="B111" s="8" t="s">
        <v>1555</v>
      </c>
      <c r="C111" s="8" t="s">
        <v>969</v>
      </c>
      <c r="D111" s="8" t="s">
        <v>969</v>
      </c>
      <c r="E111" s="8" t="s">
        <v>969</v>
      </c>
      <c r="F111" s="8" t="s">
        <v>1555</v>
      </c>
      <c r="G111" s="8" t="s">
        <v>969</v>
      </c>
      <c r="H111" s="8" t="s">
        <v>969</v>
      </c>
      <c r="I111" s="8" t="s">
        <v>1556</v>
      </c>
      <c r="J111" s="8" t="s">
        <v>1557</v>
      </c>
      <c r="K111" s="8" t="s">
        <v>969</v>
      </c>
      <c r="L111" s="8" t="s">
        <v>969</v>
      </c>
      <c r="M111" s="8" t="s">
        <v>972</v>
      </c>
      <c r="N111" s="8" t="s">
        <v>973</v>
      </c>
      <c r="O111" s="8" t="s">
        <v>969</v>
      </c>
      <c r="P111" s="8" t="s">
        <v>969</v>
      </c>
      <c r="Q111" s="8" t="s">
        <v>969</v>
      </c>
      <c r="R111" s="8" t="s">
        <v>969</v>
      </c>
      <c r="S111" s="8" t="s">
        <v>969</v>
      </c>
      <c r="T111" s="8" t="s">
        <v>1558</v>
      </c>
      <c r="U111" s="8" t="s">
        <v>1559</v>
      </c>
      <c r="V111" s="8" t="s">
        <v>1560</v>
      </c>
      <c r="W111" s="8" t="s">
        <v>1561</v>
      </c>
      <c r="X111" s="8" t="s">
        <v>1562</v>
      </c>
      <c r="Y111" s="8" t="s">
        <v>1563</v>
      </c>
      <c r="Z111" s="8" t="s">
        <v>1564</v>
      </c>
      <c r="AA111" s="8" t="s">
        <v>3325</v>
      </c>
      <c r="AB111" s="8" t="s">
        <v>3326</v>
      </c>
      <c r="AC111" s="8" t="s">
        <v>969</v>
      </c>
      <c r="AD111" s="8" t="s">
        <v>969</v>
      </c>
      <c r="AE111" s="8" t="s">
        <v>969</v>
      </c>
      <c r="AF111" s="8" t="s">
        <v>969</v>
      </c>
      <c r="AG111" s="8">
        <v>66.0</v>
      </c>
      <c r="AH111" s="8">
        <v>131.0</v>
      </c>
      <c r="AI111" s="8">
        <v>147.0</v>
      </c>
      <c r="AJ111" s="8">
        <v>2.0</v>
      </c>
      <c r="AK111" s="8">
        <v>62.0</v>
      </c>
      <c r="AL111" s="8" t="s">
        <v>1192</v>
      </c>
      <c r="AM111" s="8" t="s">
        <v>1193</v>
      </c>
      <c r="AN111" s="8" t="s">
        <v>1194</v>
      </c>
      <c r="AO111" s="8" t="s">
        <v>1567</v>
      </c>
      <c r="AP111" s="8" t="s">
        <v>1568</v>
      </c>
      <c r="AQ111" s="8" t="s">
        <v>969</v>
      </c>
      <c r="AR111" s="8" t="s">
        <v>1569</v>
      </c>
      <c r="AS111" s="8" t="s">
        <v>1570</v>
      </c>
      <c r="AT111" s="8" t="s">
        <v>969</v>
      </c>
      <c r="AU111" s="8">
        <v>2006.0</v>
      </c>
      <c r="AV111" s="8">
        <v>9.0</v>
      </c>
      <c r="AW111" s="8">
        <v>2.0</v>
      </c>
      <c r="AX111" s="8" t="s">
        <v>969</v>
      </c>
      <c r="AY111" s="8" t="s">
        <v>969</v>
      </c>
      <c r="AZ111" s="8" t="s">
        <v>969</v>
      </c>
      <c r="BA111" s="8" t="s">
        <v>969</v>
      </c>
      <c r="BB111" s="8">
        <v>116.0</v>
      </c>
      <c r="BC111" s="8">
        <v>128.0</v>
      </c>
      <c r="BD111" s="8" t="s">
        <v>969</v>
      </c>
      <c r="BE111" s="8" t="s">
        <v>563</v>
      </c>
      <c r="BF111" s="13" t="str">
        <f>HYPERLINK("http://dx.doi.org/10.1016/j.envsci.2005.11.003","http://dx.doi.org/10.1016/j.envsci.2005.11.003")</f>
        <v>http://dx.doi.org/10.1016/j.envsci.2005.11.003</v>
      </c>
      <c r="BG111" s="8" t="s">
        <v>969</v>
      </c>
      <c r="BH111" s="8" t="s">
        <v>969</v>
      </c>
      <c r="BI111" s="8">
        <v>13.0</v>
      </c>
      <c r="BJ111" s="8" t="s">
        <v>1571</v>
      </c>
      <c r="BK111" s="8" t="s">
        <v>988</v>
      </c>
      <c r="BL111" s="8" t="s">
        <v>1268</v>
      </c>
      <c r="BM111" s="8" t="s">
        <v>1572</v>
      </c>
      <c r="BN111" s="8" t="s">
        <v>969</v>
      </c>
      <c r="BO111" s="8" t="s">
        <v>969</v>
      </c>
      <c r="BP111" s="8" t="s">
        <v>969</v>
      </c>
      <c r="BQ111" s="8" t="s">
        <v>969</v>
      </c>
      <c r="BR111" s="8" t="s">
        <v>3344</v>
      </c>
      <c r="BS111" s="8" t="s">
        <v>1573</v>
      </c>
      <c r="BT111" s="8" t="str">
        <f>HYPERLINK("https%3A%2F%2Fwww.webofscience.com%2Fwos%2Fwoscc%2Ffull-record%2FWOS:000236511100003","View Full Record in Web of Science")</f>
        <v>View Full Record in Web of Science</v>
      </c>
    </row>
    <row r="112" ht="12.75" customHeight="1">
      <c r="A112" s="8" t="s">
        <v>967</v>
      </c>
      <c r="B112" s="8" t="s">
        <v>2852</v>
      </c>
      <c r="C112" s="8" t="s">
        <v>969</v>
      </c>
      <c r="D112" s="8" t="s">
        <v>969</v>
      </c>
      <c r="E112" s="8" t="s">
        <v>969</v>
      </c>
      <c r="F112" s="8" t="s">
        <v>2852</v>
      </c>
      <c r="G112" s="8" t="s">
        <v>969</v>
      </c>
      <c r="H112" s="8" t="s">
        <v>969</v>
      </c>
      <c r="I112" s="8" t="s">
        <v>2853</v>
      </c>
      <c r="J112" s="8" t="s">
        <v>2854</v>
      </c>
      <c r="K112" s="8" t="s">
        <v>969</v>
      </c>
      <c r="L112" s="8" t="s">
        <v>969</v>
      </c>
      <c r="M112" s="8" t="s">
        <v>972</v>
      </c>
      <c r="N112" s="8" t="s">
        <v>973</v>
      </c>
      <c r="O112" s="8" t="s">
        <v>969</v>
      </c>
      <c r="P112" s="8" t="s">
        <v>969</v>
      </c>
      <c r="Q112" s="8" t="s">
        <v>969</v>
      </c>
      <c r="R112" s="8" t="s">
        <v>969</v>
      </c>
      <c r="S112" s="8" t="s">
        <v>969</v>
      </c>
      <c r="T112" s="8" t="s">
        <v>2855</v>
      </c>
      <c r="U112" s="8" t="s">
        <v>2856</v>
      </c>
      <c r="V112" s="8" t="s">
        <v>2857</v>
      </c>
      <c r="W112" s="8" t="s">
        <v>2858</v>
      </c>
      <c r="X112" s="8" t="s">
        <v>2859</v>
      </c>
      <c r="Y112" s="8" t="s">
        <v>969</v>
      </c>
      <c r="Z112" s="8" t="s">
        <v>969</v>
      </c>
      <c r="AA112" s="8" t="s">
        <v>3421</v>
      </c>
      <c r="AB112" s="8" t="s">
        <v>3422</v>
      </c>
      <c r="AC112" s="8" t="s">
        <v>969</v>
      </c>
      <c r="AD112" s="8" t="s">
        <v>969</v>
      </c>
      <c r="AE112" s="8" t="s">
        <v>969</v>
      </c>
      <c r="AF112" s="8" t="s">
        <v>969</v>
      </c>
      <c r="AG112" s="8">
        <v>29.0</v>
      </c>
      <c r="AH112" s="8">
        <v>118.0</v>
      </c>
      <c r="AI112" s="8">
        <v>128.0</v>
      </c>
      <c r="AJ112" s="8">
        <v>0.0</v>
      </c>
      <c r="AK112" s="8">
        <v>46.0</v>
      </c>
      <c r="AL112" s="8" t="s">
        <v>980</v>
      </c>
      <c r="AM112" s="8" t="s">
        <v>981</v>
      </c>
      <c r="AN112" s="8" t="s">
        <v>2862</v>
      </c>
      <c r="AO112" s="8" t="s">
        <v>2863</v>
      </c>
      <c r="AP112" s="8" t="s">
        <v>969</v>
      </c>
      <c r="AQ112" s="8" t="s">
        <v>969</v>
      </c>
      <c r="AR112" s="8" t="s">
        <v>1161</v>
      </c>
      <c r="AS112" s="8" t="s">
        <v>2864</v>
      </c>
      <c r="AT112" s="8" t="s">
        <v>1016</v>
      </c>
      <c r="AU112" s="8">
        <v>1996.0</v>
      </c>
      <c r="AV112" s="8">
        <v>5.0</v>
      </c>
      <c r="AW112" s="8">
        <v>1.0</v>
      </c>
      <c r="AX112" s="8" t="s">
        <v>969</v>
      </c>
      <c r="AY112" s="8" t="s">
        <v>969</v>
      </c>
      <c r="AZ112" s="8" t="s">
        <v>969</v>
      </c>
      <c r="BA112" s="8" t="s">
        <v>969</v>
      </c>
      <c r="BB112" s="8">
        <v>23.0</v>
      </c>
      <c r="BC112" s="8">
        <v>29.0</v>
      </c>
      <c r="BD112" s="8" t="s">
        <v>969</v>
      </c>
      <c r="BE112" s="8" t="s">
        <v>845</v>
      </c>
      <c r="BF112" s="13" t="str">
        <f>HYPERLINK("http://dx.doi.org/10.2307/2997467","http://dx.doi.org/10.2307/2997467")</f>
        <v>http://dx.doi.org/10.2307/2997467</v>
      </c>
      <c r="BG112" s="8" t="s">
        <v>969</v>
      </c>
      <c r="BH112" s="8" t="s">
        <v>969</v>
      </c>
      <c r="BI112" s="8">
        <v>7.0</v>
      </c>
      <c r="BJ112" s="8" t="s">
        <v>1017</v>
      </c>
      <c r="BK112" s="8" t="s">
        <v>988</v>
      </c>
      <c r="BL112" s="8" t="s">
        <v>1018</v>
      </c>
      <c r="BM112" s="8" t="s">
        <v>2865</v>
      </c>
      <c r="BN112" s="8" t="s">
        <v>969</v>
      </c>
      <c r="BO112" s="8" t="s">
        <v>969</v>
      </c>
      <c r="BP112" s="8" t="s">
        <v>969</v>
      </c>
      <c r="BQ112" s="8" t="s">
        <v>969</v>
      </c>
      <c r="BR112" s="8" t="s">
        <v>3344</v>
      </c>
      <c r="BS112" s="8" t="s">
        <v>2866</v>
      </c>
      <c r="BT112" s="8" t="str">
        <f>HYPERLINK("https%3A%2F%2Fwww.webofscience.com%2Fwos%2Fwoscc%2Ffull-record%2FWOS:A1996UF43500005","View Full Record in Web of Science")</f>
        <v>View Full Record in Web of Science</v>
      </c>
    </row>
    <row r="113" ht="12.75" customHeight="1">
      <c r="A113" s="8" t="s">
        <v>967</v>
      </c>
      <c r="B113" s="8" t="s">
        <v>2840</v>
      </c>
      <c r="C113" s="8" t="s">
        <v>969</v>
      </c>
      <c r="D113" s="8" t="s">
        <v>969</v>
      </c>
      <c r="E113" s="8" t="s">
        <v>969</v>
      </c>
      <c r="F113" s="8" t="s">
        <v>2840</v>
      </c>
      <c r="G113" s="8" t="s">
        <v>969</v>
      </c>
      <c r="H113" s="8" t="s">
        <v>969</v>
      </c>
      <c r="I113" s="8" t="s">
        <v>2841</v>
      </c>
      <c r="J113" s="8" t="s">
        <v>1000</v>
      </c>
      <c r="K113" s="8" t="s">
        <v>969</v>
      </c>
      <c r="L113" s="8" t="s">
        <v>969</v>
      </c>
      <c r="M113" s="8" t="s">
        <v>972</v>
      </c>
      <c r="N113" s="8" t="s">
        <v>973</v>
      </c>
      <c r="O113" s="8" t="s">
        <v>969</v>
      </c>
      <c r="P113" s="8" t="s">
        <v>969</v>
      </c>
      <c r="Q113" s="8" t="s">
        <v>969</v>
      </c>
      <c r="R113" s="8" t="s">
        <v>969</v>
      </c>
      <c r="S113" s="8" t="s">
        <v>969</v>
      </c>
      <c r="T113" s="8" t="s">
        <v>2842</v>
      </c>
      <c r="U113" s="8" t="s">
        <v>2843</v>
      </c>
      <c r="V113" s="8" t="s">
        <v>2844</v>
      </c>
      <c r="W113" s="8" t="s">
        <v>2845</v>
      </c>
      <c r="X113" s="8" t="s">
        <v>2846</v>
      </c>
      <c r="Y113" s="8" t="s">
        <v>2847</v>
      </c>
      <c r="Z113" s="8" t="s">
        <v>969</v>
      </c>
      <c r="AA113" s="8" t="s">
        <v>2848</v>
      </c>
      <c r="AB113" s="8" t="s">
        <v>2849</v>
      </c>
      <c r="AC113" s="8" t="s">
        <v>969</v>
      </c>
      <c r="AD113" s="8" t="s">
        <v>969</v>
      </c>
      <c r="AE113" s="8" t="s">
        <v>969</v>
      </c>
      <c r="AF113" s="8" t="s">
        <v>969</v>
      </c>
      <c r="AG113" s="8">
        <v>88.0</v>
      </c>
      <c r="AH113" s="8">
        <v>308.0</v>
      </c>
      <c r="AI113" s="8">
        <v>344.0</v>
      </c>
      <c r="AJ113" s="8">
        <v>0.0</v>
      </c>
      <c r="AK113" s="8">
        <v>88.0</v>
      </c>
      <c r="AL113" s="8" t="s">
        <v>1091</v>
      </c>
      <c r="AM113" s="8" t="s">
        <v>1092</v>
      </c>
      <c r="AN113" s="8" t="s">
        <v>1093</v>
      </c>
      <c r="AO113" s="8" t="s">
        <v>1013</v>
      </c>
      <c r="AP113" s="8" t="s">
        <v>2602</v>
      </c>
      <c r="AQ113" s="8" t="s">
        <v>969</v>
      </c>
      <c r="AR113" s="8" t="s">
        <v>1014</v>
      </c>
      <c r="AS113" s="8" t="s">
        <v>1015</v>
      </c>
      <c r="AT113" s="8" t="s">
        <v>1163</v>
      </c>
      <c r="AU113" s="8">
        <v>1995.0</v>
      </c>
      <c r="AV113" s="8">
        <v>22.0</v>
      </c>
      <c r="AW113" s="8">
        <v>6.0</v>
      </c>
      <c r="AX113" s="8" t="s">
        <v>969</v>
      </c>
      <c r="AY113" s="8" t="s">
        <v>969</v>
      </c>
      <c r="AZ113" s="8" t="s">
        <v>969</v>
      </c>
      <c r="BA113" s="8" t="s">
        <v>969</v>
      </c>
      <c r="BB113" s="8">
        <v>967.0</v>
      </c>
      <c r="BC113" s="8">
        <v>1001.0</v>
      </c>
      <c r="BD113" s="8" t="s">
        <v>969</v>
      </c>
      <c r="BE113" s="8" t="s">
        <v>842</v>
      </c>
      <c r="BF113" s="13" t="str">
        <f>HYPERLINK("http://dx.doi.org/10.2307/2845830","http://dx.doi.org/10.2307/2845830")</f>
        <v>http://dx.doi.org/10.2307/2845830</v>
      </c>
      <c r="BG113" s="8" t="s">
        <v>969</v>
      </c>
      <c r="BH113" s="8" t="s">
        <v>969</v>
      </c>
      <c r="BI113" s="8">
        <v>35.0</v>
      </c>
      <c r="BJ113" s="8" t="s">
        <v>1017</v>
      </c>
      <c r="BK113" s="8" t="s">
        <v>988</v>
      </c>
      <c r="BL113" s="8" t="s">
        <v>1018</v>
      </c>
      <c r="BM113" s="8" t="s">
        <v>2850</v>
      </c>
      <c r="BN113" s="8" t="s">
        <v>969</v>
      </c>
      <c r="BO113" s="8" t="s">
        <v>969</v>
      </c>
      <c r="BP113" s="8" t="s">
        <v>969</v>
      </c>
      <c r="BQ113" s="8" t="s">
        <v>969</v>
      </c>
      <c r="BR113" s="8" t="s">
        <v>3344</v>
      </c>
      <c r="BS113" s="8" t="s">
        <v>2851</v>
      </c>
      <c r="BT113" s="8" t="str">
        <f>HYPERLINK("https%3A%2F%2Fwww.webofscience.com%2Fwos%2Fwoscc%2Ffull-record%2FWOS:A1995UL12900002","View Full Record in Web of Science")</f>
        <v>View Full Record in Web of Science</v>
      </c>
    </row>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G1" s="18"/>
    </row>
    <row r="2">
      <c r="B2" s="9" t="s">
        <v>3423</v>
      </c>
      <c r="G2" s="19" t="s">
        <v>3424</v>
      </c>
    </row>
    <row r="3">
      <c r="B3" s="3" t="s">
        <v>3425</v>
      </c>
      <c r="G3" s="20" t="s">
        <v>3426</v>
      </c>
    </row>
    <row r="4">
      <c r="G4" s="18"/>
    </row>
    <row r="5">
      <c r="G5" s="20" t="s">
        <v>3427</v>
      </c>
    </row>
    <row r="6">
      <c r="G6" s="20" t="s">
        <v>3428</v>
      </c>
    </row>
    <row r="7">
      <c r="G7" s="20" t="s">
        <v>3429</v>
      </c>
    </row>
    <row r="8">
      <c r="G8" s="20" t="s">
        <v>3430</v>
      </c>
    </row>
    <row r="9">
      <c r="G9" s="20" t="s">
        <v>3431</v>
      </c>
    </row>
    <row r="10">
      <c r="G10" s="20" t="s">
        <v>3432</v>
      </c>
    </row>
    <row r="11">
      <c r="G11" s="20" t="s">
        <v>3433</v>
      </c>
    </row>
    <row r="12">
      <c r="G12" s="20" t="s">
        <v>3434</v>
      </c>
    </row>
    <row r="13">
      <c r="G13" s="20" t="s">
        <v>3435</v>
      </c>
    </row>
    <row r="14">
      <c r="G14" s="20" t="s">
        <v>3436</v>
      </c>
    </row>
    <row r="15">
      <c r="G15" s="20" t="s">
        <v>3437</v>
      </c>
    </row>
    <row r="16">
      <c r="G16" s="20" t="s">
        <v>3438</v>
      </c>
    </row>
    <row r="17">
      <c r="G17" s="20" t="s">
        <v>3439</v>
      </c>
    </row>
    <row r="18">
      <c r="G18" s="20" t="s">
        <v>3440</v>
      </c>
    </row>
    <row r="19">
      <c r="G19" s="20" t="s">
        <v>3441</v>
      </c>
    </row>
    <row r="20">
      <c r="G20" s="20" t="s">
        <v>3442</v>
      </c>
    </row>
    <row r="21">
      <c r="G21" s="20" t="s">
        <v>1076</v>
      </c>
    </row>
    <row r="22">
      <c r="G22" s="20" t="s">
        <v>3443</v>
      </c>
    </row>
    <row r="23">
      <c r="G23" s="18"/>
    </row>
    <row r="24">
      <c r="G24" s="20" t="s">
        <v>3444</v>
      </c>
    </row>
    <row r="25">
      <c r="G25" s="20" t="s">
        <v>3445</v>
      </c>
    </row>
    <row r="26">
      <c r="G26" s="20" t="s">
        <v>3445</v>
      </c>
    </row>
    <row r="27">
      <c r="G27" s="20" t="s">
        <v>3446</v>
      </c>
    </row>
    <row r="28">
      <c r="G28" s="20" t="s">
        <v>3447</v>
      </c>
    </row>
    <row r="29">
      <c r="G29" s="20" t="s">
        <v>3448</v>
      </c>
    </row>
    <row r="30">
      <c r="G30" s="20" t="s">
        <v>3443</v>
      </c>
    </row>
    <row r="31">
      <c r="G31" s="20" t="s">
        <v>3449</v>
      </c>
    </row>
    <row r="32">
      <c r="G32" s="20" t="s">
        <v>3450</v>
      </c>
    </row>
    <row r="33">
      <c r="G33" s="20" t="s">
        <v>3443</v>
      </c>
    </row>
    <row r="34">
      <c r="G34" s="18"/>
    </row>
    <row r="35">
      <c r="G35" s="20" t="s">
        <v>3451</v>
      </c>
    </row>
    <row r="36">
      <c r="G36" s="20" t="s">
        <v>3445</v>
      </c>
    </row>
    <row r="37">
      <c r="G37" s="20" t="s">
        <v>3445</v>
      </c>
    </row>
    <row r="38">
      <c r="G38" s="20" t="s">
        <v>3452</v>
      </c>
    </row>
    <row r="39">
      <c r="G39" s="20" t="s">
        <v>3453</v>
      </c>
    </row>
    <row r="40">
      <c r="G40" s="20" t="s">
        <v>3454</v>
      </c>
    </row>
    <row r="41">
      <c r="G41" s="20" t="s">
        <v>3455</v>
      </c>
    </row>
    <row r="42">
      <c r="G42" s="20" t="s">
        <v>3456</v>
      </c>
    </row>
    <row r="43">
      <c r="G43" s="20" t="s">
        <v>3457</v>
      </c>
    </row>
    <row r="44">
      <c r="G44" s="20" t="s">
        <v>3458</v>
      </c>
    </row>
    <row r="45">
      <c r="G45" s="20" t="s">
        <v>3459</v>
      </c>
    </row>
    <row r="46">
      <c r="G46" s="20" t="s">
        <v>3460</v>
      </c>
    </row>
    <row r="47">
      <c r="G47" s="20" t="s">
        <v>3461</v>
      </c>
    </row>
    <row r="48">
      <c r="G48" s="20" t="s">
        <v>3462</v>
      </c>
    </row>
    <row r="49">
      <c r="G49" s="20" t="s">
        <v>3463</v>
      </c>
    </row>
    <row r="50">
      <c r="G50" s="20" t="s">
        <v>3464</v>
      </c>
    </row>
    <row r="51">
      <c r="G51" s="20" t="s">
        <v>3465</v>
      </c>
    </row>
    <row r="52">
      <c r="G52" s="20" t="s">
        <v>3466</v>
      </c>
    </row>
    <row r="53">
      <c r="G53" s="20" t="s">
        <v>3443</v>
      </c>
    </row>
    <row r="54">
      <c r="G54" s="20" t="s">
        <v>3449</v>
      </c>
    </row>
    <row r="55">
      <c r="G55" s="20" t="s">
        <v>3445</v>
      </c>
    </row>
    <row r="56">
      <c r="G56" s="20" t="s">
        <v>3467</v>
      </c>
    </row>
    <row r="57">
      <c r="G57" s="20" t="s">
        <v>3468</v>
      </c>
    </row>
    <row r="58">
      <c r="G58" s="20" t="s">
        <v>3469</v>
      </c>
    </row>
    <row r="59">
      <c r="G59" s="20" t="s">
        <v>3470</v>
      </c>
    </row>
    <row r="60">
      <c r="G60" s="20" t="s">
        <v>3471</v>
      </c>
    </row>
    <row r="61">
      <c r="G61" s="20" t="s">
        <v>3472</v>
      </c>
    </row>
    <row r="62">
      <c r="G62" s="20" t="s">
        <v>3473</v>
      </c>
    </row>
    <row r="63">
      <c r="G63" s="20" t="s">
        <v>3443</v>
      </c>
    </row>
    <row r="64">
      <c r="G64" s="20" t="s">
        <v>3449</v>
      </c>
    </row>
    <row r="65">
      <c r="G65" s="20" t="s">
        <v>3445</v>
      </c>
    </row>
    <row r="66">
      <c r="G66" s="20" t="s">
        <v>3474</v>
      </c>
    </row>
    <row r="67">
      <c r="G67" s="20" t="s">
        <v>3475</v>
      </c>
    </row>
    <row r="68">
      <c r="G68" s="20" t="s">
        <v>3476</v>
      </c>
    </row>
    <row r="69">
      <c r="G69" s="20" t="s">
        <v>3477</v>
      </c>
    </row>
    <row r="70">
      <c r="G70" s="20" t="s">
        <v>3478</v>
      </c>
    </row>
    <row r="71">
      <c r="G71" s="20" t="s">
        <v>3479</v>
      </c>
    </row>
    <row r="72">
      <c r="G72" s="20" t="s">
        <v>3443</v>
      </c>
    </row>
    <row r="73">
      <c r="G73" s="20" t="s">
        <v>3449</v>
      </c>
    </row>
    <row r="74">
      <c r="G74" s="20" t="s">
        <v>3445</v>
      </c>
    </row>
    <row r="75">
      <c r="G75" s="20" t="s">
        <v>3480</v>
      </c>
    </row>
    <row r="76">
      <c r="G76" s="20" t="s">
        <v>3481</v>
      </c>
    </row>
    <row r="77">
      <c r="G77" s="20" t="s">
        <v>3482</v>
      </c>
    </row>
    <row r="78">
      <c r="G78" s="20" t="s">
        <v>3483</v>
      </c>
    </row>
    <row r="79">
      <c r="G79" s="20" t="s">
        <v>3484</v>
      </c>
    </row>
    <row r="80">
      <c r="G80" s="20" t="s">
        <v>3485</v>
      </c>
    </row>
    <row r="81">
      <c r="G81" s="20" t="s">
        <v>3486</v>
      </c>
    </row>
    <row r="82">
      <c r="G82" s="20" t="s">
        <v>3443</v>
      </c>
    </row>
    <row r="83">
      <c r="G83" s="20" t="s">
        <v>3449</v>
      </c>
    </row>
    <row r="84">
      <c r="G84" s="20" t="s">
        <v>3445</v>
      </c>
    </row>
    <row r="85">
      <c r="G85" s="20" t="s">
        <v>3487</v>
      </c>
    </row>
    <row r="86">
      <c r="G86" s="20" t="s">
        <v>3488</v>
      </c>
    </row>
    <row r="87">
      <c r="G87" s="20" t="s">
        <v>3443</v>
      </c>
    </row>
    <row r="88">
      <c r="G88" s="18"/>
    </row>
    <row r="89">
      <c r="G89" s="20" t="s">
        <v>3443</v>
      </c>
    </row>
    <row r="90">
      <c r="G90" s="20" t="s">
        <v>3443</v>
      </c>
    </row>
    <row r="91">
      <c r="G91" s="18"/>
    </row>
    <row r="92">
      <c r="G92" s="20" t="s">
        <v>3489</v>
      </c>
    </row>
    <row r="93">
      <c r="G93" s="20" t="s">
        <v>3490</v>
      </c>
    </row>
    <row r="94">
      <c r="G94" s="20" t="s">
        <v>3491</v>
      </c>
    </row>
    <row r="95">
      <c r="G95" s="20" t="s">
        <v>3492</v>
      </c>
    </row>
    <row r="96">
      <c r="G96" s="20" t="s">
        <v>3493</v>
      </c>
    </row>
    <row r="97">
      <c r="G97" s="20" t="s">
        <v>3494</v>
      </c>
    </row>
    <row r="98">
      <c r="G98" s="20" t="s">
        <v>3495</v>
      </c>
    </row>
    <row r="99">
      <c r="G99" s="20" t="s">
        <v>3496</v>
      </c>
    </row>
    <row r="100">
      <c r="G100" s="20" t="s">
        <v>3497</v>
      </c>
    </row>
    <row r="101">
      <c r="G101" s="20" t="s">
        <v>3498</v>
      </c>
    </row>
    <row r="102">
      <c r="G102" s="20" t="s">
        <v>3499</v>
      </c>
    </row>
    <row r="103">
      <c r="G103" s="20" t="s">
        <v>3500</v>
      </c>
    </row>
    <row r="104">
      <c r="G104" s="20" t="s">
        <v>3501</v>
      </c>
    </row>
    <row r="105">
      <c r="G105" s="20" t="s">
        <v>3502</v>
      </c>
    </row>
    <row r="106">
      <c r="G106" s="20" t="s">
        <v>3503</v>
      </c>
    </row>
    <row r="107">
      <c r="G107" s="20" t="s">
        <v>3504</v>
      </c>
    </row>
    <row r="108">
      <c r="G108" s="20" t="s">
        <v>3505</v>
      </c>
    </row>
    <row r="109">
      <c r="G109" s="20" t="s">
        <v>3506</v>
      </c>
    </row>
    <row r="110">
      <c r="G110" s="20" t="s">
        <v>3507</v>
      </c>
    </row>
    <row r="111">
      <c r="G111" s="20" t="s">
        <v>3508</v>
      </c>
    </row>
    <row r="112">
      <c r="G112" s="20" t="s">
        <v>3509</v>
      </c>
    </row>
    <row r="113">
      <c r="G113" s="20" t="s">
        <v>3510</v>
      </c>
    </row>
    <row r="114">
      <c r="G114" s="20" t="s">
        <v>3511</v>
      </c>
    </row>
    <row r="115">
      <c r="G115" s="20" t="s">
        <v>3512</v>
      </c>
    </row>
    <row r="116">
      <c r="G116" s="20" t="s">
        <v>3513</v>
      </c>
    </row>
    <row r="117">
      <c r="G117" s="20" t="s">
        <v>3514</v>
      </c>
    </row>
    <row r="118">
      <c r="G118" s="20" t="s">
        <v>3515</v>
      </c>
    </row>
    <row r="119">
      <c r="G119" s="20" t="s">
        <v>3516</v>
      </c>
    </row>
    <row r="120">
      <c r="G120" s="20" t="s">
        <v>3517</v>
      </c>
    </row>
    <row r="121">
      <c r="G121" s="20" t="s">
        <v>3518</v>
      </c>
    </row>
    <row r="122">
      <c r="G122" s="20" t="s">
        <v>3519</v>
      </c>
    </row>
    <row r="123">
      <c r="G123" s="20" t="s">
        <v>3520</v>
      </c>
    </row>
    <row r="124">
      <c r="G124" s="20" t="s">
        <v>3521</v>
      </c>
    </row>
    <row r="125">
      <c r="G125" s="20" t="s">
        <v>3522</v>
      </c>
    </row>
    <row r="126">
      <c r="G126" s="20" t="s">
        <v>3523</v>
      </c>
    </row>
    <row r="127">
      <c r="G127" s="20" t="s">
        <v>3524</v>
      </c>
    </row>
    <row r="128">
      <c r="G128" s="20" t="s">
        <v>3525</v>
      </c>
    </row>
    <row r="129">
      <c r="G129" s="20" t="s">
        <v>3526</v>
      </c>
    </row>
    <row r="130">
      <c r="G130" s="20" t="s">
        <v>3527</v>
      </c>
    </row>
    <row r="131">
      <c r="G131" s="20" t="s">
        <v>3528</v>
      </c>
    </row>
    <row r="132">
      <c r="G132" s="20" t="s">
        <v>3529</v>
      </c>
    </row>
    <row r="133">
      <c r="G133" s="20" t="s">
        <v>3530</v>
      </c>
    </row>
    <row r="134">
      <c r="G134" s="20" t="s">
        <v>3531</v>
      </c>
    </row>
    <row r="135">
      <c r="G135" s="20" t="s">
        <v>3532</v>
      </c>
    </row>
    <row r="136">
      <c r="G136" s="20" t="s">
        <v>3533</v>
      </c>
    </row>
    <row r="137">
      <c r="G137" s="20" t="s">
        <v>3534</v>
      </c>
    </row>
    <row r="138">
      <c r="G138" s="20" t="s">
        <v>3535</v>
      </c>
    </row>
    <row r="139">
      <c r="G139" s="20" t="s">
        <v>3536</v>
      </c>
    </row>
    <row r="140">
      <c r="G140" s="20" t="s">
        <v>3537</v>
      </c>
    </row>
    <row r="141">
      <c r="G141" s="20" t="s">
        <v>3538</v>
      </c>
    </row>
    <row r="142">
      <c r="G142" s="20" t="s">
        <v>3539</v>
      </c>
    </row>
    <row r="143">
      <c r="G143" s="20" t="s">
        <v>3540</v>
      </c>
    </row>
    <row r="144">
      <c r="G144" s="20" t="s">
        <v>3541</v>
      </c>
    </row>
    <row r="145">
      <c r="G145" s="20" t="s">
        <v>3542</v>
      </c>
    </row>
    <row r="146">
      <c r="G146" s="20" t="s">
        <v>3543</v>
      </c>
    </row>
    <row r="147">
      <c r="G147" s="20" t="s">
        <v>3544</v>
      </c>
    </row>
    <row r="148">
      <c r="G148" s="20" t="s">
        <v>3545</v>
      </c>
    </row>
    <row r="149">
      <c r="G149" s="20" t="s">
        <v>3546</v>
      </c>
    </row>
    <row r="150">
      <c r="G150" s="20" t="s">
        <v>3547</v>
      </c>
    </row>
    <row r="151">
      <c r="G151" s="20" t="s">
        <v>3548</v>
      </c>
    </row>
    <row r="152">
      <c r="G152" s="20" t="s">
        <v>3549</v>
      </c>
    </row>
    <row r="153">
      <c r="G153" s="20" t="s">
        <v>3550</v>
      </c>
    </row>
    <row r="154">
      <c r="G154" s="20" t="s">
        <v>3551</v>
      </c>
    </row>
    <row r="155">
      <c r="G155" s="20" t="s">
        <v>3552</v>
      </c>
    </row>
    <row r="156">
      <c r="G156" s="20" t="s">
        <v>3553</v>
      </c>
    </row>
    <row r="157">
      <c r="G157" s="20" t="s">
        <v>3554</v>
      </c>
    </row>
    <row r="158">
      <c r="G158" s="20" t="s">
        <v>3555</v>
      </c>
    </row>
    <row r="159">
      <c r="G159" s="20" t="s">
        <v>3556</v>
      </c>
    </row>
    <row r="160">
      <c r="G160" s="20" t="s">
        <v>3557</v>
      </c>
    </row>
    <row r="161">
      <c r="G161" s="20" t="s">
        <v>3558</v>
      </c>
    </row>
    <row r="162">
      <c r="G162" s="20" t="s">
        <v>3559</v>
      </c>
    </row>
    <row r="163">
      <c r="G163" s="20" t="s">
        <v>3560</v>
      </c>
    </row>
    <row r="164">
      <c r="G164" s="20" t="s">
        <v>3561</v>
      </c>
    </row>
    <row r="165">
      <c r="G165" s="20" t="s">
        <v>3562</v>
      </c>
    </row>
    <row r="166">
      <c r="G166" s="20" t="s">
        <v>3563</v>
      </c>
    </row>
    <row r="167">
      <c r="G167" s="20" t="s">
        <v>3564</v>
      </c>
    </row>
    <row r="168">
      <c r="G168" s="20" t="s">
        <v>3565</v>
      </c>
    </row>
    <row r="169">
      <c r="G169" s="20" t="s">
        <v>3566</v>
      </c>
    </row>
    <row r="170">
      <c r="G170" s="20" t="s">
        <v>3567</v>
      </c>
    </row>
    <row r="171">
      <c r="G171" s="20" t="s">
        <v>3568</v>
      </c>
    </row>
    <row r="172">
      <c r="G172" s="20" t="s">
        <v>3569</v>
      </c>
    </row>
    <row r="173">
      <c r="G173" s="20" t="s">
        <v>3570</v>
      </c>
    </row>
    <row r="174">
      <c r="G174" s="20" t="s">
        <v>3571</v>
      </c>
    </row>
    <row r="175">
      <c r="G175" s="20" t="s">
        <v>3572</v>
      </c>
    </row>
    <row r="176">
      <c r="G176" s="20" t="s">
        <v>3573</v>
      </c>
    </row>
    <row r="177">
      <c r="G177" s="20" t="s">
        <v>3574</v>
      </c>
    </row>
    <row r="178">
      <c r="G178" s="20" t="s">
        <v>3575</v>
      </c>
    </row>
    <row r="179">
      <c r="G179" s="20" t="s">
        <v>3576</v>
      </c>
    </row>
    <row r="180">
      <c r="G180" s="20" t="s">
        <v>3577</v>
      </c>
    </row>
    <row r="181">
      <c r="G181" s="20" t="s">
        <v>3578</v>
      </c>
    </row>
    <row r="182">
      <c r="G182" s="20" t="s">
        <v>3579</v>
      </c>
    </row>
    <row r="183">
      <c r="G183" s="20" t="s">
        <v>3580</v>
      </c>
    </row>
    <row r="184">
      <c r="G184" s="20" t="s">
        <v>3581</v>
      </c>
    </row>
    <row r="185">
      <c r="G185" s="20" t="s">
        <v>3582</v>
      </c>
    </row>
    <row r="186">
      <c r="G186" s="20" t="s">
        <v>3583</v>
      </c>
    </row>
    <row r="187">
      <c r="G187" s="20" t="s">
        <v>3584</v>
      </c>
    </row>
    <row r="188">
      <c r="G188" s="20" t="s">
        <v>3585</v>
      </c>
    </row>
    <row r="189">
      <c r="G189" s="20" t="s">
        <v>3586</v>
      </c>
    </row>
    <row r="190">
      <c r="G190" s="20" t="s">
        <v>3587</v>
      </c>
    </row>
    <row r="191">
      <c r="G191" s="20" t="s">
        <v>3588</v>
      </c>
    </row>
    <row r="192">
      <c r="G192" s="20" t="s">
        <v>3589</v>
      </c>
    </row>
    <row r="193">
      <c r="G193" s="20" t="s">
        <v>3590</v>
      </c>
    </row>
    <row r="194">
      <c r="G194" s="20" t="s">
        <v>3591</v>
      </c>
    </row>
    <row r="195">
      <c r="G195" s="20" t="s">
        <v>3592</v>
      </c>
    </row>
    <row r="196">
      <c r="G196" s="20" t="s">
        <v>3593</v>
      </c>
    </row>
    <row r="197">
      <c r="G197" s="20" t="s">
        <v>3594</v>
      </c>
    </row>
    <row r="198">
      <c r="G198" s="20" t="s">
        <v>3595</v>
      </c>
    </row>
    <row r="199">
      <c r="G199" s="20" t="s">
        <v>3596</v>
      </c>
    </row>
    <row r="200">
      <c r="G200" s="20" t="s">
        <v>3597</v>
      </c>
    </row>
    <row r="201">
      <c r="G201" s="20" t="s">
        <v>3598</v>
      </c>
    </row>
    <row r="202">
      <c r="G202" s="20" t="s">
        <v>3599</v>
      </c>
    </row>
    <row r="203">
      <c r="G203" s="20" t="s">
        <v>3600</v>
      </c>
    </row>
    <row r="204">
      <c r="G204" s="20" t="s">
        <v>842</v>
      </c>
    </row>
    <row r="205">
      <c r="G205" s="20" t="s">
        <v>3443</v>
      </c>
    </row>
    <row r="206">
      <c r="G206" s="18"/>
    </row>
    <row r="207">
      <c r="G207" s="20" t="s">
        <v>3601</v>
      </c>
    </row>
    <row r="208">
      <c r="G208" s="20" t="s">
        <v>1444</v>
      </c>
    </row>
    <row r="209">
      <c r="G209" s="20" t="s">
        <v>3443</v>
      </c>
    </row>
    <row r="210">
      <c r="G210" s="20" t="s">
        <v>3443</v>
      </c>
    </row>
    <row r="211">
      <c r="G211" s="18"/>
    </row>
    <row r="212">
      <c r="G212" s="18"/>
    </row>
    <row r="213">
      <c r="G213" s="18"/>
    </row>
    <row r="214">
      <c r="G214" s="18"/>
    </row>
    <row r="215">
      <c r="G215" s="18"/>
    </row>
    <row r="216">
      <c r="G216" s="18"/>
    </row>
    <row r="217">
      <c r="G217" s="18"/>
    </row>
    <row r="218">
      <c r="G218" s="18"/>
    </row>
    <row r="219">
      <c r="G219" s="18"/>
    </row>
    <row r="220">
      <c r="G220" s="18"/>
    </row>
    <row r="221">
      <c r="G221" s="18"/>
    </row>
    <row r="222">
      <c r="G222" s="18"/>
    </row>
    <row r="223">
      <c r="G223" s="18"/>
    </row>
    <row r="224">
      <c r="G224" s="18"/>
    </row>
    <row r="225">
      <c r="G225" s="18"/>
    </row>
    <row r="226">
      <c r="G226" s="18"/>
    </row>
    <row r="227">
      <c r="G227" s="18"/>
    </row>
    <row r="228">
      <c r="G228" s="18"/>
    </row>
    <row r="229">
      <c r="G229" s="18"/>
    </row>
    <row r="230">
      <c r="G230" s="18"/>
    </row>
    <row r="231">
      <c r="G231" s="18"/>
    </row>
    <row r="232">
      <c r="G232" s="18"/>
    </row>
    <row r="233">
      <c r="G233" s="18"/>
    </row>
    <row r="234">
      <c r="G234" s="18"/>
    </row>
    <row r="235">
      <c r="G235" s="18"/>
    </row>
    <row r="236">
      <c r="G236" s="18"/>
    </row>
    <row r="237">
      <c r="G237" s="18"/>
    </row>
    <row r="238">
      <c r="G238" s="18"/>
    </row>
    <row r="239">
      <c r="G239" s="18"/>
    </row>
    <row r="240">
      <c r="G240" s="18"/>
    </row>
    <row r="241">
      <c r="G241" s="18"/>
    </row>
    <row r="242">
      <c r="G242" s="18"/>
    </row>
    <row r="243">
      <c r="G243" s="18"/>
    </row>
    <row r="244">
      <c r="G244" s="18"/>
    </row>
    <row r="245">
      <c r="G245" s="18"/>
    </row>
    <row r="246">
      <c r="G246" s="18"/>
    </row>
    <row r="247">
      <c r="G247" s="18"/>
    </row>
    <row r="248">
      <c r="G248" s="18"/>
    </row>
    <row r="249">
      <c r="G249" s="18"/>
    </row>
    <row r="250">
      <c r="G250" s="18"/>
    </row>
    <row r="251">
      <c r="G251" s="18"/>
    </row>
    <row r="252">
      <c r="G252" s="18"/>
    </row>
    <row r="253">
      <c r="G253" s="18"/>
    </row>
    <row r="254">
      <c r="G254" s="18"/>
    </row>
    <row r="255">
      <c r="G255" s="18"/>
    </row>
    <row r="256">
      <c r="G256" s="18"/>
    </row>
    <row r="257">
      <c r="G257" s="18"/>
    </row>
    <row r="258">
      <c r="G258" s="18"/>
    </row>
    <row r="259">
      <c r="G259" s="18"/>
    </row>
    <row r="260">
      <c r="G260" s="18"/>
    </row>
    <row r="261">
      <c r="G261" s="18"/>
    </row>
    <row r="262">
      <c r="G262" s="18"/>
    </row>
    <row r="263">
      <c r="G263" s="18"/>
    </row>
    <row r="264">
      <c r="G264" s="18"/>
    </row>
    <row r="265">
      <c r="G265" s="18"/>
    </row>
    <row r="266">
      <c r="G266" s="18"/>
    </row>
    <row r="267">
      <c r="G267" s="18"/>
    </row>
    <row r="268">
      <c r="G268" s="18"/>
    </row>
    <row r="269">
      <c r="G269" s="18"/>
    </row>
    <row r="270">
      <c r="G270" s="18"/>
    </row>
    <row r="271">
      <c r="G271" s="18"/>
    </row>
    <row r="272">
      <c r="G272" s="18"/>
    </row>
    <row r="273">
      <c r="G273" s="18"/>
    </row>
    <row r="274">
      <c r="G274" s="18"/>
    </row>
    <row r="275">
      <c r="G275" s="18"/>
    </row>
    <row r="276">
      <c r="G276" s="18"/>
    </row>
    <row r="277">
      <c r="G277" s="18"/>
    </row>
    <row r="278">
      <c r="G278" s="18"/>
    </row>
    <row r="279">
      <c r="G279" s="18"/>
    </row>
    <row r="280">
      <c r="G280" s="18"/>
    </row>
    <row r="281">
      <c r="G281" s="18"/>
    </row>
    <row r="282">
      <c r="G282" s="18"/>
    </row>
    <row r="283">
      <c r="G283" s="18"/>
    </row>
    <row r="284">
      <c r="G284" s="18"/>
    </row>
    <row r="285">
      <c r="G285" s="18"/>
    </row>
    <row r="286">
      <c r="G286" s="18"/>
    </row>
    <row r="287">
      <c r="G287" s="18"/>
    </row>
    <row r="288">
      <c r="G288" s="18"/>
    </row>
    <row r="289">
      <c r="G289" s="18"/>
    </row>
    <row r="290">
      <c r="G290" s="18"/>
    </row>
    <row r="291">
      <c r="G291" s="18"/>
    </row>
    <row r="292">
      <c r="G292" s="18"/>
    </row>
    <row r="293">
      <c r="G293" s="18"/>
    </row>
    <row r="294">
      <c r="G294" s="18"/>
    </row>
    <row r="295">
      <c r="G295" s="18"/>
    </row>
    <row r="296">
      <c r="G296" s="18"/>
    </row>
    <row r="297">
      <c r="G297" s="18"/>
    </row>
    <row r="298">
      <c r="G298" s="18"/>
    </row>
    <row r="299">
      <c r="G299" s="18"/>
    </row>
    <row r="300">
      <c r="G300" s="18"/>
    </row>
    <row r="301">
      <c r="G301" s="18"/>
    </row>
    <row r="302">
      <c r="G302" s="18"/>
    </row>
    <row r="303">
      <c r="G303" s="18"/>
    </row>
    <row r="304">
      <c r="G304" s="18"/>
    </row>
    <row r="305">
      <c r="G305" s="18"/>
    </row>
    <row r="306">
      <c r="G306" s="18"/>
    </row>
    <row r="307">
      <c r="G307" s="18"/>
    </row>
    <row r="308">
      <c r="G308" s="18"/>
    </row>
    <row r="309">
      <c r="G309" s="18"/>
    </row>
    <row r="310">
      <c r="G310" s="18"/>
    </row>
    <row r="311">
      <c r="G311" s="18"/>
    </row>
    <row r="312">
      <c r="G312" s="18"/>
    </row>
    <row r="313">
      <c r="G313" s="18"/>
    </row>
    <row r="314">
      <c r="G314" s="18"/>
    </row>
    <row r="315">
      <c r="G315" s="18"/>
    </row>
    <row r="316">
      <c r="G316" s="18"/>
    </row>
    <row r="317">
      <c r="G317" s="18"/>
    </row>
    <row r="318">
      <c r="G318" s="18"/>
    </row>
    <row r="319">
      <c r="G319" s="18"/>
    </row>
    <row r="320">
      <c r="G320" s="18"/>
    </row>
    <row r="321">
      <c r="G321" s="18"/>
    </row>
    <row r="322">
      <c r="G322" s="18"/>
    </row>
    <row r="323">
      <c r="G323" s="18"/>
    </row>
    <row r="324">
      <c r="G324" s="18"/>
    </row>
    <row r="325">
      <c r="G325" s="18"/>
    </row>
    <row r="326">
      <c r="G326" s="18"/>
    </row>
    <row r="327">
      <c r="G327" s="18"/>
    </row>
    <row r="328">
      <c r="G328" s="18"/>
    </row>
    <row r="329">
      <c r="G329" s="18"/>
    </row>
    <row r="330">
      <c r="G330" s="18"/>
    </row>
    <row r="331">
      <c r="G331" s="18"/>
    </row>
    <row r="332">
      <c r="G332" s="18"/>
    </row>
    <row r="333">
      <c r="G333" s="18"/>
    </row>
    <row r="334">
      <c r="G334" s="18"/>
    </row>
    <row r="335">
      <c r="G335" s="18"/>
    </row>
    <row r="336">
      <c r="G336" s="18"/>
    </row>
    <row r="337">
      <c r="G337" s="18"/>
    </row>
    <row r="338">
      <c r="G338" s="18"/>
    </row>
    <row r="339">
      <c r="G339" s="18"/>
    </row>
    <row r="340">
      <c r="G340" s="18"/>
    </row>
    <row r="341">
      <c r="G341" s="18"/>
    </row>
    <row r="342">
      <c r="G342" s="18"/>
    </row>
    <row r="343">
      <c r="G343" s="18"/>
    </row>
    <row r="344">
      <c r="G344" s="18"/>
    </row>
    <row r="345">
      <c r="G345" s="18"/>
    </row>
    <row r="346">
      <c r="G346" s="18"/>
    </row>
    <row r="347">
      <c r="G347" s="18"/>
    </row>
    <row r="348">
      <c r="G348" s="18"/>
    </row>
    <row r="349">
      <c r="G349" s="18"/>
    </row>
    <row r="350">
      <c r="G350" s="18"/>
    </row>
    <row r="351">
      <c r="G351" s="18"/>
    </row>
    <row r="352">
      <c r="G352" s="18"/>
    </row>
    <row r="353">
      <c r="G353" s="18"/>
    </row>
    <row r="354">
      <c r="G354" s="18"/>
    </row>
    <row r="355">
      <c r="G355" s="18"/>
    </row>
    <row r="356">
      <c r="G356" s="18"/>
    </row>
    <row r="357">
      <c r="G357" s="18"/>
    </row>
    <row r="358">
      <c r="G358" s="18"/>
    </row>
    <row r="359">
      <c r="G359" s="18"/>
    </row>
    <row r="360">
      <c r="G360" s="18"/>
    </row>
    <row r="361">
      <c r="G361" s="18"/>
    </row>
    <row r="362">
      <c r="G362" s="18"/>
    </row>
    <row r="363">
      <c r="G363" s="18"/>
    </row>
    <row r="364">
      <c r="G364" s="18"/>
    </row>
    <row r="365">
      <c r="G365" s="18"/>
    </row>
    <row r="366">
      <c r="G366" s="18"/>
    </row>
    <row r="367">
      <c r="G367" s="18"/>
    </row>
    <row r="368">
      <c r="G368" s="18"/>
    </row>
    <row r="369">
      <c r="G369" s="18"/>
    </row>
    <row r="370">
      <c r="G370" s="18"/>
    </row>
    <row r="371">
      <c r="G371" s="18"/>
    </row>
    <row r="372">
      <c r="G372" s="18"/>
    </row>
    <row r="373">
      <c r="G373" s="18"/>
    </row>
    <row r="374">
      <c r="G374" s="18"/>
    </row>
    <row r="375">
      <c r="G375" s="18"/>
    </row>
    <row r="376">
      <c r="G376" s="18"/>
    </row>
    <row r="377">
      <c r="G377" s="18"/>
    </row>
    <row r="378">
      <c r="G378" s="18"/>
    </row>
    <row r="379">
      <c r="G379" s="18"/>
    </row>
    <row r="380">
      <c r="G380" s="18"/>
    </row>
    <row r="381">
      <c r="G381" s="18"/>
    </row>
    <row r="382">
      <c r="G382" s="18"/>
    </row>
    <row r="383">
      <c r="G383" s="18"/>
    </row>
    <row r="384">
      <c r="G384" s="18"/>
    </row>
    <row r="385">
      <c r="G385" s="18"/>
    </row>
    <row r="386">
      <c r="G386" s="18"/>
    </row>
    <row r="387">
      <c r="G387" s="18"/>
    </row>
    <row r="388">
      <c r="G388" s="18"/>
    </row>
    <row r="389">
      <c r="G389" s="18"/>
    </row>
    <row r="390">
      <c r="G390" s="18"/>
    </row>
    <row r="391">
      <c r="G391" s="18"/>
    </row>
    <row r="392">
      <c r="G392" s="18"/>
    </row>
    <row r="393">
      <c r="G393" s="18"/>
    </row>
    <row r="394">
      <c r="G394" s="18"/>
    </row>
    <row r="395">
      <c r="G395" s="18"/>
    </row>
    <row r="396">
      <c r="G396" s="18"/>
    </row>
    <row r="397">
      <c r="G397" s="18"/>
    </row>
    <row r="398">
      <c r="G398" s="18"/>
    </row>
    <row r="399">
      <c r="G399" s="18"/>
    </row>
    <row r="400">
      <c r="G400" s="18"/>
    </row>
    <row r="401">
      <c r="G401" s="18"/>
    </row>
    <row r="402">
      <c r="G402" s="18"/>
    </row>
    <row r="403">
      <c r="G403" s="18"/>
    </row>
    <row r="404">
      <c r="G404" s="18"/>
    </row>
    <row r="405">
      <c r="G405" s="18"/>
    </row>
    <row r="406">
      <c r="G406" s="18"/>
    </row>
    <row r="407">
      <c r="G407" s="18"/>
    </row>
    <row r="408">
      <c r="G408" s="18"/>
    </row>
    <row r="409">
      <c r="G409" s="18"/>
    </row>
    <row r="410">
      <c r="G410" s="18"/>
    </row>
    <row r="411">
      <c r="G411" s="18"/>
    </row>
    <row r="412">
      <c r="G412" s="18"/>
    </row>
    <row r="413">
      <c r="G413" s="18"/>
    </row>
    <row r="414">
      <c r="G414" s="18"/>
    </row>
    <row r="415">
      <c r="G415" s="18"/>
    </row>
    <row r="416">
      <c r="G416" s="18"/>
    </row>
    <row r="417">
      <c r="G417" s="18"/>
    </row>
    <row r="418">
      <c r="G418" s="18"/>
    </row>
    <row r="419">
      <c r="G419" s="18"/>
    </row>
    <row r="420">
      <c r="G420" s="18"/>
    </row>
    <row r="421">
      <c r="G421" s="18"/>
    </row>
    <row r="422">
      <c r="G422" s="18"/>
    </row>
    <row r="423">
      <c r="G423" s="18"/>
    </row>
    <row r="424">
      <c r="G424" s="18"/>
    </row>
    <row r="425">
      <c r="G425" s="18"/>
    </row>
    <row r="426">
      <c r="G426" s="18"/>
    </row>
    <row r="427">
      <c r="G427" s="18"/>
    </row>
    <row r="428">
      <c r="G428" s="18"/>
    </row>
    <row r="429">
      <c r="G429" s="18"/>
    </row>
    <row r="430">
      <c r="G430" s="18"/>
    </row>
    <row r="431">
      <c r="G431" s="18"/>
    </row>
    <row r="432">
      <c r="G432" s="18"/>
    </row>
    <row r="433">
      <c r="G433" s="18"/>
    </row>
    <row r="434">
      <c r="G434" s="18"/>
    </row>
    <row r="435">
      <c r="G435" s="18"/>
    </row>
    <row r="436">
      <c r="G436" s="18"/>
    </row>
    <row r="437">
      <c r="G437" s="18"/>
    </row>
    <row r="438">
      <c r="G438" s="18"/>
    </row>
    <row r="439">
      <c r="G439" s="18"/>
    </row>
    <row r="440">
      <c r="G440" s="18"/>
    </row>
    <row r="441">
      <c r="G441" s="18"/>
    </row>
    <row r="442">
      <c r="G442" s="18"/>
    </row>
    <row r="443">
      <c r="G443" s="18"/>
    </row>
    <row r="444">
      <c r="G444" s="18"/>
    </row>
    <row r="445">
      <c r="G445" s="18"/>
    </row>
    <row r="446">
      <c r="G446" s="18"/>
    </row>
    <row r="447">
      <c r="G447" s="18"/>
    </row>
    <row r="448">
      <c r="G448" s="18"/>
    </row>
    <row r="449">
      <c r="G449" s="18"/>
    </row>
    <row r="450">
      <c r="G450" s="18"/>
    </row>
    <row r="451">
      <c r="G451" s="18"/>
    </row>
    <row r="452">
      <c r="G452" s="18"/>
    </row>
    <row r="453">
      <c r="G453" s="18"/>
    </row>
    <row r="454">
      <c r="G454" s="18"/>
    </row>
    <row r="455">
      <c r="G455" s="18"/>
    </row>
    <row r="456">
      <c r="G456" s="18"/>
    </row>
    <row r="457">
      <c r="G457" s="18"/>
    </row>
    <row r="458">
      <c r="G458" s="18"/>
    </row>
    <row r="459">
      <c r="G459" s="18"/>
    </row>
    <row r="460">
      <c r="G460" s="18"/>
    </row>
    <row r="461">
      <c r="G461" s="18"/>
    </row>
    <row r="462">
      <c r="G462" s="18"/>
    </row>
    <row r="463">
      <c r="G463" s="18"/>
    </row>
    <row r="464">
      <c r="G464" s="18"/>
    </row>
    <row r="465">
      <c r="G465" s="18"/>
    </row>
    <row r="466">
      <c r="G466" s="18"/>
    </row>
    <row r="467">
      <c r="G467" s="18"/>
    </row>
    <row r="468">
      <c r="G468" s="18"/>
    </row>
    <row r="469">
      <c r="G469" s="18"/>
    </row>
    <row r="470">
      <c r="G470" s="18"/>
    </row>
    <row r="471">
      <c r="G471" s="18"/>
    </row>
    <row r="472">
      <c r="G472" s="18"/>
    </row>
    <row r="473">
      <c r="G473" s="18"/>
    </row>
    <row r="474">
      <c r="G474" s="18"/>
    </row>
    <row r="475">
      <c r="G475" s="18"/>
    </row>
    <row r="476">
      <c r="G476" s="18"/>
    </row>
    <row r="477">
      <c r="G477" s="18"/>
    </row>
    <row r="478">
      <c r="G478" s="18"/>
    </row>
    <row r="479">
      <c r="G479" s="18"/>
    </row>
    <row r="480">
      <c r="G480" s="18"/>
    </row>
    <row r="481">
      <c r="G481" s="18"/>
    </row>
    <row r="482">
      <c r="G482" s="18"/>
    </row>
    <row r="483">
      <c r="G483" s="18"/>
    </row>
    <row r="484">
      <c r="G484" s="18"/>
    </row>
    <row r="485">
      <c r="G485" s="18"/>
    </row>
    <row r="486">
      <c r="G486" s="18"/>
    </row>
    <row r="487">
      <c r="G487" s="18"/>
    </row>
    <row r="488">
      <c r="G488" s="18"/>
    </row>
    <row r="489">
      <c r="G489" s="18"/>
    </row>
    <row r="490">
      <c r="G490" s="18"/>
    </row>
    <row r="491">
      <c r="G491" s="18"/>
    </row>
    <row r="492">
      <c r="G492" s="18"/>
    </row>
    <row r="493">
      <c r="G493" s="18"/>
    </row>
    <row r="494">
      <c r="G494" s="18"/>
    </row>
    <row r="495">
      <c r="G495" s="18"/>
    </row>
    <row r="496">
      <c r="G496" s="18"/>
    </row>
    <row r="497">
      <c r="G497" s="18"/>
    </row>
    <row r="498">
      <c r="G498" s="18"/>
    </row>
    <row r="499">
      <c r="G499" s="18"/>
    </row>
    <row r="500">
      <c r="G500" s="18"/>
    </row>
    <row r="501">
      <c r="G501" s="18"/>
    </row>
    <row r="502">
      <c r="G502" s="18"/>
    </row>
    <row r="503">
      <c r="G503" s="18"/>
    </row>
    <row r="504">
      <c r="G504" s="18"/>
    </row>
    <row r="505">
      <c r="G505" s="18"/>
    </row>
    <row r="506">
      <c r="G506" s="18"/>
    </row>
    <row r="507">
      <c r="G507" s="18"/>
    </row>
    <row r="508">
      <c r="G508" s="18"/>
    </row>
    <row r="509">
      <c r="G509" s="18"/>
    </row>
    <row r="510">
      <c r="G510" s="18"/>
    </row>
    <row r="511">
      <c r="G511" s="18"/>
    </row>
    <row r="512">
      <c r="G512" s="18"/>
    </row>
    <row r="513">
      <c r="G513" s="18"/>
    </row>
    <row r="514">
      <c r="G514" s="18"/>
    </row>
    <row r="515">
      <c r="G515" s="18"/>
    </row>
    <row r="516">
      <c r="G516" s="18"/>
    </row>
    <row r="517">
      <c r="G517" s="18"/>
    </row>
    <row r="518">
      <c r="G518" s="18"/>
    </row>
    <row r="519">
      <c r="G519" s="18"/>
    </row>
    <row r="520">
      <c r="G520" s="18"/>
    </row>
    <row r="521">
      <c r="G521" s="18"/>
    </row>
    <row r="522">
      <c r="G522" s="18"/>
    </row>
    <row r="523">
      <c r="G523" s="18"/>
    </row>
    <row r="524">
      <c r="G524" s="18"/>
    </row>
    <row r="525">
      <c r="G525" s="18"/>
    </row>
    <row r="526">
      <c r="G526" s="18"/>
    </row>
    <row r="527">
      <c r="G527" s="18"/>
    </row>
    <row r="528">
      <c r="G528" s="18"/>
    </row>
    <row r="529">
      <c r="G529" s="18"/>
    </row>
    <row r="530">
      <c r="G530" s="18"/>
    </row>
    <row r="531">
      <c r="G531" s="18"/>
    </row>
    <row r="532">
      <c r="G532" s="18"/>
    </row>
    <row r="533">
      <c r="G533" s="18"/>
    </row>
    <row r="534">
      <c r="G534" s="18"/>
    </row>
    <row r="535">
      <c r="G535" s="18"/>
    </row>
    <row r="536">
      <c r="G536" s="18"/>
    </row>
    <row r="537">
      <c r="G537" s="18"/>
    </row>
    <row r="538">
      <c r="G538" s="18"/>
    </row>
    <row r="539">
      <c r="G539" s="18"/>
    </row>
    <row r="540">
      <c r="G540" s="18"/>
    </row>
    <row r="541">
      <c r="G541" s="18"/>
    </row>
    <row r="542">
      <c r="G542" s="18"/>
    </row>
    <row r="543">
      <c r="G543" s="18"/>
    </row>
    <row r="544">
      <c r="G544" s="18"/>
    </row>
    <row r="545">
      <c r="G545" s="18"/>
    </row>
    <row r="546">
      <c r="G546" s="18"/>
    </row>
    <row r="547">
      <c r="G547" s="18"/>
    </row>
    <row r="548">
      <c r="G548" s="18"/>
    </row>
    <row r="549">
      <c r="G549" s="18"/>
    </row>
    <row r="550">
      <c r="G550" s="18"/>
    </row>
    <row r="551">
      <c r="G551" s="18"/>
    </row>
    <row r="552">
      <c r="G552" s="18"/>
    </row>
    <row r="553">
      <c r="G553" s="18"/>
    </row>
    <row r="554">
      <c r="G554" s="18"/>
    </row>
    <row r="555">
      <c r="G555" s="18"/>
    </row>
    <row r="556">
      <c r="G556" s="18"/>
    </row>
    <row r="557">
      <c r="G557" s="18"/>
    </row>
    <row r="558">
      <c r="G558" s="18"/>
    </row>
    <row r="559">
      <c r="G559" s="18"/>
    </row>
    <row r="560">
      <c r="G560" s="18"/>
    </row>
    <row r="561">
      <c r="G561" s="18"/>
    </row>
    <row r="562">
      <c r="G562" s="18"/>
    </row>
    <row r="563">
      <c r="G563" s="18"/>
    </row>
    <row r="564">
      <c r="G564" s="18"/>
    </row>
    <row r="565">
      <c r="G565" s="18"/>
    </row>
    <row r="566">
      <c r="G566" s="18"/>
    </row>
    <row r="567">
      <c r="G567" s="18"/>
    </row>
    <row r="568">
      <c r="G568" s="18"/>
    </row>
    <row r="569">
      <c r="G569" s="18"/>
    </row>
    <row r="570">
      <c r="G570" s="18"/>
    </row>
    <row r="571">
      <c r="G571" s="18"/>
    </row>
    <row r="572">
      <c r="G572" s="18"/>
    </row>
    <row r="573">
      <c r="G573" s="18"/>
    </row>
    <row r="574">
      <c r="G574" s="18"/>
    </row>
    <row r="575">
      <c r="G575" s="18"/>
    </row>
    <row r="576">
      <c r="G576" s="18"/>
    </row>
    <row r="577">
      <c r="G577" s="18"/>
    </row>
    <row r="578">
      <c r="G578" s="18"/>
    </row>
    <row r="579">
      <c r="G579" s="18"/>
    </row>
    <row r="580">
      <c r="G580" s="18"/>
    </row>
    <row r="581">
      <c r="G581" s="18"/>
    </row>
    <row r="582">
      <c r="G582" s="18"/>
    </row>
    <row r="583">
      <c r="G583" s="18"/>
    </row>
    <row r="584">
      <c r="G584" s="18"/>
    </row>
    <row r="585">
      <c r="G585" s="18"/>
    </row>
    <row r="586">
      <c r="G586" s="18"/>
    </row>
    <row r="587">
      <c r="G587" s="18"/>
    </row>
    <row r="588">
      <c r="G588" s="18"/>
    </row>
    <row r="589">
      <c r="G589" s="18"/>
    </row>
    <row r="590">
      <c r="G590" s="18"/>
    </row>
    <row r="591">
      <c r="G591" s="18"/>
    </row>
    <row r="592">
      <c r="G592" s="18"/>
    </row>
    <row r="593">
      <c r="G593" s="18"/>
    </row>
    <row r="594">
      <c r="G594" s="18"/>
    </row>
    <row r="595">
      <c r="G595" s="18"/>
    </row>
    <row r="596">
      <c r="G596" s="18"/>
    </row>
    <row r="597">
      <c r="G597" s="18"/>
    </row>
    <row r="598">
      <c r="G598" s="18"/>
    </row>
    <row r="599">
      <c r="G599" s="18"/>
    </row>
    <row r="600">
      <c r="G600" s="18"/>
    </row>
    <row r="601">
      <c r="G601" s="18"/>
    </row>
    <row r="602">
      <c r="G602" s="18"/>
    </row>
    <row r="603">
      <c r="G603" s="18"/>
    </row>
    <row r="604">
      <c r="G604" s="18"/>
    </row>
    <row r="605">
      <c r="G605" s="18"/>
    </row>
    <row r="606">
      <c r="G606" s="18"/>
    </row>
    <row r="607">
      <c r="G607" s="18"/>
    </row>
    <row r="608">
      <c r="G608" s="18"/>
    </row>
    <row r="609">
      <c r="G609" s="18"/>
    </row>
    <row r="610">
      <c r="G610" s="18"/>
    </row>
    <row r="611">
      <c r="G611" s="18"/>
    </row>
    <row r="612">
      <c r="G612" s="18"/>
    </row>
    <row r="613">
      <c r="G613" s="18"/>
    </row>
    <row r="614">
      <c r="G614" s="18"/>
    </row>
    <row r="615">
      <c r="G615" s="18"/>
    </row>
    <row r="616">
      <c r="G616" s="18"/>
    </row>
    <row r="617">
      <c r="G617" s="18"/>
    </row>
    <row r="618">
      <c r="G618" s="18"/>
    </row>
    <row r="619">
      <c r="G619" s="18"/>
    </row>
    <row r="620">
      <c r="G620" s="18"/>
    </row>
    <row r="621">
      <c r="G621" s="18"/>
    </row>
    <row r="622">
      <c r="G622" s="18"/>
    </row>
    <row r="623">
      <c r="G623" s="18"/>
    </row>
    <row r="624">
      <c r="G624" s="18"/>
    </row>
    <row r="625">
      <c r="G625" s="18"/>
    </row>
    <row r="626">
      <c r="G626" s="18"/>
    </row>
    <row r="627">
      <c r="G627" s="18"/>
    </row>
    <row r="628">
      <c r="G628" s="18"/>
    </row>
    <row r="629">
      <c r="G629" s="18"/>
    </row>
    <row r="630">
      <c r="G630" s="18"/>
    </row>
    <row r="631">
      <c r="G631" s="18"/>
    </row>
    <row r="632">
      <c r="G632" s="18"/>
    </row>
    <row r="633">
      <c r="G633" s="18"/>
    </row>
    <row r="634">
      <c r="G634" s="18"/>
    </row>
    <row r="635">
      <c r="G635" s="18"/>
    </row>
    <row r="636">
      <c r="G636" s="18"/>
    </row>
    <row r="637">
      <c r="G637" s="18"/>
    </row>
    <row r="638">
      <c r="G638" s="18"/>
    </row>
    <row r="639">
      <c r="G639" s="18"/>
    </row>
    <row r="640">
      <c r="G640" s="18"/>
    </row>
    <row r="641">
      <c r="G641" s="18"/>
    </row>
    <row r="642">
      <c r="G642" s="18"/>
    </row>
    <row r="643">
      <c r="G643" s="18"/>
    </row>
    <row r="644">
      <c r="G644" s="18"/>
    </row>
    <row r="645">
      <c r="G645" s="18"/>
    </row>
    <row r="646">
      <c r="G646" s="18"/>
    </row>
    <row r="647">
      <c r="G647" s="18"/>
    </row>
    <row r="648">
      <c r="G648" s="18"/>
    </row>
    <row r="649">
      <c r="G649" s="18"/>
    </row>
    <row r="650">
      <c r="G650" s="18"/>
    </row>
    <row r="651">
      <c r="G651" s="18"/>
    </row>
    <row r="652">
      <c r="G652" s="18"/>
    </row>
    <row r="653">
      <c r="G653" s="18"/>
    </row>
    <row r="654">
      <c r="G654" s="18"/>
    </row>
    <row r="655">
      <c r="G655" s="18"/>
    </row>
    <row r="656">
      <c r="G656" s="18"/>
    </row>
    <row r="657">
      <c r="G657" s="18"/>
    </row>
    <row r="658">
      <c r="G658" s="18"/>
    </row>
    <row r="659">
      <c r="G659" s="18"/>
    </row>
    <row r="660">
      <c r="G660" s="18"/>
    </row>
    <row r="661">
      <c r="G661" s="18"/>
    </row>
    <row r="662">
      <c r="G662" s="18"/>
    </row>
    <row r="663">
      <c r="G663" s="18"/>
    </row>
    <row r="664">
      <c r="G664" s="18"/>
    </row>
    <row r="665">
      <c r="G665" s="18"/>
    </row>
    <row r="666">
      <c r="G666" s="18"/>
    </row>
    <row r="667">
      <c r="G667" s="18"/>
    </row>
    <row r="668">
      <c r="G668" s="18"/>
    </row>
    <row r="669">
      <c r="G669" s="18"/>
    </row>
    <row r="670">
      <c r="G670" s="18"/>
    </row>
    <row r="671">
      <c r="G671" s="18"/>
    </row>
    <row r="672">
      <c r="G672" s="18"/>
    </row>
    <row r="673">
      <c r="G673" s="18"/>
    </row>
    <row r="674">
      <c r="G674" s="18"/>
    </row>
    <row r="675">
      <c r="G675" s="18"/>
    </row>
    <row r="676">
      <c r="G676" s="18"/>
    </row>
    <row r="677">
      <c r="G677" s="18"/>
    </row>
    <row r="678">
      <c r="G678" s="18"/>
    </row>
    <row r="679">
      <c r="G679" s="18"/>
    </row>
    <row r="680">
      <c r="G680" s="18"/>
    </row>
    <row r="681">
      <c r="G681" s="18"/>
    </row>
    <row r="682">
      <c r="G682" s="18"/>
    </row>
    <row r="683">
      <c r="G683" s="18"/>
    </row>
    <row r="684">
      <c r="G684" s="18"/>
    </row>
    <row r="685">
      <c r="G685" s="18"/>
    </row>
    <row r="686">
      <c r="G686" s="18"/>
    </row>
    <row r="687">
      <c r="G687" s="18"/>
    </row>
    <row r="688">
      <c r="G688" s="18"/>
    </row>
    <row r="689">
      <c r="G689" s="18"/>
    </row>
    <row r="690">
      <c r="G690" s="18"/>
    </row>
    <row r="691">
      <c r="G691" s="18"/>
    </row>
    <row r="692">
      <c r="G692" s="18"/>
    </row>
    <row r="693">
      <c r="G693" s="18"/>
    </row>
    <row r="694">
      <c r="G694" s="18"/>
    </row>
    <row r="695">
      <c r="G695" s="18"/>
    </row>
    <row r="696">
      <c r="G696" s="18"/>
    </row>
    <row r="697">
      <c r="G697" s="18"/>
    </row>
    <row r="698">
      <c r="G698" s="18"/>
    </row>
    <row r="699">
      <c r="G699" s="18"/>
    </row>
    <row r="700">
      <c r="G700" s="18"/>
    </row>
    <row r="701">
      <c r="G701" s="18"/>
    </row>
    <row r="702">
      <c r="G702" s="18"/>
    </row>
    <row r="703">
      <c r="G703" s="18"/>
    </row>
    <row r="704">
      <c r="G704" s="18"/>
    </row>
    <row r="705">
      <c r="G705" s="18"/>
    </row>
    <row r="706">
      <c r="G706" s="18"/>
    </row>
    <row r="707">
      <c r="G707" s="18"/>
    </row>
    <row r="708">
      <c r="G708" s="18"/>
    </row>
    <row r="709">
      <c r="G709" s="18"/>
    </row>
    <row r="710">
      <c r="G710" s="18"/>
    </row>
    <row r="711">
      <c r="G711" s="18"/>
    </row>
    <row r="712">
      <c r="G712" s="18"/>
    </row>
    <row r="713">
      <c r="G713" s="18"/>
    </row>
    <row r="714">
      <c r="G714" s="18"/>
    </row>
    <row r="715">
      <c r="G715" s="18"/>
    </row>
    <row r="716">
      <c r="G716" s="18"/>
    </row>
    <row r="717">
      <c r="G717" s="18"/>
    </row>
    <row r="718">
      <c r="G718" s="18"/>
    </row>
    <row r="719">
      <c r="G719" s="18"/>
    </row>
    <row r="720">
      <c r="G720" s="18"/>
    </row>
    <row r="721">
      <c r="G721" s="18"/>
    </row>
    <row r="722">
      <c r="G722" s="18"/>
    </row>
    <row r="723">
      <c r="G723" s="18"/>
    </row>
    <row r="724">
      <c r="G724" s="18"/>
    </row>
    <row r="725">
      <c r="G725" s="18"/>
    </row>
    <row r="726">
      <c r="G726" s="18"/>
    </row>
    <row r="727">
      <c r="G727" s="18"/>
    </row>
    <row r="728">
      <c r="G728" s="18"/>
    </row>
    <row r="729">
      <c r="G729" s="18"/>
    </row>
    <row r="730">
      <c r="G730" s="18"/>
    </row>
    <row r="731">
      <c r="G731" s="18"/>
    </row>
    <row r="732">
      <c r="G732" s="18"/>
    </row>
    <row r="733">
      <c r="G733" s="18"/>
    </row>
    <row r="734">
      <c r="G734" s="18"/>
    </row>
    <row r="735">
      <c r="G735" s="18"/>
    </row>
    <row r="736">
      <c r="G736" s="18"/>
    </row>
    <row r="737">
      <c r="G737" s="18"/>
    </row>
    <row r="738">
      <c r="G738" s="18"/>
    </row>
    <row r="739">
      <c r="G739" s="18"/>
    </row>
    <row r="740">
      <c r="G740" s="18"/>
    </row>
    <row r="741">
      <c r="G741" s="18"/>
    </row>
    <row r="742">
      <c r="G742" s="18"/>
    </row>
    <row r="743">
      <c r="G743" s="18"/>
    </row>
    <row r="744">
      <c r="G744" s="18"/>
    </row>
    <row r="745">
      <c r="G745" s="18"/>
    </row>
    <row r="746">
      <c r="G746" s="18"/>
    </row>
    <row r="747">
      <c r="G747" s="18"/>
    </row>
    <row r="748">
      <c r="G748" s="18"/>
    </row>
    <row r="749">
      <c r="G749" s="18"/>
    </row>
    <row r="750">
      <c r="G750" s="18"/>
    </row>
    <row r="751">
      <c r="G751" s="18"/>
    </row>
    <row r="752">
      <c r="G752" s="18"/>
    </row>
    <row r="753">
      <c r="G753" s="18"/>
    </row>
    <row r="754">
      <c r="G754" s="18"/>
    </row>
    <row r="755">
      <c r="G755" s="18"/>
    </row>
    <row r="756">
      <c r="G756" s="18"/>
    </row>
    <row r="757">
      <c r="G757" s="18"/>
    </row>
    <row r="758">
      <c r="G758" s="18"/>
    </row>
    <row r="759">
      <c r="G759" s="18"/>
    </row>
    <row r="760">
      <c r="G760" s="18"/>
    </row>
    <row r="761">
      <c r="G761" s="18"/>
    </row>
    <row r="762">
      <c r="G762" s="18"/>
    </row>
    <row r="763">
      <c r="G763" s="18"/>
    </row>
    <row r="764">
      <c r="G764" s="18"/>
    </row>
    <row r="765">
      <c r="G765" s="18"/>
    </row>
    <row r="766">
      <c r="G766" s="18"/>
    </row>
    <row r="767">
      <c r="G767" s="18"/>
    </row>
    <row r="768">
      <c r="G768" s="18"/>
    </row>
    <row r="769">
      <c r="G769" s="18"/>
    </row>
    <row r="770">
      <c r="G770" s="18"/>
    </row>
    <row r="771">
      <c r="G771" s="18"/>
    </row>
    <row r="772">
      <c r="G772" s="18"/>
    </row>
    <row r="773">
      <c r="G773" s="18"/>
    </row>
    <row r="774">
      <c r="G774" s="18"/>
    </row>
    <row r="775">
      <c r="G775" s="18"/>
    </row>
    <row r="776">
      <c r="G776" s="18"/>
    </row>
    <row r="777">
      <c r="G777" s="18"/>
    </row>
    <row r="778">
      <c r="G778" s="18"/>
    </row>
    <row r="779">
      <c r="G779" s="18"/>
    </row>
    <row r="780">
      <c r="G780" s="18"/>
    </row>
    <row r="781">
      <c r="G781" s="18"/>
    </row>
    <row r="782">
      <c r="G782" s="18"/>
    </row>
    <row r="783">
      <c r="G783" s="18"/>
    </row>
    <row r="784">
      <c r="G784" s="18"/>
    </row>
    <row r="785">
      <c r="G785" s="18"/>
    </row>
    <row r="786">
      <c r="G786" s="18"/>
    </row>
    <row r="787">
      <c r="G787" s="18"/>
    </row>
    <row r="788">
      <c r="G788" s="18"/>
    </row>
    <row r="789">
      <c r="G789" s="18"/>
    </row>
    <row r="790">
      <c r="G790" s="18"/>
    </row>
    <row r="791">
      <c r="G791" s="18"/>
    </row>
    <row r="792">
      <c r="G792" s="18"/>
    </row>
    <row r="793">
      <c r="G793" s="18"/>
    </row>
    <row r="794">
      <c r="G794" s="18"/>
    </row>
    <row r="795">
      <c r="G795" s="18"/>
    </row>
    <row r="796">
      <c r="G796" s="18"/>
    </row>
    <row r="797">
      <c r="G797" s="18"/>
    </row>
    <row r="798">
      <c r="G798" s="18"/>
    </row>
    <row r="799">
      <c r="G799" s="18"/>
    </row>
    <row r="800">
      <c r="G800" s="18"/>
    </row>
    <row r="801">
      <c r="G801" s="18"/>
    </row>
    <row r="802">
      <c r="G802" s="18"/>
    </row>
    <row r="803">
      <c r="G803" s="18"/>
    </row>
    <row r="804">
      <c r="G804" s="18"/>
    </row>
    <row r="805">
      <c r="G805" s="18"/>
    </row>
    <row r="806">
      <c r="G806" s="18"/>
    </row>
    <row r="807">
      <c r="G807" s="18"/>
    </row>
    <row r="808">
      <c r="G808" s="18"/>
    </row>
    <row r="809">
      <c r="G809" s="18"/>
    </row>
    <row r="810">
      <c r="G810" s="18"/>
    </row>
    <row r="811">
      <c r="G811" s="18"/>
    </row>
    <row r="812">
      <c r="G812" s="18"/>
    </row>
    <row r="813">
      <c r="G813" s="18"/>
    </row>
    <row r="814">
      <c r="G814" s="18"/>
    </row>
    <row r="815">
      <c r="G815" s="18"/>
    </row>
    <row r="816">
      <c r="G816" s="18"/>
    </row>
    <row r="817">
      <c r="G817" s="18"/>
    </row>
    <row r="818">
      <c r="G818" s="18"/>
    </row>
    <row r="819">
      <c r="G819" s="18"/>
    </row>
    <row r="820">
      <c r="G820" s="18"/>
    </row>
    <row r="821">
      <c r="G821" s="18"/>
    </row>
    <row r="822">
      <c r="G822" s="18"/>
    </row>
    <row r="823">
      <c r="G823" s="18"/>
    </row>
    <row r="824">
      <c r="G824" s="18"/>
    </row>
    <row r="825">
      <c r="G825" s="18"/>
    </row>
    <row r="826">
      <c r="G826" s="18"/>
    </row>
    <row r="827">
      <c r="G827" s="18"/>
    </row>
    <row r="828">
      <c r="G828" s="18"/>
    </row>
    <row r="829">
      <c r="G829" s="18"/>
    </row>
    <row r="830">
      <c r="G830" s="18"/>
    </row>
    <row r="831">
      <c r="G831" s="18"/>
    </row>
    <row r="832">
      <c r="G832" s="18"/>
    </row>
    <row r="833">
      <c r="G833" s="18"/>
    </row>
    <row r="834">
      <c r="G834" s="18"/>
    </row>
    <row r="835">
      <c r="G835" s="18"/>
    </row>
    <row r="836">
      <c r="G836" s="18"/>
    </row>
    <row r="837">
      <c r="G837" s="18"/>
    </row>
    <row r="838">
      <c r="G838" s="18"/>
    </row>
    <row r="839">
      <c r="G839" s="18"/>
    </row>
    <row r="840">
      <c r="G840" s="18"/>
    </row>
    <row r="841">
      <c r="G841" s="18"/>
    </row>
    <row r="842">
      <c r="G842" s="18"/>
    </row>
    <row r="843">
      <c r="G843" s="18"/>
    </row>
    <row r="844">
      <c r="G844" s="18"/>
    </row>
    <row r="845">
      <c r="G845" s="18"/>
    </row>
    <row r="846">
      <c r="G846" s="18"/>
    </row>
    <row r="847">
      <c r="G847" s="18"/>
    </row>
    <row r="848">
      <c r="G848" s="18"/>
    </row>
    <row r="849">
      <c r="G849" s="18"/>
    </row>
    <row r="850">
      <c r="G850" s="18"/>
    </row>
    <row r="851">
      <c r="G851" s="18"/>
    </row>
    <row r="852">
      <c r="G852" s="18"/>
    </row>
    <row r="853">
      <c r="G853" s="18"/>
    </row>
    <row r="854">
      <c r="G854" s="18"/>
    </row>
    <row r="855">
      <c r="G855" s="18"/>
    </row>
    <row r="856">
      <c r="G856" s="18"/>
    </row>
    <row r="857">
      <c r="G857" s="18"/>
    </row>
    <row r="858">
      <c r="G858" s="18"/>
    </row>
    <row r="859">
      <c r="G859" s="18"/>
    </row>
    <row r="860">
      <c r="G860" s="18"/>
    </row>
    <row r="861">
      <c r="G861" s="18"/>
    </row>
    <row r="862">
      <c r="G862" s="18"/>
    </row>
    <row r="863">
      <c r="G863" s="18"/>
    </row>
    <row r="864">
      <c r="G864" s="18"/>
    </row>
    <row r="865">
      <c r="G865" s="18"/>
    </row>
    <row r="866">
      <c r="G866" s="18"/>
    </row>
    <row r="867">
      <c r="G867" s="18"/>
    </row>
    <row r="868">
      <c r="G868" s="18"/>
    </row>
    <row r="869">
      <c r="G869" s="18"/>
    </row>
    <row r="870">
      <c r="G870" s="18"/>
    </row>
    <row r="871">
      <c r="G871" s="18"/>
    </row>
    <row r="872">
      <c r="G872" s="18"/>
    </row>
    <row r="873">
      <c r="G873" s="18"/>
    </row>
    <row r="874">
      <c r="G874" s="18"/>
    </row>
    <row r="875">
      <c r="G875" s="18"/>
    </row>
    <row r="876">
      <c r="G876" s="18"/>
    </row>
    <row r="877">
      <c r="G877" s="18"/>
    </row>
    <row r="878">
      <c r="G878" s="18"/>
    </row>
    <row r="879">
      <c r="G879" s="18"/>
    </row>
    <row r="880">
      <c r="G880" s="18"/>
    </row>
    <row r="881">
      <c r="G881" s="18"/>
    </row>
    <row r="882">
      <c r="G882" s="18"/>
    </row>
    <row r="883">
      <c r="G883" s="18"/>
    </row>
    <row r="884">
      <c r="G884" s="18"/>
    </row>
    <row r="885">
      <c r="G885" s="18"/>
    </row>
    <row r="886">
      <c r="G886" s="18"/>
    </row>
    <row r="887">
      <c r="G887" s="18"/>
    </row>
    <row r="888">
      <c r="G888" s="18"/>
    </row>
    <row r="889">
      <c r="G889" s="18"/>
    </row>
    <row r="890">
      <c r="G890" s="18"/>
    </row>
    <row r="891">
      <c r="G891" s="18"/>
    </row>
    <row r="892">
      <c r="G892" s="18"/>
    </row>
    <row r="893">
      <c r="G893" s="18"/>
    </row>
    <row r="894">
      <c r="G894" s="18"/>
    </row>
    <row r="895">
      <c r="G895" s="18"/>
    </row>
    <row r="896">
      <c r="G896" s="18"/>
    </row>
    <row r="897">
      <c r="G897" s="18"/>
    </row>
    <row r="898">
      <c r="G898" s="18"/>
    </row>
    <row r="899">
      <c r="G899" s="18"/>
    </row>
    <row r="900">
      <c r="G900" s="18"/>
    </row>
    <row r="901">
      <c r="G901" s="18"/>
    </row>
    <row r="902">
      <c r="G902" s="18"/>
    </row>
    <row r="903">
      <c r="G903" s="18"/>
    </row>
    <row r="904">
      <c r="G904" s="18"/>
    </row>
    <row r="905">
      <c r="G905" s="18"/>
    </row>
    <row r="906">
      <c r="G906" s="18"/>
    </row>
    <row r="907">
      <c r="G907" s="18"/>
    </row>
    <row r="908">
      <c r="G908" s="18"/>
    </row>
    <row r="909">
      <c r="G909" s="18"/>
    </row>
    <row r="910">
      <c r="G910" s="18"/>
    </row>
    <row r="911">
      <c r="G911" s="18"/>
    </row>
    <row r="912">
      <c r="G912" s="18"/>
    </row>
    <row r="913">
      <c r="G913" s="18"/>
    </row>
    <row r="914">
      <c r="G914" s="18"/>
    </row>
    <row r="915">
      <c r="G915" s="18"/>
    </row>
    <row r="916">
      <c r="G916" s="18"/>
    </row>
    <row r="917">
      <c r="G917" s="18"/>
    </row>
    <row r="918">
      <c r="G918" s="18"/>
    </row>
    <row r="919">
      <c r="G919" s="18"/>
    </row>
    <row r="920">
      <c r="G920" s="18"/>
    </row>
    <row r="921">
      <c r="G921" s="18"/>
    </row>
    <row r="922">
      <c r="G922" s="18"/>
    </row>
    <row r="923">
      <c r="G923" s="18"/>
    </row>
    <row r="924">
      <c r="G924" s="18"/>
    </row>
    <row r="925">
      <c r="G925" s="18"/>
    </row>
    <row r="926">
      <c r="G926" s="18"/>
    </row>
    <row r="927">
      <c r="G927" s="18"/>
    </row>
    <row r="928">
      <c r="G928" s="18"/>
    </row>
    <row r="929">
      <c r="G929" s="18"/>
    </row>
    <row r="930">
      <c r="G930" s="18"/>
    </row>
    <row r="931">
      <c r="G931" s="18"/>
    </row>
    <row r="932">
      <c r="G932" s="18"/>
    </row>
    <row r="933">
      <c r="G933" s="18"/>
    </row>
    <row r="934">
      <c r="G934" s="18"/>
    </row>
    <row r="935">
      <c r="G935" s="18"/>
    </row>
    <row r="936">
      <c r="G936" s="18"/>
    </row>
    <row r="937">
      <c r="G937" s="18"/>
    </row>
    <row r="938">
      <c r="G938" s="18"/>
    </row>
    <row r="939">
      <c r="G939" s="18"/>
    </row>
    <row r="940">
      <c r="G940" s="18"/>
    </row>
    <row r="941">
      <c r="G941" s="18"/>
    </row>
    <row r="942">
      <c r="G942" s="18"/>
    </row>
    <row r="943">
      <c r="G943" s="18"/>
    </row>
    <row r="944">
      <c r="G944" s="18"/>
    </row>
    <row r="945">
      <c r="G945" s="18"/>
    </row>
    <row r="946">
      <c r="G946" s="18"/>
    </row>
    <row r="947">
      <c r="G947" s="18"/>
    </row>
    <row r="948">
      <c r="G948" s="18"/>
    </row>
    <row r="949">
      <c r="G949" s="18"/>
    </row>
    <row r="950">
      <c r="G950" s="18"/>
    </row>
    <row r="951">
      <c r="G951" s="18"/>
    </row>
    <row r="952">
      <c r="G952" s="18"/>
    </row>
    <row r="953">
      <c r="G953" s="18"/>
    </row>
    <row r="954">
      <c r="G954" s="18"/>
    </row>
    <row r="955">
      <c r="G955" s="18"/>
    </row>
    <row r="956">
      <c r="G956" s="18"/>
    </row>
    <row r="957">
      <c r="G957" s="18"/>
    </row>
    <row r="958">
      <c r="G958" s="18"/>
    </row>
    <row r="959">
      <c r="G959" s="18"/>
    </row>
    <row r="960">
      <c r="G960" s="18"/>
    </row>
    <row r="961">
      <c r="G961" s="18"/>
    </row>
    <row r="962">
      <c r="G962" s="18"/>
    </row>
    <row r="963">
      <c r="G963" s="18"/>
    </row>
    <row r="964">
      <c r="G964" s="18"/>
    </row>
    <row r="965">
      <c r="G965" s="18"/>
    </row>
    <row r="966">
      <c r="G966" s="18"/>
    </row>
    <row r="967">
      <c r="G967" s="18"/>
    </row>
    <row r="968">
      <c r="G968" s="18"/>
    </row>
    <row r="969">
      <c r="G969" s="18"/>
    </row>
    <row r="970">
      <c r="G970" s="18"/>
    </row>
    <row r="971">
      <c r="G971" s="18"/>
    </row>
    <row r="972">
      <c r="G972" s="18"/>
    </row>
    <row r="973">
      <c r="G973" s="18"/>
    </row>
    <row r="974">
      <c r="G974" s="18"/>
    </row>
    <row r="975">
      <c r="G975" s="18"/>
    </row>
    <row r="976">
      <c r="G976" s="18"/>
    </row>
    <row r="977">
      <c r="G977" s="18"/>
    </row>
    <row r="978">
      <c r="G978" s="18"/>
    </row>
    <row r="979">
      <c r="G979" s="18"/>
    </row>
    <row r="980">
      <c r="G980" s="18"/>
    </row>
    <row r="981">
      <c r="G981" s="18"/>
    </row>
    <row r="982">
      <c r="G982" s="18"/>
    </row>
    <row r="983">
      <c r="G983" s="18"/>
    </row>
    <row r="984">
      <c r="G984" s="18"/>
    </row>
    <row r="985">
      <c r="G985" s="18"/>
    </row>
    <row r="986">
      <c r="G986" s="18"/>
    </row>
    <row r="987">
      <c r="G987" s="18"/>
    </row>
    <row r="988">
      <c r="G988" s="18"/>
    </row>
    <row r="989">
      <c r="G989" s="18"/>
    </row>
    <row r="990">
      <c r="G990" s="18"/>
    </row>
    <row r="991">
      <c r="G991" s="18"/>
    </row>
    <row r="992">
      <c r="G992" s="18"/>
    </row>
    <row r="993">
      <c r="G993" s="18"/>
    </row>
    <row r="994">
      <c r="G994" s="18"/>
    </row>
    <row r="995">
      <c r="G995" s="18"/>
    </row>
    <row r="996">
      <c r="G996" s="18"/>
    </row>
    <row r="997">
      <c r="G997" s="18"/>
    </row>
    <row r="998">
      <c r="G998" s="18"/>
    </row>
    <row r="999">
      <c r="G999" s="18"/>
    </row>
    <row r="1000">
      <c r="G1000" s="1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4" max="4" width="23.5"/>
  </cols>
  <sheetData>
    <row r="4">
      <c r="C4" s="3" t="s">
        <v>25</v>
      </c>
      <c r="D4" s="3" t="s">
        <v>960</v>
      </c>
      <c r="E4" s="3" t="s">
        <v>961</v>
      </c>
      <c r="F4" s="3" t="s">
        <v>3602</v>
      </c>
    </row>
    <row r="5">
      <c r="B5" s="3" t="s">
        <v>3603</v>
      </c>
      <c r="C5" s="3" t="s">
        <v>39</v>
      </c>
      <c r="D5" s="3" t="s">
        <v>3604</v>
      </c>
    </row>
    <row r="6">
      <c r="B6" s="9" t="s">
        <v>3605</v>
      </c>
      <c r="C6" s="8" t="s">
        <v>183</v>
      </c>
      <c r="D6" s="3" t="s">
        <v>3606</v>
      </c>
    </row>
    <row r="7">
      <c r="B7" s="9" t="s">
        <v>3603</v>
      </c>
      <c r="C7" s="8" t="s">
        <v>50</v>
      </c>
      <c r="D7" s="3" t="s">
        <v>3137</v>
      </c>
      <c r="E7" s="3" t="s">
        <v>50</v>
      </c>
    </row>
    <row r="8">
      <c r="B8" s="9" t="s">
        <v>3603</v>
      </c>
      <c r="C8" s="8" t="s">
        <v>32</v>
      </c>
      <c r="D8" s="3" t="s">
        <v>3001</v>
      </c>
    </row>
    <row r="9">
      <c r="B9" s="9" t="s">
        <v>3603</v>
      </c>
      <c r="C9" s="8" t="s">
        <v>71</v>
      </c>
      <c r="D9" s="3" t="s">
        <v>3010</v>
      </c>
      <c r="E9" s="3" t="s">
        <v>3011</v>
      </c>
      <c r="F9" s="8" t="s">
        <v>71</v>
      </c>
    </row>
    <row r="10">
      <c r="B10" s="3" t="s">
        <v>3603</v>
      </c>
      <c r="C10" s="8" t="s">
        <v>46</v>
      </c>
      <c r="D10" s="3" t="s">
        <v>3001</v>
      </c>
    </row>
    <row r="11">
      <c r="B11" s="3" t="s">
        <v>3603</v>
      </c>
      <c r="C11" s="8" t="s">
        <v>77</v>
      </c>
      <c r="D11" s="3" t="s">
        <v>3607</v>
      </c>
    </row>
    <row r="12">
      <c r="C12" s="8" t="s">
        <v>66</v>
      </c>
      <c r="D12" s="3" t="s">
        <v>3137</v>
      </c>
      <c r="E12" s="3" t="s">
        <v>66</v>
      </c>
    </row>
    <row r="13">
      <c r="B13" s="3" t="s">
        <v>3605</v>
      </c>
      <c r="C13" s="8" t="s">
        <v>158</v>
      </c>
      <c r="D13" s="3" t="s">
        <v>3606</v>
      </c>
    </row>
    <row r="14">
      <c r="B14" s="3" t="s">
        <v>3605</v>
      </c>
      <c r="C14" s="8" t="s">
        <v>301</v>
      </c>
      <c r="D14" s="3" t="s">
        <v>3606</v>
      </c>
    </row>
  </sheetData>
  <drawing r:id="rId1"/>
</worksheet>
</file>